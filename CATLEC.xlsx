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Edison\Desktop\CATLEC\Codigo CATLEC - backup\"/>
    </mc:Choice>
  </mc:AlternateContent>
  <xr:revisionPtr revIDLastSave="0" documentId="13_ncr:1_{6043F4E4-6C89-478E-BFC1-B6A5AC3E129B}" xr6:coauthVersionLast="47" xr6:coauthVersionMax="47" xr10:uidLastSave="{00000000-0000-0000-0000-000000000000}"/>
  <bookViews>
    <workbookView xWindow="-108" yWindow="-108" windowWidth="23256" windowHeight="13896" activeTab="1" xr2:uid="{AFBC47FB-AA6E-4273-9F80-1754DD486B9C}"/>
  </bookViews>
  <sheets>
    <sheet name="TD BD" sheetId="3" r:id="rId1"/>
    <sheet name="BD" sheetId="1" r:id="rId2"/>
    <sheet name="OF" sheetId="4" r:id="rId3"/>
    <sheet name="Consideraciones" sheetId="6" r:id="rId4"/>
    <sheet name="EFE" sheetId="9" r:id="rId5"/>
  </sheets>
  <definedNames>
    <definedName name="_xlnm._FilterDatabase" localSheetId="1" hidden="1">BD!$AK$1:$AK$128</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1" i="9" l="1" a="1"/>
  <c r="B21" i="9" s="1"/>
  <c r="B20" i="9" a="1"/>
  <c r="B20" i="9" s="1"/>
  <c r="B19" i="9" a="1"/>
  <c r="B19" i="9" s="1"/>
  <c r="B18" i="9" a="1"/>
  <c r="B18" i="9" s="1"/>
  <c r="B17" i="9" a="1"/>
  <c r="B17" i="9" s="1"/>
  <c r="B16" i="9" a="1"/>
  <c r="B16" i="9" s="1"/>
  <c r="B15" i="9" a="1"/>
  <c r="B15" i="9" s="1"/>
  <c r="B14" i="9" a="1"/>
  <c r="B14" i="9" s="1"/>
  <c r="B13" i="9" a="1"/>
  <c r="B13" i="9" s="1"/>
  <c r="B12" i="9" a="1"/>
  <c r="B12" i="9" s="1"/>
  <c r="B11" i="9" a="1"/>
  <c r="B11" i="9" s="1"/>
  <c r="B10" i="9" a="1"/>
  <c r="B10" i="9" s="1"/>
  <c r="B9" i="9" a="1"/>
  <c r="B9" i="9" s="1"/>
  <c r="B8" i="9" a="1"/>
  <c r="B8" i="9" s="1"/>
  <c r="B7" i="9" a="1"/>
  <c r="B7" i="9" s="1"/>
  <c r="B6" i="9" a="1"/>
  <c r="B6" i="9" s="1"/>
  <c r="B5" i="9" a="1"/>
  <c r="B5" i="9" s="1"/>
  <c r="B4" i="9" a="1"/>
  <c r="B4" i="9" s="1"/>
  <c r="B3" i="9" a="1"/>
  <c r="B3" i="9" s="1"/>
  <c r="B2" i="9" a="1"/>
  <c r="B2" i="9" s="1"/>
  <c r="C2" i="1" a="1"/>
  <c r="C2" i="1" s="1"/>
  <c r="C3" i="1" a="1"/>
  <c r="C3" i="1" s="1"/>
  <c r="C4" i="1" a="1"/>
  <c r="C4" i="1" s="1"/>
  <c r="C5" i="1" a="1"/>
  <c r="C5" i="1" s="1"/>
  <c r="C6" i="1" a="1"/>
  <c r="C6" i="1" s="1"/>
  <c r="C124" i="1" a="1"/>
  <c r="C124" i="1" s="1"/>
  <c r="C120" i="1" a="1"/>
  <c r="C120" i="1" s="1"/>
  <c r="C9" i="1" a="1"/>
  <c r="C9" i="1" s="1"/>
  <c r="C119" i="1" a="1"/>
  <c r="C119" i="1" s="1"/>
  <c r="C11" i="1" a="1"/>
  <c r="C11" i="1" s="1"/>
  <c r="C111" i="1" a="1"/>
  <c r="C111" i="1" s="1"/>
  <c r="C113" i="1" a="1"/>
  <c r="C113" i="1" s="1"/>
  <c r="C108" i="1" a="1"/>
  <c r="C108" i="1" s="1"/>
  <c r="C15" i="1" a="1"/>
  <c r="C15" i="1" s="1"/>
  <c r="C16" i="1" a="1"/>
  <c r="C16" i="1" s="1"/>
  <c r="C17" i="1" a="1"/>
  <c r="C17" i="1" s="1"/>
  <c r="C106" i="1" a="1"/>
  <c r="C106" i="1" s="1"/>
  <c r="C19" i="1" a="1"/>
  <c r="C19" i="1" s="1"/>
  <c r="C20" i="1" a="1"/>
  <c r="C20" i="1" s="1"/>
  <c r="C105" i="1" a="1"/>
  <c r="C105" i="1" s="1"/>
  <c r="C22" i="1" a="1"/>
  <c r="C22" i="1" s="1"/>
  <c r="C23" i="1" a="1"/>
  <c r="C23" i="1" s="1"/>
  <c r="C107" i="1" a="1"/>
  <c r="C107"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104" i="1" a="1"/>
  <c r="C104" i="1" s="1"/>
  <c r="C37" i="1" a="1"/>
  <c r="C37" i="1" s="1"/>
  <c r="C38" i="1" a="1"/>
  <c r="C38" i="1" s="1"/>
  <c r="C103" i="1" a="1"/>
  <c r="C103" i="1" s="1"/>
  <c r="C100" i="1" a="1"/>
  <c r="C100" i="1" s="1"/>
  <c r="C41" i="1" a="1"/>
  <c r="C41" i="1" s="1"/>
  <c r="C42" i="1" a="1"/>
  <c r="C42" i="1" s="1"/>
  <c r="C99" i="1" a="1"/>
  <c r="C99" i="1" s="1"/>
  <c r="C98" i="1" a="1"/>
  <c r="C98" i="1" s="1"/>
  <c r="C45" i="1" a="1"/>
  <c r="C45" i="1" s="1"/>
  <c r="C46" i="1" a="1"/>
  <c r="C46" i="1" s="1"/>
  <c r="C47" i="1" a="1"/>
  <c r="C47" i="1" s="1"/>
  <c r="C101" i="1" a="1"/>
  <c r="C101" i="1" s="1"/>
  <c r="C49" i="1" a="1"/>
  <c r="C49" i="1" s="1"/>
  <c r="C50" i="1" a="1"/>
  <c r="C50" i="1" s="1"/>
  <c r="C51" i="1" a="1"/>
  <c r="C51" i="1" s="1"/>
  <c r="C52" i="1" a="1"/>
  <c r="C52" i="1" s="1"/>
  <c r="C94" i="1" a="1"/>
  <c r="C94" i="1" s="1"/>
  <c r="C54" i="1" a="1"/>
  <c r="C54" i="1" s="1"/>
  <c r="C55" i="1" a="1"/>
  <c r="C55" i="1" s="1"/>
  <c r="C91" i="1" a="1"/>
  <c r="C91" i="1" s="1"/>
  <c r="C57" i="1" a="1"/>
  <c r="C57" i="1" s="1"/>
  <c r="C58" i="1" a="1"/>
  <c r="C58" i="1" s="1"/>
  <c r="C59" i="1" a="1"/>
  <c r="C59" i="1" s="1"/>
  <c r="C60" i="1" a="1"/>
  <c r="C60" i="1" s="1"/>
  <c r="C89" i="1" a="1"/>
  <c r="C89" i="1" s="1"/>
  <c r="C62" i="1" a="1"/>
  <c r="C62" i="1" s="1"/>
  <c r="C63" i="1" a="1"/>
  <c r="C63" i="1" s="1"/>
  <c r="C64" i="1" a="1"/>
  <c r="C64" i="1" s="1"/>
  <c r="C65" i="1" a="1"/>
  <c r="C65" i="1" s="1"/>
  <c r="C66" i="1" a="1"/>
  <c r="C66" i="1" s="1"/>
  <c r="C86" i="1" a="1"/>
  <c r="C86" i="1" s="1"/>
  <c r="C68" i="1" a="1"/>
  <c r="C68" i="1" s="1"/>
  <c r="C85" i="1" a="1"/>
  <c r="C85" i="1" s="1"/>
  <c r="C81" i="1" a="1"/>
  <c r="C81" i="1" s="1"/>
  <c r="C80" i="1" a="1"/>
  <c r="C80" i="1" s="1"/>
  <c r="C72" i="1" a="1"/>
  <c r="C72" i="1" s="1"/>
  <c r="C73" i="1" a="1"/>
  <c r="C73" i="1" s="1"/>
  <c r="C79" i="1" a="1"/>
  <c r="C79" i="1" s="1"/>
  <c r="C78" i="1" a="1"/>
  <c r="C78" i="1" s="1"/>
  <c r="C77" i="1" a="1"/>
  <c r="C77" i="1" s="1"/>
  <c r="C76" i="1" a="1"/>
  <c r="C76" i="1" s="1"/>
  <c r="C75" i="1" a="1"/>
  <c r="C75" i="1" s="1"/>
  <c r="C74" i="1" a="1"/>
  <c r="C74" i="1" s="1"/>
  <c r="C71" i="1" a="1"/>
  <c r="C71" i="1" s="1"/>
  <c r="C70" i="1" a="1"/>
  <c r="C70" i="1" s="1"/>
  <c r="C82" i="1" a="1"/>
  <c r="C82" i="1" s="1"/>
  <c r="C83" i="1" a="1"/>
  <c r="C83" i="1" s="1"/>
  <c r="C84" i="1" a="1"/>
  <c r="C84" i="1" s="1"/>
  <c r="C69" i="1" a="1"/>
  <c r="C69" i="1" s="1"/>
  <c r="C67" i="1" a="1"/>
  <c r="C67" i="1" s="1"/>
  <c r="C87" i="1" a="1"/>
  <c r="C87" i="1" s="1"/>
  <c r="C88" i="1" a="1"/>
  <c r="C88" i="1" s="1"/>
  <c r="C61" i="1" a="1"/>
  <c r="C61" i="1" s="1"/>
  <c r="C90" i="1" a="1"/>
  <c r="C90" i="1" s="1"/>
  <c r="C56" i="1" a="1"/>
  <c r="C56" i="1" s="1"/>
  <c r="C92" i="1" a="1"/>
  <c r="C92" i="1" s="1"/>
  <c r="C93" i="1" a="1"/>
  <c r="C93" i="1" s="1"/>
  <c r="C53" i="1" a="1"/>
  <c r="C53" i="1" s="1"/>
  <c r="C95" i="1" a="1"/>
  <c r="C95" i="1" s="1"/>
  <c r="C96" i="1" a="1"/>
  <c r="C96" i="1" s="1"/>
  <c r="C97" i="1" a="1"/>
  <c r="C97" i="1" s="1"/>
  <c r="C10" i="1" a="1"/>
  <c r="C10" i="1" s="1"/>
  <c r="C12" i="1" a="1"/>
  <c r="C12" i="1" s="1"/>
  <c r="C8" i="1" a="1"/>
  <c r="C8" i="1" s="1"/>
  <c r="C7" i="1" a="1"/>
  <c r="C7" i="1" s="1"/>
  <c r="C102" i="1" a="1"/>
  <c r="C102" i="1" s="1"/>
  <c r="C48" i="1" a="1"/>
  <c r="C48" i="1" s="1"/>
  <c r="C43" i="1" a="1"/>
  <c r="C43" i="1" s="1"/>
  <c r="C44" i="1" a="1"/>
  <c r="C44" i="1" s="1"/>
  <c r="C40" i="1" a="1"/>
  <c r="C40" i="1" s="1"/>
  <c r="C39" i="1" a="1"/>
  <c r="C39" i="1" s="1"/>
  <c r="C36" i="1" a="1"/>
  <c r="C36" i="1" s="1"/>
  <c r="C109" i="1" a="1"/>
  <c r="C109" i="1" s="1"/>
  <c r="C110" i="1" a="1"/>
  <c r="C110" i="1" s="1"/>
  <c r="C24" i="1" a="1"/>
  <c r="C24" i="1" s="1"/>
  <c r="C112" i="1" a="1"/>
  <c r="C112" i="1" s="1"/>
  <c r="C21" i="1" a="1"/>
  <c r="C21" i="1" s="1"/>
  <c r="C114" i="1" a="1"/>
  <c r="C114" i="1" s="1"/>
  <c r="C115" i="1" a="1"/>
  <c r="C115" i="1" s="1"/>
  <c r="C116" i="1" a="1"/>
  <c r="C116" i="1" s="1"/>
  <c r="C117" i="1" a="1"/>
  <c r="C117" i="1" s="1"/>
  <c r="C118" i="1" a="1"/>
  <c r="C118" i="1" s="1"/>
  <c r="C18" i="1" a="1"/>
  <c r="C18" i="1" s="1"/>
  <c r="C14" i="1" a="1"/>
  <c r="C14" i="1" s="1"/>
  <c r="C121" i="1" a="1"/>
  <c r="C121" i="1" s="1"/>
  <c r="C122" i="1" a="1"/>
  <c r="C122" i="1" s="1"/>
  <c r="C123" i="1" a="1"/>
  <c r="C123" i="1" s="1"/>
  <c r="C13" i="1" a="1"/>
  <c r="C13" i="1" s="1"/>
  <c r="C125" i="1" a="1"/>
  <c r="C125" i="1" s="1"/>
  <c r="C126" i="1" a="1"/>
  <c r="C126" i="1" s="1"/>
  <c r="C127" i="1" a="1"/>
  <c r="C127" i="1" s="1"/>
  <c r="C128" i="1" a="1"/>
  <c r="C128" i="1" s="1"/>
  <c r="AK55" i="1"/>
  <c r="AK104" i="1"/>
  <c r="AK94" i="1"/>
  <c r="AK98" i="1"/>
  <c r="AK93" i="1"/>
  <c r="AK59" i="1"/>
  <c r="AK103" i="1"/>
  <c r="AK35" i="1"/>
  <c r="AK95" i="1"/>
  <c r="AK32" i="1"/>
  <c r="AK29" i="1"/>
  <c r="AK106" i="1"/>
  <c r="AK53" i="1"/>
  <c r="AK76" i="1"/>
  <c r="AK65" i="1"/>
  <c r="AK39" i="1"/>
  <c r="AK68" i="1"/>
  <c r="AK74" i="1"/>
  <c r="AK22" i="1"/>
  <c r="AK61" i="1"/>
  <c r="AK21" i="1"/>
  <c r="AK67" i="1"/>
  <c r="AK105" i="1"/>
  <c r="AK69" i="1"/>
  <c r="AK66" i="1"/>
  <c r="AK64" i="1"/>
  <c r="AK56" i="1"/>
  <c r="AK25" i="1"/>
  <c r="AK107" i="1"/>
  <c r="AK9" i="1"/>
  <c r="AK16" i="1"/>
  <c r="AK78" i="1"/>
  <c r="AK92" i="1"/>
  <c r="AK3" i="1"/>
  <c r="AK36" i="1"/>
  <c r="AK43" i="1"/>
  <c r="AK58" i="1"/>
  <c r="AK101" i="1"/>
  <c r="AK91" i="1"/>
  <c r="AK89" i="1"/>
  <c r="AK2" i="1"/>
  <c r="AK8" i="1"/>
  <c r="AK30" i="1"/>
  <c r="AK18" i="1"/>
  <c r="AK122" i="1"/>
  <c r="AK60" i="1"/>
  <c r="AK11" i="1"/>
  <c r="AK73" i="1"/>
  <c r="AK71" i="1"/>
  <c r="AK19" i="1"/>
  <c r="AK90" i="1"/>
  <c r="AK46" i="1"/>
  <c r="AK88" i="1"/>
  <c r="AK72" i="1"/>
  <c r="AK33" i="1"/>
  <c r="AK86" i="1"/>
  <c r="AK100" i="1"/>
  <c r="AK125" i="1"/>
  <c r="AK79" i="1"/>
  <c r="AK34" i="1"/>
  <c r="AK49" i="1"/>
  <c r="AK40" i="1"/>
  <c r="AK26" i="1"/>
  <c r="AK12" i="1"/>
  <c r="AK99" i="1"/>
  <c r="AK4" i="1"/>
  <c r="AK20" i="1"/>
  <c r="AK113" i="1"/>
  <c r="AK6" i="1"/>
  <c r="AK70" i="1"/>
  <c r="AK38" i="1"/>
  <c r="AK50" i="1"/>
  <c r="AK127" i="1"/>
  <c r="AK48" i="1"/>
  <c r="AK23" i="1"/>
  <c r="AK14" i="1"/>
  <c r="AK63" i="1"/>
  <c r="AK52" i="1"/>
  <c r="AK62" i="1"/>
  <c r="AK81" i="1"/>
  <c r="AK128" i="1"/>
  <c r="AK96" i="1"/>
  <c r="AK82" i="1"/>
  <c r="AK80" i="1"/>
  <c r="AK85" i="1"/>
  <c r="AK44" i="1"/>
  <c r="AK84" i="1"/>
  <c r="AK57" i="1"/>
  <c r="AK119" i="1"/>
  <c r="AK111" i="1"/>
  <c r="AK15" i="1"/>
  <c r="AK108" i="1"/>
  <c r="AK17" i="1"/>
  <c r="AK5" i="1"/>
  <c r="AK120" i="1"/>
  <c r="AK41" i="1"/>
  <c r="AK102" i="1"/>
  <c r="AK126" i="1"/>
  <c r="AK24" i="1"/>
  <c r="AK109" i="1"/>
  <c r="AK116" i="1"/>
  <c r="AK83" i="1"/>
  <c r="AK42" i="1"/>
  <c r="AK117" i="1"/>
  <c r="AK13" i="1"/>
  <c r="AK7" i="1"/>
  <c r="AK114" i="1"/>
  <c r="AK54" i="1"/>
  <c r="AK97" i="1"/>
  <c r="AK124" i="1"/>
  <c r="AK10" i="1"/>
  <c r="AK27" i="1"/>
  <c r="AK77" i="1"/>
  <c r="AK123" i="1"/>
  <c r="AK47" i="1"/>
  <c r="AK75" i="1"/>
  <c r="AK110" i="1"/>
  <c r="AK115" i="1"/>
  <c r="AK118" i="1"/>
  <c r="AK37" i="1"/>
  <c r="AK51" i="1"/>
  <c r="AK112" i="1"/>
  <c r="AK28" i="1"/>
  <c r="AK87" i="1"/>
  <c r="AK31" i="1"/>
  <c r="AK45" i="1"/>
  <c r="AK121" i="1"/>
  <c r="C30" i="3"/>
  <c r="C22" i="3"/>
  <c r="C15" i="3"/>
  <c r="C11" i="3"/>
  <c r="C4" i="3"/>
  <c r="A21" i="9" l="1"/>
  <c r="A4" i="9"/>
  <c r="A5" i="9"/>
  <c r="A6" i="9"/>
  <c r="A8" i="9"/>
  <c r="A10" i="9"/>
  <c r="A3" i="9"/>
  <c r="A7" i="9"/>
  <c r="A9" i="9"/>
  <c r="A11" i="9"/>
  <c r="A12" i="9"/>
  <c r="A13" i="9"/>
  <c r="A14" i="9"/>
  <c r="A16" i="9"/>
  <c r="A18" i="9"/>
  <c r="A17" i="9"/>
  <c r="A19" i="9"/>
  <c r="A20" i="9"/>
  <c r="A15" i="9"/>
  <c r="A2" i="9"/>
  <c r="B120" i="1"/>
  <c r="B28" i="1"/>
  <c r="B101" i="1"/>
  <c r="B68" i="1"/>
  <c r="B88" i="1"/>
  <c r="B36" i="1"/>
  <c r="B128" i="1"/>
  <c r="B105" i="1"/>
  <c r="B22" i="1"/>
  <c r="B82" i="1"/>
  <c r="B63" i="1"/>
  <c r="B123" i="1"/>
  <c r="B4" i="1"/>
  <c r="B107" i="1"/>
  <c r="B64" i="1"/>
  <c r="B43" i="1"/>
  <c r="B13" i="1"/>
  <c r="B25" i="1"/>
  <c r="B26" i="1"/>
  <c r="B66" i="1"/>
  <c r="B40" i="1"/>
  <c r="B27" i="1"/>
  <c r="B87" i="1"/>
  <c r="B9" i="1"/>
  <c r="B29" i="1"/>
  <c r="B49" i="1"/>
  <c r="B85" i="1"/>
  <c r="B61" i="1"/>
  <c r="B109" i="1"/>
  <c r="B119" i="1"/>
  <c r="B30" i="1"/>
  <c r="B50" i="1"/>
  <c r="B81" i="1"/>
  <c r="B90" i="1"/>
  <c r="B110" i="1"/>
  <c r="B11" i="1"/>
  <c r="B31" i="1"/>
  <c r="B51" i="1"/>
  <c r="B80" i="1"/>
  <c r="B56" i="1"/>
  <c r="B24" i="1"/>
  <c r="B111" i="1"/>
  <c r="B32" i="1"/>
  <c r="B52" i="1"/>
  <c r="B72" i="1"/>
  <c r="B92" i="1"/>
  <c r="B112" i="1"/>
  <c r="B113" i="1"/>
  <c r="B33" i="1"/>
  <c r="B94" i="1"/>
  <c r="B73" i="1"/>
  <c r="B93" i="1"/>
  <c r="B21" i="1"/>
  <c r="B20" i="1"/>
  <c r="B100" i="1"/>
  <c r="B60" i="1"/>
  <c r="B8" i="1"/>
  <c r="B14" i="1"/>
  <c r="B41" i="1"/>
  <c r="B70" i="1"/>
  <c r="B121" i="1"/>
  <c r="B2" i="1"/>
  <c r="B42" i="1"/>
  <c r="B102" i="1"/>
  <c r="B3" i="1"/>
  <c r="B99" i="1"/>
  <c r="B48" i="1"/>
  <c r="B84" i="1"/>
  <c r="B5" i="1"/>
  <c r="B45" i="1"/>
  <c r="B69" i="1"/>
  <c r="B125" i="1"/>
  <c r="B67" i="1"/>
  <c r="B86" i="1"/>
  <c r="B39" i="1"/>
  <c r="B108" i="1"/>
  <c r="B34" i="1"/>
  <c r="B54" i="1"/>
  <c r="B79" i="1"/>
  <c r="B53" i="1"/>
  <c r="B114" i="1"/>
  <c r="B15" i="1"/>
  <c r="B35" i="1"/>
  <c r="B55" i="1"/>
  <c r="B78" i="1"/>
  <c r="B95" i="1"/>
  <c r="B115" i="1"/>
  <c r="B16" i="1"/>
  <c r="B104" i="1"/>
  <c r="B91" i="1"/>
  <c r="B77" i="1"/>
  <c r="B96" i="1"/>
  <c r="B116" i="1"/>
  <c r="B17" i="1"/>
  <c r="B37" i="1"/>
  <c r="B57" i="1"/>
  <c r="B76" i="1"/>
  <c r="B97" i="1"/>
  <c r="B117" i="1"/>
  <c r="B106" i="1"/>
  <c r="B38" i="1"/>
  <c r="B58" i="1"/>
  <c r="B75" i="1"/>
  <c r="B10" i="1"/>
  <c r="B118" i="1"/>
  <c r="B19" i="1"/>
  <c r="B103" i="1"/>
  <c r="B59" i="1"/>
  <c r="B74" i="1"/>
  <c r="B12" i="1"/>
  <c r="B18" i="1"/>
  <c r="B71" i="1"/>
  <c r="B89" i="1"/>
  <c r="B7" i="1"/>
  <c r="B62" i="1"/>
  <c r="B122" i="1"/>
  <c r="B23" i="1"/>
  <c r="B83" i="1"/>
  <c r="B98" i="1"/>
  <c r="B65" i="1"/>
  <c r="B44" i="1"/>
  <c r="B6" i="1"/>
  <c r="B126" i="1"/>
  <c r="B124" i="1"/>
  <c r="B47" i="1"/>
  <c r="B127" i="1"/>
  <c r="B4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<sst xmlns="http://schemas.openxmlformats.org/spreadsheetml/2006/main" count="4780" uniqueCount="1993">
  <si>
    <t>Código proyecto</t>
  </si>
  <si>
    <t xml:space="preserve">Nombre de la Concesión </t>
  </si>
  <si>
    <t>NUM_Lic</t>
  </si>
  <si>
    <t>Nombre de uso común</t>
  </si>
  <si>
    <t xml:space="preserve">Descripción </t>
  </si>
  <si>
    <t>Sector del proyecto</t>
  </si>
  <si>
    <t>Región geográfica</t>
  </si>
  <si>
    <t>Link a mapa página web</t>
  </si>
  <si>
    <t>Origen</t>
  </si>
  <si>
    <t>Fecha resolución declaración interes público</t>
  </si>
  <si>
    <t>Presupuesto oficial estimado</t>
  </si>
  <si>
    <t>Moneda</t>
  </si>
  <si>
    <t>Link pagina web concesiones</t>
  </si>
  <si>
    <t>ESTADO</t>
  </si>
  <si>
    <t>Metodo de licitación</t>
  </si>
  <si>
    <t>Variable(s) de licitación</t>
  </si>
  <si>
    <t>Fecha llamado a licitación</t>
  </si>
  <si>
    <t>Fecha recepción ofertas</t>
  </si>
  <si>
    <t>Fecha apertura económica</t>
  </si>
  <si>
    <t>Fecha decreto adjudicación</t>
  </si>
  <si>
    <t>Fecha publicación decreto adjudicación</t>
  </si>
  <si>
    <t>Rut sociedad Concesionaria</t>
  </si>
  <si>
    <t>Nombre sociedad concesionaria</t>
  </si>
  <si>
    <t>Link a CMF de SC</t>
  </si>
  <si>
    <t>Fecha inicio del contrato de concesión</t>
  </si>
  <si>
    <t>Fecha término de la concesión</t>
  </si>
  <si>
    <t xml:space="preserve">Plazo fijo / variable </t>
  </si>
  <si>
    <t>Fecha inicio de obras</t>
  </si>
  <si>
    <t>Fecha puesta servicio provisorio</t>
  </si>
  <si>
    <t>Fecha puesta servicio definitivo</t>
  </si>
  <si>
    <t>Inversión Materializada estimada</t>
  </si>
  <si>
    <t>% Avance obras físicas</t>
  </si>
  <si>
    <t>001_TEME1</t>
  </si>
  <si>
    <t>Túnel El Melón</t>
  </si>
  <si>
    <t>Primera concesión Túnel El Melón</t>
  </si>
  <si>
    <t>Este contrato, que finalizó en 2016, corresponde al primer proyecto desarrollado bajo el Sistema de Concesiones de Obras Públicas. La obra fue adjudicada en 1993 y consideró la construcción y operación de un túnel de 5,19 km de extensión, de los cuales 2,52 km corresponden a la estructura bajo la Cuesta El Melón y el resto a la vialidad de acceso a la estructura. El proyecto generó un ahorro significativo en los tiempos de traslados de autos y vehículos pesados que se dirigían a la zona norte del país, ya que previamente los usuarios tenían como única alternativa de tránsito la cuesta (del mismo nombre del túnel), ubicada entre los kilómetros 127,54 y 132,73 de la Ruta 5 Norte. Esta obra entregó mejores condiciones de seguridad y los tiempos de traslado por la Ruta 5, eje estructurante deconectividad del país, beneficiando a las localidades de las provincias de Quillota y Petorca y el tránsito de un importante flujo de vehículos que circula hacia y desde el norte por fines comerciales o turísticos. La obra fue relicitada y en la actualidad está vigente la segunda concesión.</t>
  </si>
  <si>
    <t>Vial interurbana</t>
  </si>
  <si>
    <t>Valparaíso</t>
  </si>
  <si>
    <t>Sitio en construcción</t>
  </si>
  <si>
    <t>Público</t>
  </si>
  <si>
    <t/>
  </si>
  <si>
    <t>UF</t>
  </si>
  <si>
    <t>https://concesiones.mop.gob.cl/project/primera-concesion-tunel-el-melon/</t>
  </si>
  <si>
    <t>Finalizado</t>
  </si>
  <si>
    <t>Sólo licitación pública</t>
  </si>
  <si>
    <t>Nivel y estructura de tarifa; Plazo; menor Subsidio o mayor Pagos; Ingresos garantizados; Riesgo oferente; Fórmula reajuste tarifa; Calificación de servicios adicionales.</t>
  </si>
  <si>
    <t>96671360-7</t>
  </si>
  <si>
    <t>TÚNEL EL MELÓN SA</t>
  </si>
  <si>
    <t>SIN</t>
  </si>
  <si>
    <t>Fijo</t>
  </si>
  <si>
    <t>SD</t>
  </si>
  <si>
    <t>002_CDMA1</t>
  </si>
  <si>
    <t>Camino de la Madera</t>
  </si>
  <si>
    <t>Primera concesión Camino de la Madera</t>
  </si>
  <si>
    <t>Esta concesión comenzó en 1994 y terminó anticipadamente el 13 de julio de 2012, a través del Convenio de Extinción del Contrato. El proyecto consideró el mejoramiento de una vialidad de 108,7 km de extensión, cuyo eje vial principal conectó a las comunas de San Pedro de la Paz y Concepción con las de Santa Juana, Nacimiento y Coihue (al sur oriente de la capital penquista), como también con los puertos de la Región de Bío Bío.
La iniciativa incluyó también el mejoramiento de los caminos existentes y nuevas obras como enlaces y retornos, entre otros.</t>
  </si>
  <si>
    <t>Biobío</t>
  </si>
  <si>
    <t>https://concesiones.mop.gob.cl/project/camino-de-la-madera/</t>
  </si>
  <si>
    <t>Nivel y estructura de tarifa; Plazo; menor Subsidio o mayor  Pagos; Ingresos garantizados; Riesgo oferente; Fórmula reajuste tarifa; Calificación de servicios adicionales.</t>
  </si>
  <si>
    <t>96704590-K</t>
  </si>
  <si>
    <t>CAMINO DE LA MADERA SOCIEDAD CONCESIONARIA S.A.</t>
  </si>
  <si>
    <t>https://www.cmfchile.cl/institucional/mercados/entidad.php?auth=&amp;send=&amp;mercado=O&amp;rut=96704590&amp;grupo=&amp;tipoentidad=RGEIN&amp;vig=NV&amp;row=AAAwy2ACTAAAAWcAAb&amp;control=svs&amp;pestania=1</t>
  </si>
  <si>
    <t>003_ADAI1</t>
  </si>
  <si>
    <t>Primera concesión Terminales de Pasajeros y de Carga Aeropuerto Diego Aracena de Iquique</t>
  </si>
  <si>
    <t>Esta concesión finalizó en 2007 y consideró la ampliación y remodelación del Terminal de Pasajeros, el desarrollo de un nuevo puente de embarque, la ampliación del número de estacionamientos, una nueva Torre de Control, un Edificio Administrativo para la Dirección General de Aeronáutica Civil (DGAC) y nuevas calles.
Con el desarrollo de esta obra se buscó mejorar los estándares de las instalaciones aeroportuarias.
La obra fue relicitada y en la actualidad está vigente la cuarta concesión.</t>
  </si>
  <si>
    <t>Aeroportuaria</t>
  </si>
  <si>
    <t>Tarapacá</t>
  </si>
  <si>
    <t>Privado</t>
  </si>
  <si>
    <t>https://concesiones.mop.gob.cl/project/primera-concesion-aeropuerto-diego-aracena-de-iquique/</t>
  </si>
  <si>
    <t>Nivel de tarifa; Puntaje oferta técnica; Plazo.</t>
  </si>
  <si>
    <t>96778310-2</t>
  </si>
  <si>
    <t>Concesionaria Chucutama</t>
  </si>
  <si>
    <t>https://www.cmfchile.cl/institucional/mercados/entidad.php?mercado=V&amp;rut=96778310&amp;grupo=&amp;tipoentidad=RVEMI&amp;row=AAAwy2ACTAAABzAAAj&amp;vig=NV&amp;control=svs&amp;pestania=5</t>
  </si>
  <si>
    <t>004_ATEP1</t>
  </si>
  <si>
    <t>Primera concesión Terminal de Pasajeros Aeropuerto El Tepual de Puerto Montt</t>
  </si>
  <si>
    <t>Esta concesión finalizó en 2008 y consideró la construcción de un nuevo edificio terminal de pasajeros de 4.962 m2, con zonas de embarque y desembarque independientes para vuelos nacionales e internacionales.
El proyecto también incluyó una plataforma de estacionamiento de aviones, planta de tratamiento de aguas servidas y la ampliación de estacionamiento para vehículos junto con nuevas calles de acceso en el recinto.
La obra fue relicitada y en la actualidad está vigente la cuarta concesión.</t>
  </si>
  <si>
    <t>Los Lagos</t>
  </si>
  <si>
    <t>https://concesiones.mop.gob.cl/project/primera-concesion-aeropuerto-el-tepual-de-puerto-montt/</t>
  </si>
  <si>
    <t>96770980-8</t>
  </si>
  <si>
    <t>CONCESION AEROPUERTO EL TEPUAL S.A.</t>
  </si>
  <si>
    <t>https://www.cmfchile.cl/institucional/mercados/entidad.php?mercado=O&amp;rut=96770980&amp;grupo=&amp;tipoentidad=RGEIN&amp;row=AAAwy2ACTAAAAWbAAW&amp;vig=NV&amp;control=svs&amp;pestania=5</t>
  </si>
  <si>
    <t>005_ANCO1</t>
  </si>
  <si>
    <t>Primera concesión Ruta del Itata</t>
  </si>
  <si>
    <t>Autopista de doble calzada que se extiende por 75 km, desde el km 413,2 de la Ruta 5 Sur (aproximadamente 11 km al sur de Chillán) hasta su empalme con la Ruta 150 CH que une a Penco con Concepción, en la Región del Bío Bío.
Esta incluye un ramal colector en calzada simple, con estándar de carretera primaria, de 14 km, que se prolonga hacia el norponiente desde las localidades de Agua Amarilla a Rafael. Permite un acceso directo desde la Ruta Los Conquistadores, que se inicia en San Javier, en km 275 de la Ruta 5 Sur y serpentea hacia el sur entre ésta última y el mar, atravesando Cauquenes, Quirihue y Coelemu hasta llegar a Rafael.
También presenta cinco enlaces, un puente sobre el Río Itata, dos pasos sobre la línea férrea y 73 pasos desnivelados, mejorando la conectividad de la región con el resto del país.</t>
  </si>
  <si>
    <t>Ñuble; Biobío</t>
  </si>
  <si>
    <t>https://concesiones.mop.gob.cl/project/ruta-del-itata-concesion-acceso-norte-a-concepcion/</t>
  </si>
  <si>
    <t>Nivel de tarifa; Subsidio.</t>
  </si>
  <si>
    <t>96751030-0</t>
  </si>
  <si>
    <t>SOC CONCESIONARIA AUTOPISTA DEL ITATA S A</t>
  </si>
  <si>
    <t>https://www.cmfchile.cl/institucional/mercados/entidad.php?auth=&amp;send=&amp;mercado=O&amp;rut=96751030&amp;grupo=&amp;tipoentidad=RGEIN&amp;vig=VI&amp;row=AAAwy2ACTAAABy3AAY&amp;control=svs&amp;pestania=1</t>
  </si>
  <si>
    <t>006_SASA1</t>
  </si>
  <si>
    <t>Primera concesión Autopista Santiago - San Antonio</t>
  </si>
  <si>
    <t>Esta concesión finalizó el 21 de marzo de 2022 y consideró la construcción y operación de la Autopista Santiago-San Antonio, también conocida como Ruta 78 y Autopista del Sol, de 131,4 km de extensión.
La Ruta 78 abarca las regiones Metropolitana y de Valparaíso, beneficiando a las provincias de Santiago, Talagante, Melipilla y San Antonio. La vía es fundamental para el transporte de carga entre Santiago y el puerto de San Antonio, así como los viajes a las zonas turísticas costeras. La obra fue relicitada y en la actualidad está vigente la segunda concesión.
La obra fue relicitada y en la actualidad está vigente la segunda concesión.</t>
  </si>
  <si>
    <t>Valparaíso; Metropolitana de Santiago</t>
  </si>
  <si>
    <t>https://concesiones.mop.gob.cl/project/primera-concesion-autopista-santiago-san-antonio-ruta-78/</t>
  </si>
  <si>
    <t>Nivel de tarifa; Subsidio; Otros (i)</t>
  </si>
  <si>
    <t>96762780-1</t>
  </si>
  <si>
    <t>SOC CONCESIONARIA AUTOPISTA DEL SOL S A</t>
  </si>
  <si>
    <t>ttps://www.cmfchile.cl/institucional/mercados/entidad.php?auth=&amp;send=&amp;mercado=O&amp;rut=96762780&amp;grupo=&amp;tipoentidad=RGEIN&amp;vig=VI&amp;row=AAAwy2ACTAAAAWfAAK&amp;control=svs&amp;pestania=1</t>
  </si>
  <si>
    <t>007_CNPU1</t>
  </si>
  <si>
    <t>Camino Nogales - Puchuncaví</t>
  </si>
  <si>
    <t>Primera concesión Camino Nogales - Puchuncaví</t>
  </si>
  <si>
    <t>Esta concesión finalizó en 2016 y consideró el mejoramiento de 27,1 km de la Ruta F20,  con una calzada bidireccional de 7 metros de ancho. El proyecto consideró laconstrucción del Puente Nogales, la ampliación a terceras pistas en la zona de cuesta, nuevos enlaces y mejoramiento de obras de seguridad vial, señalización y demarcación en toda la extensión de la ruta e implementación de postes SOS para emergencias y atención a usuarios en la ruta. Con el desarrollo de esta obra se buscó mejorar el estándar de la infraestructura vial que conecta la Región deValparaíso con el norte y centro del país gracias a su conexión con la Ruta 5 norte.
La obra fue relicitada y en la actualidad está vigente la segunda concesión.</t>
  </si>
  <si>
    <t>https://concesiones.mop.gob.cl/project/primera-concesion-camino-nogales-puchuncavi/</t>
  </si>
  <si>
    <t>96771870-k</t>
  </si>
  <si>
    <t>SOCIEDAD CONCESIONARIA CAMINO NOGALES PUCHUNCAVI S.A.</t>
  </si>
  <si>
    <t>https://www.cmfchile.cl/institucional/mercados/entidad.php?mercado=O&amp;rut=96771870&amp;grupo=&amp;tipoentidad=RGEIN&amp;row=AAAwy2ACTAAAAWcAAS&amp;vig=NV&amp;control=svs&amp;pestania=5</t>
  </si>
  <si>
    <t>Variable</t>
  </si>
  <si>
    <t>008_AVAM1</t>
  </si>
  <si>
    <t>Acceso Vial Aeropuerto Arturo Merino Benítez</t>
  </si>
  <si>
    <t>Primera concesión Acceso Vial Aeropuerto Arturo Merino Benítez</t>
  </si>
  <si>
    <t>Esta concesión finalizó en septiembre de 2008 y consideró la construcción y operación de una ruta de doble calzada de 2,2 km de extensión, que une la Avenida Américo Vespucio con el Aeropuerto Arturo Merino Benítez.
El proyecto, además de la construcción y operación de la nueva vialidad, incluyó el desarrollo de enlaces y señalética de seguridad, entre otros.
La obra fue relicitada y en la actualidad está vigente la segunda concesión.</t>
  </si>
  <si>
    <t>Vial urbana</t>
  </si>
  <si>
    <t>Metropolitana de Santiago</t>
  </si>
  <si>
    <t>https://concesiones.mop.gob.cl/project/primera-concesion-acceso-vial-aeropuerto-arturo-merino-benitez/</t>
  </si>
  <si>
    <t>Nivel de tarifa.</t>
  </si>
  <si>
    <t>96784130-7</t>
  </si>
  <si>
    <t>SOCIEDAD CONCESIONARIA AEROVIAS S.A.</t>
  </si>
  <si>
    <t>https://www.cmfchile.cl/institucional/mercados/entidad.php?auth=&amp;send=&amp;mercado=V&amp;rut=96784130&amp;grupo=&amp;tipoentidad=RVEMI&amp;vig=NV&amp;row=AAAwy2ACTAAABzAAAo&amp;control=svs&amp;pestania=1</t>
  </si>
  <si>
    <t>009_TACH1</t>
  </si>
  <si>
    <t>Primera concesión Concesión Ruta 5 Tramo Talca - Chillán</t>
  </si>
  <si>
    <t>Esta concesión finalizó en marzo de 2021 y consideró la construcción y operación de una autopista de doble calzada de 193,3 km de longitud que corresponde al tramo Talca-Chillán de la Ruta 5 Sur que se emplaza entre las regiones del Maule y Ñuble.
La obra consideró el desarrollo de intersecciones a desnivel, además del mejoramiento de las calzadas existentes lo que permite garantizar velocidades de diseño de 120 km/hr.
También se construyeron nuevos puentes y se mejoraron los existentes. El principal beneficio de esta autopista es el estándar de doble calzada que permite mejorar los tiempos de desplazamiento y la conectividad.
La obra fue relicitada y en la actualidad está vigente la segunda concesión.</t>
  </si>
  <si>
    <t>Maule; Ñuble</t>
  </si>
  <si>
    <t>https://concesiones.mop.gob.cl/project/primera-concesion-ruta-5-tramo-talca-chillan/</t>
  </si>
  <si>
    <t>Licitación pública con preselección</t>
  </si>
  <si>
    <t>Nivel de tarifa; Plazo.</t>
  </si>
  <si>
    <t>96787910-K</t>
  </si>
  <si>
    <t>RUTA DEL MAULE SOCIEDAD CONCESIONARIA S.A.</t>
  </si>
  <si>
    <t>https://www.cmfchile.cl/institucional/mercados/entidad.php?auth=&amp;send=&amp;mercado=O&amp;rut=96787910&amp;grupo=&amp;tipoentidad=RGEIN&amp;vig=VI&amp;row=AAAwy2ACTAAABywAAA&amp;control=svs&amp;pestania=1</t>
  </si>
  <si>
    <t>010_SCLA1</t>
  </si>
  <si>
    <t>Camino Santiago - Colina - Los Andes</t>
  </si>
  <si>
    <t>Primera concesión Camino Santiago - Colina - Los Andes</t>
  </si>
  <si>
    <t>Autopista de 116 km de extensión que conecta la capital y el corredor Bioceánico Cristo Redentor y así como Valparaíso con el Paso Los Libertadores (frontera con Argentina), es por ello que esta ruta constituye un eje fundamental para el transporte terrestre.
Está conformada por el Camino Santiago Colina Los Andes, el que se inicia en la intersección de la Circunvalación Américo Vespucio con la Ruta G-15 y continúa por esta ruta hasta Colina, con bypass por dicha localidad. Sigue en dirección a Casas de Chacabuco, donde la ruta se denomina Ruta 57 CH, continúa hasta la bifurcación San Felipe-Los Andes, a partir de la cual continúa por Calle Larga por aproximadamente 2 km para seguir en dirección nororiente a través de bypass a la ciudad de Los Andes hasta llegar a la intersección con el Camino Internacional Ruta 60 CH.
La ruta recorre las comunas de Los Andes, Rinconada y Calle Larga, en la Región de Valparaíso y Quilicura, Huechuraba y Colina, en la Región Metropolitana.</t>
  </si>
  <si>
    <t>https://concesiones.mop.gob.cl/project/concesion-ruta-57-santiago-colina-los-andes/</t>
  </si>
  <si>
    <t>Operación</t>
  </si>
  <si>
    <t>Nivel de tarifa:Plazo; Pagos.</t>
  </si>
  <si>
    <t>96818910-7</t>
  </si>
  <si>
    <t>SOC CONCESIONARIA AUTOPISTA LOS LIBERTADORES S A</t>
  </si>
  <si>
    <t>https://www.cmfchile.cl/institucional/mercados/entidad.php?auth=&amp;send=&amp;mercado=O&amp;rut=96818910&amp;grupo=&amp;tipoentidad=RGEIN&amp;vig=VI&amp;row=AAAwy2ACTAAAAWfAAA&amp;control=svs&amp;pestania=1</t>
  </si>
  <si>
    <t>011_SALV1</t>
  </si>
  <si>
    <t>Primera concesión Concesión Ruta 5 Tramo Santiago - Los Vilos</t>
  </si>
  <si>
    <t>Corresponde a la ejecución, conservación y explotación de una autopista de 218,24 kms. de longitud en la Ruta 5 Norte, que se extiende entre los km. 10,8, en Quilicura, y el km. 229,1 en Los Vilos.
Durante las obras se desarrollaron 154,4 kms. de segundas calzadas, 114 kms. de calles de servicio, además del desarrollo de la Variante Los Vilos, con 4,5 kms. La obra también contempla doble calzada y 14,14 kms. de terceras pistas en ambas calzadas a la salida norte de Santiago, entre Quilicura y Batuco.
En materia de seguridad vial consideró la instalación de defensas camineras en la mediana y en la berma, protección de elementos duros e instalación de defensas camineras triple onda en el sector de la Cuesta El Manzano. También incluyó elementos como asistencia de camiones grúa, vehículos de patrullaje y apoyo mecánico, personal paramédico, ambulancias y primeros auxilios y citófonos de emergencia dispuestos en ruta.
La obra cuenta con nueva señalización, demarcación del pavimento, Iluminación y paisajismo en las intersecciones desniveladas, mantenimiento y conservación de calzadas existentes, nueva capa asfáltica en la Cuesta El Melón, mantenimiento y reparación de 19 puentes y pasos de ferrocarril existentes y mantención y mejoramiento de los sistemas de drenaje.
También dentro de esta obra se consideró los trabajos del denominado Tramo Urbano que corresponde a la zona entre Enlace Quilicura y Lampa que consideró el desarrollo de una autopista de 15 km de extensión de cuatro pistas por sentido, entre Américo Vespucio y Buenaventura y de tres pistas por sentido hasta Lampa. A ello se suman calles laterales, y sin cobro, de 3 pistas por sentido, ubicadas entre Américo Vespucio y Buenaventura, y luego de dos pistas por sentido, hasta Lampa.
Esta obra consideró además la modernización de la plaza de peajes de Lampa que cuenta con pórtico de telepeaje y casetas manuales a los costados. La ruta otorga como principal beneficio favorecer el transporte en las regiones Metropolitana, Valparaíso y Coquimbo, conectando a las comunas de Quilicura, Colina, Lampa, Til-Til, Llay-Llay, Hijuelas, La Calera, Nogales, Zapallar, La Ligua, Papudo y Los Vilos, beneficiando así a una zona con actividad frutícola, industrial, minera y turística.
También es importante destacar que comunica con la Ruta de Los Libertadores (Santiago-Colina-Los Andes), que empalma con el paso internacional de Cristo Redentor (Región de Valparaíso), en la frontera con Argentina, a través del cual existe gran intercambio de productos con los distintos países del Mercosur.</t>
  </si>
  <si>
    <t>Coquimbo; Valparaíso; Metropolitana de Santiago</t>
  </si>
  <si>
    <t>https://concesiones.mop.gob.cl/project/concesion-ruta-5-tramo-santiago-los-vilos/</t>
  </si>
  <si>
    <t>Nivel de tarifa; Plazo; Pagos.</t>
  </si>
  <si>
    <t>96820630-3</t>
  </si>
  <si>
    <t>SOC CONCESIONARIA AUTOPISTA DEL ACONCAGUA S A</t>
  </si>
  <si>
    <t>https://www.cmfchile.cl/institucional/mercados/entidad.php?auth=&amp;send=&amp;mercado=O&amp;rut=96820630&amp;grupo=&amp;tipoentidad=RGEIN&amp;vig=VI&amp;row=AAAwy2ACTAAABy3AAa&amp;control=svs&amp;pestania=1</t>
  </si>
  <si>
    <t>012_ISVV1</t>
  </si>
  <si>
    <t>Interconexión Vial Santiago - Valparaíso - Viña del Mar</t>
  </si>
  <si>
    <t>Primera concesión Interconexión Vial Santiago - Valparaíso - Viña del Mar</t>
  </si>
  <si>
    <t>Esta interconexión vial comprende un total de 141,3 km compuestos por 109,6 km de la Ruta 68; 21,0 km de la Ruta 62 (Troncal Sur) y 10,7 km de la Ruta 60-CH (Vía Las Palmas). Esta vía constituye la principal ruta que conecta las regiones Metropolitana y de Valparaíso.
Cuenta con cuatro túneles, 16 puentes, 22 enlaces y catorce atraviesos, a ello se suma 40,2 km de calles de servicio urbanas, 19,6 km de calles de servicio rural y quince pasarelas peatonales, entre otros.
Esta vía favorece el transporte fluido y seguro de carga y de pasajeros. Su trazado permite un fácil acceso al puerto de Valparaíso, Viña del Mar, Quilpué y a otras ciudades interiores, a través del Troncal Sur y del Camino Las Palmas. La ruta también mejora la accesibilidad poniente al Gran Santiago, a la circunvalación Américo Vespucio y al sector industrial de Quilicura.</t>
  </si>
  <si>
    <t>https://concesiones.mop.gob.cl/project/concesion-interconexion-vial-santiago-valparaiso-vina-del-mar-ruta-68/</t>
  </si>
  <si>
    <t>Ingresos totales de la concesión.</t>
  </si>
  <si>
    <t>96873140-8</t>
  </si>
  <si>
    <t>SOC CONCESIONARIA RUTAS DEL PACIFICO S A</t>
  </si>
  <si>
    <t>https://www.cmfchile.cl/institucional/mercados/entidad.php?auth=&amp;send=&amp;mercado=O&amp;rut=96873140&amp;grupo=&amp;tipoentidad=RGEIN&amp;vig=VI&amp;row=AAAwy2ACTAAABy+AAI&amp;control=svs&amp;pestania=1</t>
  </si>
  <si>
    <t>013_CHCO1</t>
  </si>
  <si>
    <t>Primera concesión Internacional Ruta 5 Tramo Chillán - Collipulli</t>
  </si>
  <si>
    <t>Autopista de doble calzada que corresponde al tramo de la Ruta 5 Sur ubicado en la Región del Bío Bío. Cuenta con una extensión de 160,2 km.
En su trazado contempla 30 puentes de hormigón armado, 36 enlaces y atraviesos, 17 pasarelas peatonales, calles de servicio, pasos de maquinaria agrícola y ganado, ciclovías y paraderos de buses. Tiene dos plazas de peajes troncales en Santa Clara y Las Maicas, doce peajes laterales y una plaza de pesaje en ambos sentidos de la ruta.
Cuenta con vigilancia caminera las 24 horas, 166 citófonos de emergencia cada dos kilómetros a ambos lados de la ruta, estacionamientos para camiones, auxilio mecánico con grúa, ambulancia y primeros auxilios, servicios de control, demarcación, señalética, tres áreas de servicios generales con iluminación, espacios de recreo, agua potable y servicios higiénicos.
Este tramo de la ruta Ruta da conectividad a centros productivos con mercados locales, empalmando puertos y pasos fronterizos, fortaleciendo así la actividad comercial del sur del país.</t>
  </si>
  <si>
    <t>Ñuble; Biobío; La Araucanía</t>
  </si>
  <si>
    <t>https://concesiones.mop.gob.cl/project/primera-concesion-ruta-5-tramo-chillan-collipulli/</t>
  </si>
  <si>
    <t>96843170-6</t>
  </si>
  <si>
    <t>RUTA DEL BOSQUE SOCIEDAD CONCECIONARIA S.A.</t>
  </si>
  <si>
    <t>https://www.cmfchile.cl/institucional/mercados/entidad.php?auth=&amp;send=&amp;mercado=V&amp;rut=96843170&amp;grupo=&amp;tipoentidad=RVEMI&amp;vig=VI&amp;row=AAAwy2ACTAAABy9AAC&amp;control=svs&amp;pestania=1</t>
  </si>
  <si>
    <t>014_TERB1</t>
  </si>
  <si>
    <t>Primera concesión Internacional Ruta 5 Tramo Temuco - Río Bueno</t>
  </si>
  <si>
    <t>Autopista de 171,7 km de longitud, ubicada en los km 718,3 y 890 de la ruta 5 Sur que cruza las comunas de Gorbea y Loncoche, en la Región de la Araucanía, y a las de Lanco, San José de la Mariquina, Máfil, Los Lagos, Paillaco, La Unión y Río Bueno, en la Región de Los Lagos.
Esta autopista tiene 52 puentes, destacando el Paso Superior Loncoche Poniente, Puente Negro Poniente y Puente Río Bueno Oriente. Además, cuenta con 21 enlaces, 20 pasarelas peatonales, 915 alcantarillas, 78 paraderos de buses, calles de servicios, atraviesos y pasos de maquinaria y ganado.
El principal beneficio de esta ruta es mejorar la conectividad en la zona y dotar de mayor seguridad para los usuarios y a los habitantes de zonas aledañas a la vía.</t>
  </si>
  <si>
    <t>La Araucanía; Los Ríos</t>
  </si>
  <si>
    <t>https://concesiones.mop.gob.cl/project/concesion-ruta-5-tramo-temuco-rio-bueno/</t>
  </si>
  <si>
    <t>96848050-2</t>
  </si>
  <si>
    <t>RUTA DE LOS RIOS SOCIEDAD CONCESIONARIA S A</t>
  </si>
  <si>
    <t>https://www.cmfchile.cl/institucional/mercados/entidad.php?auth=&amp;send=&amp;mercado=O&amp;rut=96848050&amp;grupo=&amp;tipoentidad=RGEIN&amp;vig=VI&amp;row=AAAwy2ACTAAAAWbAAD&amp;control=svs&amp;pestania=1</t>
  </si>
  <si>
    <t>015_LVLS1</t>
  </si>
  <si>
    <t>Primera concesión Internacional Ruta 5 Tramo Los Vilos - La Serena</t>
  </si>
  <si>
    <t>Autopista de doble calzada con 229 km de extensión que continua el trazado de la Ruta 5 Norte entre el norte de Los Vilos hasta La Herradura en Coquimbo.
El tramo tiene cuatro áreas con estacionamientos, cafeterías y servicios higiénicos, dos áreas de control policial y dos áreas de estacionamientos para camiones.
Esta nueva infraestructura vial ha permitido impulsar la industria del pisco de los valles de Elqui y Limarí, así como el transporte de carga nacional y de exportación a través del puerto de Coquimbo.</t>
  </si>
  <si>
    <t>Coquimbo</t>
  </si>
  <si>
    <t>https://concesiones.mop.gob.cl/project/primera-concesion-ruta-5-tramo-los-vilos-la-serena/</t>
  </si>
  <si>
    <t>96826380-3</t>
  </si>
  <si>
    <t>SOC CONCESIONARIA DEL ELQUI S A</t>
  </si>
  <si>
    <t>https://www.cmfchile.cl/institucional/mercados/entidad.php?auth=&amp;send=&amp;mercado=O&amp;rut=96826380&amp;grupo=&amp;tipoentidad=RGEIN&amp;vig=VI&amp;row=AAAwy2ACTAAAByxAAB&amp;control=svs&amp;pestania=1</t>
  </si>
  <si>
    <t>016_ALFS1</t>
  </si>
  <si>
    <t>Primera concesión Terminal de Pasajeros Aeropuerto La Florida de La Serena</t>
  </si>
  <si>
    <t>Esta concesión finalizó en enero de 2013 y consideró la construcción de un nuevo edificio terminal de pasajeros de 3.000 m2, con susrespectivas áreas de servicios. El proyecto incluyó la edificación de una calle aeronáutica, que conectó el nuevo edificio con la plataforma de estacionamiento de aviones, como también mejoras a la vialidad de acceso y la implementación de una red de colectores adecuada para las necesidades del nuevo aeropuerto. La obra fue relicitada y en la actualidad está vigente la segunda concesión.</t>
  </si>
  <si>
    <t>https://concesiones.mop.gob.cl/project/primera-concesion-aeropuerto-la-florida-de-la-serena/</t>
  </si>
  <si>
    <t>96843940-5</t>
  </si>
  <si>
    <t>CONCESION AEROPUERTO LA FLORIDA S.A.</t>
  </si>
  <si>
    <t>https://www.cmfchile.cl/institucional/mercados/entidad.php?auth=&amp;send=&amp;mercado=V&amp;rut=96843940&amp;grupo=&amp;tipoentidad=RVEMI&amp;vig=NV&amp;row=AAAwy2ACTAAAAWbAAC&amp;control=svs&amp;pestania=1</t>
  </si>
  <si>
    <t>017_ALOA1</t>
  </si>
  <si>
    <t>Primera concesión Terminal de Pasajeros Aeropuerto El Loa de Calama</t>
  </si>
  <si>
    <t>Esta concesión finalizó en abril de 2011 y consideró la remodelación del terminal y la construcción de un nuevo Edificio de Pasajeros, con todas las obras civiles e instalaciones necesarias para dar a las líneas aéreas y usuarios las condiciones de servicio acordes a las de un aeropuerto regional que enfrenta una alta demanda de usuarios. Con el desarrollo de esta obra se buscó mejorar los estándares de las instalaciones aeroportuarias.
La obra fue relicitada y en la actualidad está vigente la segunda concesión.</t>
  </si>
  <si>
    <t>Antofagasta</t>
  </si>
  <si>
    <t>https://concesiones.mop.gob.cl/project/primera-concesion-aeropuerto-el-loa-de-calama/</t>
  </si>
  <si>
    <t>96858110-4</t>
  </si>
  <si>
    <t>CONCESION AEROPUERTO EL LOA S.A.</t>
  </si>
  <si>
    <t>https://www.cmfchile.cl/institucional/mercados/entidad.php?mercado=V&amp;rut=96858110&amp;grupo=&amp;tipoentidad=RVEMI&amp;row=AAAwy2ACTAAAAWcAAJ&amp;vig=NV&amp;control=svs&amp;pestania=6</t>
  </si>
  <si>
    <t>018_RBPM1</t>
  </si>
  <si>
    <t>Primera concesión Internacional Ruta 5 Tramo Río Bueno - Puerto Montt</t>
  </si>
  <si>
    <t>Autopista de doble calzada de 134 km de longitud que corresponde al tramo Río Bueno-Puerto Montt de la Ruta 5 Sur, que cruza las provincias de Valdivia, Osorno y Llanquihue y a las comunas de Río Bueno, San Pablo, Osorno, Río Negro, Purranque, Frutillar, Llanquihue, Puerto Varas y Puerto Montt.
Entre las obras desarrolladas se encuentran catorce puentes, entre los que se destacan Pilmaiquén Poniente, Rahue Poniente y Maullín Poniente. Además de 79 km de calles de servicio con 62 km pavimentados, 21 enlaces a desnivel con conexión a la Ruta 5 y ocho sin conexión a ésta, 26 pasarelas peatonales, catorce atraviesos de ganado, nueve cruces de maquinaria, 266 alcantarillas, 81 paraderos de buses y rehabilitación de otras tres estructuras.
La autopista permite una mayor actividad comercial gracias a la cercanía con puertos, aeropuertos y pasos fronterizos.</t>
  </si>
  <si>
    <t>Los Ríos; Los Lagos</t>
  </si>
  <si>
    <t>https://concesiones.mop.gob.cl/project/concesion-ruta-5-tramo-rio-bueno-puerto-montt/</t>
  </si>
  <si>
    <t>Nivel de tarifa; Pagos.</t>
  </si>
  <si>
    <t>96854510-8</t>
  </si>
  <si>
    <t>SOC CONCESIONARIA DE LOS LAGOS S A</t>
  </si>
  <si>
    <t>https://www.cmfchile.cl/institucional/mercados/entidad.php?auth=&amp;send=&amp;mercado=O&amp;rut=96854510&amp;grupo=&amp;tipoentidad=RGEIN&amp;vig=VI&amp;row=AAAwy2ACTAAAAWcAAI&amp;control=svs&amp;pestania=1</t>
  </si>
  <si>
    <t>019_AAMB1</t>
  </si>
  <si>
    <t>Aeropuerto Internacional Arturo Merino Benítez de Santiago</t>
  </si>
  <si>
    <t>Primera concesión Aeropuerto Internacional Arturo Merino Benítez de Santiago</t>
  </si>
  <si>
    <t>Esta concesión finalizó en 2015 y consideró la ampliación del  actual edificio Terminal Internacional de Pasajeros en cerca de 65.000 m². El proyecto también incluyó la construcción de una torre de control de 60 metros de altura, 75.000 m² de superficie para plataforma de aeronaves y 29.000 m² de calles de rodaje de aeronaves. Adicionalmente, se desarrolló un camino de enlace dentro de los sectores norte y sur de aeropuerto, equipamiento adicional para el Terminal y nuevos edificios para el Servicio Agrícola y Ganadero (SAG) y el Servicio Nacional de Aduanas. La obra fue relicitada y en la actualidad está vigente la segunda concesión.</t>
  </si>
  <si>
    <t>https://concesiones.mop.gob.cl/project/primera-concesion-aeropuerto-internacional-arturo-merino-benitez/</t>
  </si>
  <si>
    <t>Nivel de tarifa; Plazo; Otros (ii)</t>
  </si>
  <si>
    <t>96850960-8</t>
  </si>
  <si>
    <t xml:space="preserve">SCL TERMINAL AEREO SANTIAGO S.A. SOCIEDAD CONCESIONARIA </t>
  </si>
  <si>
    <t>https://www.cmfchile.cl/institucional/mercados/entidad.php?auth=&amp;send=&amp;mercado=O&amp;rut=96850960&amp;grupo=&amp;tipoentidad=RGEIN&amp;vig=NV&amp;row=AAAwy2ACTAAABy7AAj&amp;control=svs&amp;pestania=2</t>
  </si>
  <si>
    <t>020_COTE1</t>
  </si>
  <si>
    <t>Primera concesión Internacional Ruta 5 Tramo Collipulli - Temuco</t>
  </si>
  <si>
    <t>Autopista de 144 km de extensión que da continuidad a la ruta 5 Sur, emplazándose en la Región de la Araucanía.
La obra incluye la ampliación a segundas calzadas en todo el tramo, el desarrollo de 17 nuevos puentes y la mantención de los ya existentes, así como la construcción de los bypass de Temuco y Gorbea, además de quince intersecciones a desnivel conectadas a la ruta y de 16 sin conexión a ésta.
También considera el desarrollo de calles de servicio, 22 pasarelas peatonales, un paso peatonal bajo nivel, un paso bajo línea férrea, cinco pasos superiores, 31 atraviesos, 260 alcantarillas y 66 paraderos de buses.
Este tramo de la Ruta beneficia directamente a los sectores agropecuarios, lechero y maderero de la zona, así como al transporte terrestre de productos de toda La Araucanía, que movilizan su carga a regiones próximas.</t>
  </si>
  <si>
    <t>La Araucanía</t>
  </si>
  <si>
    <t>https://concesiones.mop.gob.cl/project/concesion-ruta-5-tramo-collipulli-temuco/</t>
  </si>
  <si>
    <t>96869650-5</t>
  </si>
  <si>
    <t>RUTA DE LA ARAUCANIA SOCIEDAD CONCESIONARIA S A</t>
  </si>
  <si>
    <t>https://www.cmfchile.cl/institucional/mercados/entidad.php?auth=&amp;send=&amp;mercado=O&amp;rut=96869650&amp;grupo=&amp;tipoentidad=RGEIN&amp;vig=VI&amp;row=AAAwy2ACTAAABy8AAO&amp;control=svs&amp;pestania=1</t>
  </si>
  <si>
    <t>021_SATA1</t>
  </si>
  <si>
    <t>Primera concesión Internacional Ruta 5 Tramo Santiago - Talca y Acceso Sur a Santiago</t>
  </si>
  <si>
    <t>Autopista de doble calzada de 266 km, que corresponde al tramo Santiago-Talca de la Ruta 5 Sur y además al Acceso Sur a Santiago. Cuenta en todo su trazado con accesos controlados, sistema de seguridad y emergencia, intersecciones principales desniveladas y mejoramiento de la señalización y demarcación existentes.
El Acceso Sur a Santiago potencia dos sectores industriales definidos en el Plan Regulador Metropolitano para las comunas de La Pintana y Puente Alto. Entre sus beneficios destaca facilitar el transporte de carga internacional e interregional, en particular en las regiones del Libertador General Bernardo O’Higgins, Maule, Metropolitana y la conexión con los puertos de embarque de la Región de Valparaíso.
Esta obra destaca también la realización de terceras pistas en el sector de Angostura de la Ruta 5 Sur y la nueva plaza de peajes, ambas iniciativas mejoran los tiempos de desplazamiento de un sector altamente demandado.</t>
  </si>
  <si>
    <t>Metropolitana de Santiago; Libertador General Bernardo O'Higgins; Maule</t>
  </si>
  <si>
    <t>https://concesiones.mop.gob.cl/project/concesion-ruta-5-tramo-santiago-talca-y-acceso-sur-a-santiago/</t>
  </si>
  <si>
    <t>Nivel de tarifa; Pagos; Otros (iii)</t>
  </si>
  <si>
    <t>96875230-8</t>
  </si>
  <si>
    <t>RUTA DEL MAIPO SOCIEDAD CONCESIONARIA S.A.</t>
  </si>
  <si>
    <t>https://www.cmfchile.cl/institucional/mercados/entidad.php?auth=&amp;send=&amp;mercado=V&amp;rut=96875230&amp;grupo=&amp;tipoentidad=RVEMI&amp;vig=VI&amp;row=AAAwy2ACTAAAAWeAAL&amp;control=svs&amp;pestania=2</t>
  </si>
  <si>
    <t>022_ACSU1</t>
  </si>
  <si>
    <t>Primera concesión Terminal de Pasajeros Aeropuerto Carriel Sur de Concepción</t>
  </si>
  <si>
    <t>Esta concesión finalizó en agosto de 2016 y consideró la construcción de un nuevo edificio Terminal de dos niveles y con cuatro mangas de embarque, con una capacidad para recibir un millón de pasajeros al año.
Además incluyó una nueva plataforma para estacionamiento de aeronaves, mejoras a la vialidad interior del aeropuerto y la ampliación de los estacionamientos públicos. Con el desarrollo de esta obra se buscó mejorar los estándares de las instalaciones aeroportuarias y generar una alternativa al Aeropuerto Arturo Merino Benítez, gracias a instalaciones que permiten el aterrizaje de cualquier tipo de aeronave en condiciones climáticas adversas.
La obra fue relicitada y en la actualidad está vigente la segunda concesión.</t>
  </si>
  <si>
    <t>https://concesiones.mop.gob.cl/project/primera-concesion-aeropuerto-carriel-sur-de-concepcion/</t>
  </si>
  <si>
    <t>96888630-4</t>
  </si>
  <si>
    <t>SOCIEDAD CONCESIONARIA AEROSUR S.A</t>
  </si>
  <si>
    <t>https://www.cmfchile.cl/institucional/mercados/entidad.php?auth=&amp;send=&amp;mercado=O&amp;rut=96888630&amp;grupo=&amp;tipoentidad=RGEIN&amp;vig=NV&amp;row=AAAwy2ACTAAAAWcAAA&amp;control=svs&amp;pestania=1</t>
  </si>
  <si>
    <t>023_ACMA1</t>
  </si>
  <si>
    <t>Primera concesión Terminal de Pasajeros Aeropuerto Cerro Moreno de Antofagasta</t>
  </si>
  <si>
    <t>Esta concesión finalizó en octubre de 2011 y consideró la remodelación del terminal aeroportuario, la implementación de tres puentes de embarque móviles y la ampliación del área de estacionamientos de vehículos. Además se construyó un nuevo edificio para la Dirección General de Aeronáutica Civil (DGAC).
Con el desarrollo de esta obra se buscó mejorar los estándares de las instalaciones aeroportuarias.
La obra fue relicitada y en la actualidad está vigente la segunda concesión.</t>
  </si>
  <si>
    <t>https://concesiones.mop.gob.cl/project/primera-concesion-aeropuerto-cerro-moreno-de-antofagasta/</t>
  </si>
  <si>
    <t>96912990-6</t>
  </si>
  <si>
    <t>AEROPUERTO CERRO MORENO SOCIEDAD CONCESIONARIA S.A.</t>
  </si>
  <si>
    <t>https://www.cmfchile.cl/institucional/mercados/entidad.php?mercado=O&amp;rut=96912990&amp;grupo=&amp;tipoentidad=RGEIN&amp;row=AAAwy2ACTAAAByxAAR&amp;vig=NV&amp;control=svs&amp;pestania=6</t>
  </si>
  <si>
    <t>024_SOPN1</t>
  </si>
  <si>
    <t>Primera concesión Internacional Sistema Oriente - Poniente</t>
  </si>
  <si>
    <t>Autopista urbana de 42,8 km de extensión distribuida en dos ejes viales de alto estándar. Por un lado, el Eje Costanera Norte, con una longitud de 35,4 km cuyo recorrido va desde el Puente La Dehesa hasta la Ruta 68 y, por otro lado, el Eje Kennedy, con una longitud aproximada de 7,4 km el que se extiende desde Avenida Tabancura (Nudo Estoril) hasta el Puente Lo Saldes, sobre el río Mapocho.
La obra conecta once comunas de la Región Metropolitana, Lo Barnechea, Vitacura, Las Condes, Providencia, Santiago, Recoleta, Independencia, Quinta Normal, Cerro Navia, Renca y Pudahuel.
La autopista permite además comunicar de manera rápida la ruta 68 y el Aeropuerto Internacional de Santiago, mejorando así la conectividad de la región.
La autopista cuenta con sistema de telepeaje.</t>
  </si>
  <si>
    <t>https://concesiones.mop.gob.cl/project/concesion-sistema-oriente-poniente-costanera-norte/</t>
  </si>
  <si>
    <t>Subsidio; Pagos; Riesgo oferente.</t>
  </si>
  <si>
    <t>76496130-7</t>
  </si>
  <si>
    <t>SOCIEDAD CONCESIONARIA COSTANERA NORTE S A</t>
  </si>
  <si>
    <t>https://www.cmfchile.cl/institucional/mercados/entidad.php?auth=&amp;send=&amp;mercado=V&amp;rut=76496130&amp;grupo=&amp;tipoentidad=RVEMI&amp;vig=VI&amp;row=AAAwy2ACTAAABy3AAA&amp;control=svs&amp;pestania=2</t>
  </si>
  <si>
    <t>025_ACIP1</t>
  </si>
  <si>
    <t>Primera concesión Terminal de Pasajeros Aeropuerto Presidente Carlos Ibáñez del Campo de Punta Arenas</t>
  </si>
  <si>
    <t>Esta concesión finalizó en enero de 2010 y consideró la construcción de un nuevo edificio terminal de pasajeros de aproximadamente 6.060 m2, con dos cintas transportadoras de equipaje y tres puentes de embarque, para atender a 500 mil pasajeros al año.
El contrato también incluyó la construcción de una nueva vialidad de acceso y circulación al interior del aeropuerto, con su respectiva iluminación y señalización, la ampliación y mejoramiento de la zona de estacionamiento de vehículos, un terminal de carga, una planta de tratamiento de aguas servidas y una nueva subestación eléctrica.
La obra fue relicitada y en la actualidad está vigente la segunda concesión.</t>
  </si>
  <si>
    <t>Magallanes y de la Antártica Chilena</t>
  </si>
  <si>
    <t>https://concesiones.mop.gob.cl/project/primera-concesion-aeropuerto-carlos-ibanez-del-campo-de-punta-arenas/</t>
  </si>
  <si>
    <t>Plazo.</t>
  </si>
  <si>
    <t>96921070-3</t>
  </si>
  <si>
    <t>AUSTRAL SOCIEDAD CONCESIONARIA S.A.</t>
  </si>
  <si>
    <t>https://www.cmfchile.cl/institucional/mercados/entidad.php?auth=&amp;send=&amp;mercado=O&amp;rut=96921070&amp;grupo=&amp;tipoentidad=RGEIN&amp;vig=NV&amp;row=AAAwy2ACTAAAAWbAAT&amp;control=svs&amp;pestania=2</t>
  </si>
  <si>
    <t>026_EEBA1</t>
  </si>
  <si>
    <t>Primera concesión Internacional Embalse Illapel</t>
  </si>
  <si>
    <t>Soluciones hídricas</t>
  </si>
  <si>
    <t>no hay disponible</t>
  </si>
  <si>
    <t>Plazo; Subsidio.</t>
  </si>
  <si>
    <t>96971160-5</t>
  </si>
  <si>
    <t>SOCIEDAD CONCESIONARIA EMBALSE ILLAPEL S.A.</t>
  </si>
  <si>
    <t>https://www.cmfchile.cl/institucional/mercados/entidad.php?auth=&amp;send=&amp;mercado=V&amp;rut=96971160&amp;grupo=&amp;tipoentidad=RVEMI&amp;vig=NV&amp;row=AAAwy2ACTAAABzAAAd&amp;control=svs&amp;pestania=2</t>
  </si>
  <si>
    <t>No aplica</t>
  </si>
  <si>
    <t>027_SNSS1</t>
  </si>
  <si>
    <t>Sistema Norte - Sur</t>
  </si>
  <si>
    <t>Primera concesión Sistema Norte - Sur</t>
  </si>
  <si>
    <t>Autopista urbana de 60 km de longitud dividida en dos ejes. El primero Norte-Sur con una extensión de 39,5 km, se extiende desde la ribera norte del Río Maipo por el sur hasta la circunvalación Américo Vespucio por el norte, en el sector de Quilicura. El otro corresponde a General Velásquez con 21 km de vía que nace en la Ruta 5 Sur (Las Acacias) por el sur hasta su empalme con la Ruta 5 Norte.
La ruta cuenta con obras adicionales como el enlace Balmaceda y el enlace General Velásquez.
La Autopista Central fue inaugurada en diciembre de 2004, siendo la primera autopista urbana construida bajo el sistema de Concesiones.
La autopista cuenta con sistema de telepeaje.</t>
  </si>
  <si>
    <t>https://concesiones.mop.gob.cl/project/concesion-sistema-norte-sur-autopista-central/</t>
  </si>
  <si>
    <t>Pagos; Riesgo oferente.</t>
  </si>
  <si>
    <t>96945440-8</t>
  </si>
  <si>
    <t>SOC CONCESIONARIA AUTOPISTA CENTRAL S A</t>
  </si>
  <si>
    <t>https://www.cmfchile.cl/institucional/mercados/entidad.php?auth=&amp;send=&amp;mercado=V&amp;rut=96945440&amp;grupo=&amp;tipoentidad=RVEMI&amp;vig=VI&amp;row=AAAwy2ACTAAABy+AAF&amp;control=svs&amp;pestania=2</t>
  </si>
  <si>
    <t>028_RVLC1</t>
  </si>
  <si>
    <t>Red Vial Litoral Central</t>
  </si>
  <si>
    <t>Primera concesión Red Vial Litoral Central</t>
  </si>
  <si>
    <t>Red vial de 77 km de longitud que se extiende por el litoral desde Cartagena hasta Algarrobo, en la Región de Valparaíso.
La iniciativa considera conexión al camino Santiago-Valparaíso-Viña del Mar, en el sector de Casablanca, y al camino Santiago-San Antonio, en el sector de Aguas Buenas.
La obra consiste en cuatro sectores: Nuevo camino Costero Cartagena-Algarrobo, Camino Algarrobo-Casablanca (Ruta F-90), Camino Costero Interior y Algarrobo-Mirasol.
Esta obra beneficia a los habitantes de la región y turistas que cuentan con un mejoramiento vial que permite mejorar los flujos de tránsito, así como favorecer el comercio local.</t>
  </si>
  <si>
    <t>https://concesiones.mop.gob.cl/project/concesion-red-vial-litoral-central/</t>
  </si>
  <si>
    <t>96943620-5</t>
  </si>
  <si>
    <t>SOC CONCESIONARIA LITORAL CENTRAL S A</t>
  </si>
  <si>
    <t>https://www.cmfchile.cl/institucional/mercados/entidad.php?auth=&amp;send=&amp;mercado=O&amp;rut=96943620&amp;grupo=&amp;tipoentidad=RGEIN&amp;vig=VI&amp;row=AAAwy2ACTAAAByxAAF&amp;control=svs&amp;pestania=1</t>
  </si>
  <si>
    <t>029_AVES1</t>
  </si>
  <si>
    <t>Sistema Américo Vespucio Sur, Ruta 78 - Av. Grecia</t>
  </si>
  <si>
    <t>Primera concesión Sistema Américo Vespucio Sur, Ruta 78 - Av. Grecia</t>
  </si>
  <si>
    <t>Autopista que corresponde al anillo sur de la Circunvalación Américo Vespucio, que constituye uno de los ejes estructurantes del Plan Regulador Metropolitano.
Tiene una longitud de 23,5 km y se extiende desde la Ruta 78 “Autopista del Sol” a la Rotonda de Avenida Grecia. La ruta cruza nueve comunas: Macul, Peñalolén, La Florida, La Granja, San Ramón, La Cisterna, Lo Espejo, Cerrillos y Maipú.
La obra consta de dobles calzadas de tres pistas por sentido y calles locales a los costados destinadas a la locomoción colectiva y particular. La autopista cuenta con sistema de telepeaje.</t>
  </si>
  <si>
    <t>https://concesiones.mop.gob.cl/project/concesion-sistema-americo-vespucio-sur-ruta-78-av-grecia/</t>
  </si>
  <si>
    <t>Subsidio;  Pagos.</t>
  </si>
  <si>
    <t>76052927-3</t>
  </si>
  <si>
    <t>SOCIEDAD CONCESIONARIA AUTOPISTA NUEVA VESPUCIO SUR S.A.</t>
  </si>
  <si>
    <t>https://www.cmfchile.cl/institucional/mercados/entidad.php?auth=&amp;send=&amp;mercado=V&amp;rut=76052927&amp;grupo=&amp;tipoentidad=RVEMI&amp;vig=VI&amp;row=AAAwy2ACTAAABzPAAA&amp;control=svs&amp;pestania=2</t>
  </si>
  <si>
    <t>030_VAME1</t>
  </si>
  <si>
    <t>Variante Melipilla</t>
  </si>
  <si>
    <t>Primera concesión Variante Melipilla</t>
  </si>
  <si>
    <t>Vía de 8,15 km para el tránsito de vehículos con dirección a Rapel o bien a la zona costera norte de la Región del Libertador General Bernardo O’Higgins desde la Ruta 78, que surge como alternativa para evitar cruzar el área urbana de la comuna de Melipilla.
La variante se conecta con la Ruta 78 mediante el Enlace Rapel, a la altura del km 63 de la Ruta 78, y concluye en la Ruta G-60. En su trazado incluye un nuevo puente sobre el río Maipo.
La obra permitió agilizar la circulación de vehículos en una zona con flujos elevados y ha mejorado el nivel de servicio en el sector formado por la Ruta G-60, Camino Melipilla-Crucero Las Arañas-Rapel, en el tramo Melipilla-Puente Ingeniero Marambio.</t>
  </si>
  <si>
    <t>https://concesiones.mop.gob.cl/project/concesion-variante-melipilla/</t>
  </si>
  <si>
    <t>Subsidio.</t>
  </si>
  <si>
    <t>96972220-8</t>
  </si>
  <si>
    <t>SOC CONCESIONARIA MELIPILLA S A</t>
  </si>
  <si>
    <t>https://www.cmfchile.cl/institucional/mercados/entidad.php?auth=&amp;send=&amp;mercado=V&amp;rut=96972220&amp;grupo=&amp;tipoentidad=RVEMI&amp;vig=VI&amp;row=AAAwy2ACTAAABywAAL&amp;control=svs&amp;pestania=2</t>
  </si>
  <si>
    <t>031_PP1G1</t>
  </si>
  <si>
    <t>Programa de Concesiones de Infraestructura Penitenciaria, Grupo 1</t>
  </si>
  <si>
    <t>Primera concesión Programa de Concesiones de Infraestructura Penitenciaria, Grupo 1</t>
  </si>
  <si>
    <t>En La Serena se ubica el penal de mediana seguridad, mientras que en Alto Hospicio y Rancagua se emplazan los de alta seguridad que forman parte de este programa Penitenciario.
Los recintos cuentan con medidas de seguridad, segmentación de la población penal así como servicios como alimentación, lavandería, entre otros.
En el caso de La Serena tiene una capacidad para 2.318 detenidos, el Alto Hospicio de 2.351 y el de Rancagua de 2.365.
Cuenta con un Programa de Reinserción Social cuyo foco está en modificar las conductas que lo motivaron a delinquir.</t>
  </si>
  <si>
    <t>Penitenciaria</t>
  </si>
  <si>
    <t>Tarapacá; Coquimbo; Libertador General Bernardo O'Higgins</t>
  </si>
  <si>
    <t>https://concesiones.mop.gob.cl/project/concesion-programa-penitenciario-grupo-1-iquique-la-serena-rancagua/</t>
  </si>
  <si>
    <t>Subsidio; Otros (iv)</t>
  </si>
  <si>
    <t>96994390-5</t>
  </si>
  <si>
    <t>SOC CONCESIONARIA BAS S A</t>
  </si>
  <si>
    <t>https://www.cmfchile.cl/institucional/mercados/entidad.php?auth=&amp;send=&amp;mercado=O&amp;rut=96994390&amp;grupo=&amp;tipoentidad=RGEIN&amp;vig=VI&amp;row=AAAwy2ACTAAAByxAAO&amp;control=svs&amp;pestania=1</t>
  </si>
  <si>
    <t>032_AVNP1</t>
  </si>
  <si>
    <t>Sistema Américo Vespucio Nor-Poniente, Av. El Salto-Ruta 78</t>
  </si>
  <si>
    <t>Primera concesión Sistema Américo Vespucio Nor-Poniente, Av. El Salto-Ruta 78</t>
  </si>
  <si>
    <t>Autopista que corresponde al anillo norte de la Circunvalación Américo Vespucio, que constituye uno de los ejes estructurantes del Plan Regulador Metropolitano de Santiago.
La autopista, que cuenta con telepeaje, se extiende entre Av. El Salto por el oriente, y la Ruta 78, por el poniente, cruzando las comunas de Huechuraba, Recoleta, Conchalí, Quilicura, Renca, Cerro Navia, Pudahuel y Maipú.
La ruta interactúa con vías expresas de importancia, como Ruta 5 Norte, Ruta 57-CH, autopista Costanera Norte, Ruta 68, Ruta 78 y autopista Vespucio Sur.
De igual forma se conecta con el centro de la capital a través del Túnel San Cristóbal, el cual se unirá con la Avenida Kennedy, el eje vial más importante del sector oriente de Santiago.</t>
  </si>
  <si>
    <t>https://concesiones.mop.gob.cl/project/concesion-sistema-americo-vespucio-norponiente-av-el-salto-ruta-78/</t>
  </si>
  <si>
    <t>96992030-1</t>
  </si>
  <si>
    <t>SOC CONCESIONARIA VESPUCIO NORTE EXPRESS S A</t>
  </si>
  <si>
    <t>https://www.cmfchile.cl/institucional/mercados/consulta_busqueda.php?entidad_web=G&amp;valor=96992030&amp;boton_busqueda=</t>
  </si>
  <si>
    <t>033_RITP1</t>
  </si>
  <si>
    <t>Ruta Interportuaria Talcahuano - Penco por Isla Rocuant</t>
  </si>
  <si>
    <t>Primera concesión Ruta Interportuaria Talcahuano - Penco por Isla Rocuant</t>
  </si>
  <si>
    <t>Autopista de calzada bidireccional de alto estándar, conformada por el Troncal Penco-Talcahuano, de 11,1 km, y el Ramal Alessandri, que se conecta al Troncal en enlace Rocuant, con longitud de 3,4 km. La extensión total de esta ruta es de 14,5 km.
La vía implica una disminución considerable de los tiempos de viaje en el traslado de Penco a Talcahuano, favoreciendo el desarrollo turístico de la Región del Bío Bío al mejorar el acceso a los puertos de Lirquén, Penco, Talcahuano y San Vicente y al Aeropuerto Carriel Sur.
Asimismo, promueve la conexión con el litoral costero desde Penco a Dichato y, por el interior, a todos los flujos que concentra la Autopista del Itata hacia la Ruta 5 Sur.
Los impactos más relevantes para Concepción han sido la sustancial reducción del tránsito de camiones por sus calles y el mejoramiento de la vialidad de su área metropolitana.</t>
  </si>
  <si>
    <t>https://concesiones.mop.gob.cl/project/concesion-ruta-interportuaria-talcahuano-penco/</t>
  </si>
  <si>
    <t>Ingresos totales de la concesión; Subsidio; Otros (iii)</t>
  </si>
  <si>
    <t>96989050-K</t>
  </si>
  <si>
    <t>SOC CONCESIONARIA AUTOPISTA INTERPORTUARIA S A</t>
  </si>
  <si>
    <t>https://www.cmfchile.cl/institucional/mercados/entidad.php?auth=&amp;send=&amp;mercado=V&amp;rut=96989050&amp;grupo=&amp;tipoentidad=RVEMI&amp;vig=VI&amp;row=AAAwy2ACTAAABywAAd&amp;control=svs&amp;pestania=2</t>
  </si>
  <si>
    <t>034_60RU1</t>
  </si>
  <si>
    <t>Camino Internacional Ruta 60 Ch</t>
  </si>
  <si>
    <t>Primera concesión Camino Internacional Ruta 60 Ch</t>
  </si>
  <si>
    <t>La Ruta Internacional 60 Ch atraviesa transversalmente el territorio nacional, cruzando la Quinta Región de Valparaíso en sentido oriente-poniente.
El proyecto se inicia antes del empalme de la Ruta 57 Ch con la actual Ruta 60, al oriente de la ciudad de Los Andes, a 6,5 Km. al poniente del Puente Las Vizcachas, y termina en el enlace Peñablanca, donde empalmará con el punto inicial del Troncal Sur.
El proyecto tiene una longitud efectiva de 90,5 km y está dividido en dos sectores: Sector 1, Los Andes - Ruta 5 Norte, y Sector 2, Ruta 5 Norte - Enlace Peñablanca.</t>
  </si>
  <si>
    <t>https://concesiones.mop.gob.cl/project/concesion-camino-internacional-ruta-60-ch/</t>
  </si>
  <si>
    <t>99516880-4</t>
  </si>
  <si>
    <t>SOC CONCESIONARIA AUTOPISTA DE LOS ANDES S A</t>
  </si>
  <si>
    <t>https://www.cmfchile.cl/institucional/mercados/entidad.php?auth=&amp;send=&amp;mercado=O&amp;rut=99516880&amp;grupo=&amp;tipoentidad=RGEIN&amp;vig=VI&amp;row=AAAwy2ACTAAAByzAAI&amp;control=svs&amp;pestania=1</t>
  </si>
  <si>
    <t>035_ARAT1</t>
  </si>
  <si>
    <t>Primera concesión Nuevo Aeropuerto Regional de Atacama, III Región</t>
  </si>
  <si>
    <t>El Nuevo Aeropuerto Regional de Atacama, está ubicado a 52 km al noroeste de la ciudad de Copiapó y a 23 km al sur este de Caldera, en la Ruta 5 norte km 860.
Cuenta con dos niveles en los que se ubica un edificio terminal de pasajeros de aproximadamente 3.000 m2, incluyendo sus respectivas áreas de servicios, hall de público, una pista de aterrizaje de 2.200 metros, plataforma de estacionamiento de aeronave de 33.000 m2, torre de control, edificio de cuartel del Servicio de Seguridad, Salvamento de Extinción de Incendios en Aeronaves (SSEI).
Para los pasajeros cuenta con estacionamiento para automóviles, servicios para facilitar el desplazamiento como ascensores y escaleras mecánicas, además de wifi.
El Aeropuerto es clave para potenciar la demanda del sector turismo y la industria local, así como mejorar la conectividad nacional.</t>
  </si>
  <si>
    <t>Atacama</t>
  </si>
  <si>
    <t>https://concesiones.mop.gob.cl/project/concesion-nuevo-aeropuerto-regional-de-atacama/</t>
  </si>
  <si>
    <t>99505010-2</t>
  </si>
  <si>
    <t>SOC CONCESIONARIA AEROPUERTO REGIONAL DE ATACAMA S A</t>
  </si>
  <si>
    <t>https://www.cmfchile.cl/institucional/mercados/entidad.php?auth=&amp;send=&amp;mercado=O&amp;rut=99505010&amp;grupo=&amp;tipoentidad=RGEIN&amp;vig=VI&amp;row=AAAwy2ACTAAAAWdAAK&amp;control=svs&amp;pestania=1</t>
  </si>
  <si>
    <t>036_PP2G1</t>
  </si>
  <si>
    <t>Programa de Concesiones de Infraestructura Penitenciaria, Grupo 2</t>
  </si>
  <si>
    <t>Primera concesión Programa de Concesiones de Infraestructura Penitenciaria, Grupo 2</t>
  </si>
  <si>
    <t>No hay disponible</t>
  </si>
  <si>
    <t>Antofagasta; Biobío</t>
  </si>
  <si>
    <t>99520560-2</t>
  </si>
  <si>
    <t>SOCIEDAD CONCESIONARIA BAS DOS S.A.</t>
  </si>
  <si>
    <t>https://www.cmfchile.cl/institucional/mercados/entidad.php?mercado=V&amp;rut=99520560&amp;grupo=&amp;tipoentidad=RVEMI&amp;row=AAAwy2ACTAAABzHAAp&amp;vig=NV&amp;control=svs&amp;pestania=2</t>
  </si>
  <si>
    <t>037_ACNO1</t>
  </si>
  <si>
    <t>Acceso Nor - Oriente a Santiago</t>
  </si>
  <si>
    <t>Primera concesión Acceso Nor - Oriente a Santiago</t>
  </si>
  <si>
    <t>Autopista de 21,5 km de extensión que se inicia en el Enlace Centenario en el límite de las comunas de Vitacura y Huechuraba, conectando con Costanera Norte y Av. Américo Vespucio. Continúa hacia el norte a través de un sistema de viaductos y túneles para cruzar los cerros La Pirámide, Manquehue y Montegordo hasta llegar a la zona del valle de la comuna de Colina, donde el trazado toma dirección en sentido poniente, cruzando la Ruta 57 CH hasta conectarse con la Ruta 5 Norte.
La autopista está dividida en dos áreas el sector oriente que se extiende desde Enlace Centenario a Enlace Av. Del Valle y el sector poniente desde el Enlace Av. Del Valle a la Ruta 5 Norte.
La autopista cuenta con sistema de telepeaje.</t>
  </si>
  <si>
    <t>https://concesiones.mop.gob.cl/project/concesion-acceso-nororiente-a-santiago/</t>
  </si>
  <si>
    <t>99548570-2</t>
  </si>
  <si>
    <t>SOC CONCESIONARIA AUTOPISTA NORORIENTE S A</t>
  </si>
  <si>
    <t>https://www.cmfchile.cl/institucional/mercados/entidad.php?auth=&amp;send=&amp;mercado=O&amp;rut=99548570&amp;grupo=&amp;tipoentidad=RGEIN&amp;vig=VI&amp;row=AAAwy2ACTAAABy0AAM&amp;control=svs&amp;pestania=1</t>
  </si>
  <si>
    <t>038_PBCH1</t>
  </si>
  <si>
    <t>Puente Bicentenario de Chiloé</t>
  </si>
  <si>
    <t>Primera concesión Puente Bicentenario de Chiloé</t>
  </si>
  <si>
    <t>Otros (v)</t>
  </si>
  <si>
    <t xml:space="preserve">
76333190-3</t>
  </si>
  <si>
    <t>SOCIEDAD CONCESIONARIA PUENTE CHILOE S.A.</t>
  </si>
  <si>
    <t>https://www.cmfchile.cl/institucional/mercados/entidad.php?mercado=V&amp;rut=76333190&amp;grupo=&amp;tipoentidad=RVEMI&amp;row=AAAwy2ACTAAABzJAAJ&amp;vig=NV&amp;control=svs&amp;pestania=50</t>
  </si>
  <si>
    <t>039_PP3G1</t>
  </si>
  <si>
    <t>Primera concesión Programa de Concesiones de Infraestructura Penitenciaria, Grupo N° 3</t>
  </si>
  <si>
    <t>Recintos penitenciarios de mediana seguridad ubicados en Valdivia y Puerto Montt y de alta seguridad en Santiago que fueron diseñados, construidos y están en operación.
Los nuevos recintos cuentan con sistema de separación de la población penal por grado de peligrosidad, sistema de vigilancia electrónica y de seguridad. También poseen nuevo equipamiento, servicios de alimentación, lavandería y atención de salud para la población detenida.
El Establecimiento Penitenciario Valdivia tiene una capacidad de 1.747 internos, el de Puerto Montt de 1.743 internos y el de Santiago de 4.000 detenidos.
Este programa cuenta con un Servicio de Reinserción Social que en el caso de los recintos de Valdivia y Puerto Montt tiene por objetivo la reincorporación del interno al ámbito social, mediante capacitación, intervención social, sicológica y formación de hábitos, entre otros. En el caso del recinto de Santiago los esfuerzos se destinan a minimizar el deterioro de la salud mental de los detenidos.</t>
  </si>
  <si>
    <t>Metropolitana de Santiago; Los Ríos</t>
  </si>
  <si>
    <t>https://concesiones.mop.gob.cl/project/concesion-programa-penitenciario-grupo-3-santiago-valdivia-puerto-montt/</t>
  </si>
  <si>
    <t>99554510-1</t>
  </si>
  <si>
    <t>SOC CONCESIONARIA INFRAESTRUCTURA PENITENCIARIA GRUPO TRES S A</t>
  </si>
  <si>
    <t>https://www.cmfchile.cl/institucional/mercados/entidad.php?auth=&amp;send=&amp;mercado=O&amp;rut=99554510&amp;grupo=&amp;tipoentidad=RGEIN&amp;vig=VI&amp;row=AAAwy2ACTAAABy0AAW&amp;control=svs&amp;pestania=1</t>
  </si>
  <si>
    <t>Santiago 20-01-2007; Valdivia 22-04-2007;Puerto Montt 27-05-2007</t>
  </si>
  <si>
    <t>040_EIMQ1</t>
  </si>
  <si>
    <t>Estación de Intercambio Modal Quinta Normal</t>
  </si>
  <si>
    <t>Primera concesión Estación de Intercambio Modal Quinta Normal</t>
  </si>
  <si>
    <t>Esta concesión consideraba el desarrollo de una estación de transferencia intermodal en Quinta Normal.
La iniciativa sólo tuvo una fase de construcción preliminar y debido ajustes posteriores este finalmente no se materializó.</t>
  </si>
  <si>
    <t>Edificación pública y equipamiento urbano</t>
  </si>
  <si>
    <t>https://concesiones.mop.gob.cl/project/estacion-intermodal-quinta-normal/</t>
  </si>
  <si>
    <t>99561490-1</t>
  </si>
  <si>
    <t xml:space="preserve">SOCIEDAD CONCESIONARIA INTERMODAL QUINTA NORMAL S.A. </t>
  </si>
  <si>
    <t>https://www.cmfchile.cl/institucional/mercados/entidad.php?auth=&amp;send=&amp;mercado=V&amp;rut=99561490&amp;grupo=&amp;tipoentidad=RVEMI&amp;vig=NV&amp;row=AAAwy2ACTAAABzHAAh&amp;control=svs&amp;pestania=2</t>
  </si>
  <si>
    <t>041_EIMC1</t>
  </si>
  <si>
    <t>Estación de Intercambio Modal La Cisterna</t>
  </si>
  <si>
    <t>Primera concesión Estación de Intercambio Modal La Cisterna</t>
  </si>
  <si>
    <t>Se trata de una Plataforma de Transporte, localizada en el costado oriente de la Estación de Metro La Cisterna, punto terminal de las líneas 2 y 4 A. La estación se encuentra ubicada en la esquina Sur Oriente de Américo Vespucio y Gran Avenida José Miguel Carrera, comuna de la Cisterna.
La Estación forma parte del Programa de Concesiones de Estaciones de Intercambio Modal, el cual se inserta dentro del Plan de Modernización del Transporte Público en Santiago, impulsado por el Gobierno de Chile.
La infraestructura asociada a la estación busca facilitar el intercambio de pasajeros entre diversos modos de transporte, permitiendo una circulación cómoda, expedita y rápida en las operaciones de transbordo de los usuarios de Metro con otros sistemas de transporte como buses urbanos e interurbanos y vehículos particulares, entre otros.
La Estación consta de 28 andenes subterráneos para la operación de buses urbanos, 16 andenes en superficie destinados a buses interurbanos. Se estima que beneficiará a más de 30 millones de pasajeros que utilizan cada año esta infraestructura.</t>
  </si>
  <si>
    <t>https://concesiones.mop.gob.cl/project/concesion-estacion-de-intercambio-modal-la-cisterna/</t>
  </si>
  <si>
    <t>99563430-9</t>
  </si>
  <si>
    <t>SOC CONCESIONARIA INTERMODAL LA CISTERNA  S A</t>
  </si>
  <si>
    <t>https://www.cmfchile.cl/institucional/mercados/entidad.php?auth=&amp;send=&amp;mercado=O&amp;rut=99563430&amp;grupo=&amp;tipoentidad=RGEIN&amp;vig=VI&amp;row=AAAwy2ACTAAABy0AAb&amp;control=svs&amp;pestania=1</t>
  </si>
  <si>
    <t>042_ACHA1</t>
  </si>
  <si>
    <t>Primera concesión Aeropuerto Chacalluta de Arica, I Región</t>
  </si>
  <si>
    <t>Esta concesión finalizó en 2019 y consideró el mejoramiento del recinto aeroportuario, a través de la ampliación del Edificio Terminal de Pasajeros, la incorporación de dos mangas retractiles para embarque y desembarque de pasajeros, dos halls de público, equipamiento electromecánico, equipamiento aeroportuario, área de concesiones, mobiliario, decoración, señalética e instalaciones de servicios.
El proyecto, que tuvo por objetivo mejorar los estándares de servicio, también incluyó una nueva área de estacionamiento para vehículos. La obra fue relicitada y en la actualidad está vigente la segunda concesión.</t>
  </si>
  <si>
    <t>Arica y Parinacota</t>
  </si>
  <si>
    <t>https://concesiones.mop.gob.cl/project/primera-concesion-del-aeropuerto-chacalluta-de-arica/</t>
  </si>
  <si>
    <t>99563730-8</t>
  </si>
  <si>
    <t xml:space="preserve">    AEROPUERTO CHACALLUTA SOCIEDAD CONCESIONARIA S.A.</t>
  </si>
  <si>
    <t>https://www.cmfchile.cl/institucional/mercados/entidad.php?mercado=O&amp;rut=99563730&amp;grupo=&amp;tipoentidad=RGEIN&amp;row=AAAwy2ACTAAAByzAAb&amp;vig=VI&amp;control=svs&amp;pestania=3</t>
  </si>
  <si>
    <t>043_CSJS1</t>
  </si>
  <si>
    <t>Centro de Justicia de Santiago</t>
  </si>
  <si>
    <t>Primera concesión Centro de Justicia de Santiago</t>
  </si>
  <si>
    <t>Se trata de un conjunto de edificios ubicados en la comuna de Santiago, destinados al funcionamiento del Ministerio Público, la Defensoría Penal Pública, Juzgados de Garantía y Tribunales de Juicio Oral en lo Penal, construidos en el marco de la Reforma Procesal Penal.
El Centro de Justicia se ubica en terrenos de la ex Famae, en el polígono compuesto por Pedro Montt, Autopista Central (Eje Norte-Sur), Nueva Avenida Centenario y el Centro de Detención Preventiva de Santiago Sur y tiene una superficie de 115.000 mt2 dentro de un terreno de 4,5 hectáreas.
También considera una plaza central, que organiza la circulación interna del Centro de manera de facilitar la independencia de flujos de los peatones en los recintos.</t>
  </si>
  <si>
    <t>https://concesiones.mop.gob.cl/project/concesion-centro-de-justicia-de-santiago/</t>
  </si>
  <si>
    <t>99557380-6</t>
  </si>
  <si>
    <t>SOC CONCESIONARIA CENTRO DE JUSTICIA DE SANTIAGO S A</t>
  </si>
  <si>
    <t>https://www.cmfchile.cl/institucional/mercados/entidad.php?auth=&amp;send=&amp;mercado=O&amp;rut=99557380&amp;grupo=&amp;tipoentidad=RGEIN&amp;vig=VI&amp;row=AAAwy2ACTAAAAWcAAN&amp;control=svs&amp;pestania=1</t>
  </si>
  <si>
    <t>044_PCIS1</t>
  </si>
  <si>
    <t>Plaza de la Ciudadanía, Etapa I</t>
  </si>
  <si>
    <t>Primera concesión Plaza de la Ciudadanía, Etapa I</t>
  </si>
  <si>
    <t>Ubicada al sur del Palacio de La Moneda, esta obra incluyó la construcción, mantención y actual operación de la explanada, plaza, espejos de agua y áreas verdes, así como estacionamientos subterráneos, además de la construcción del Centro Internacional de las Culturas (conocido como Centro Cultural de La Moneda).
La explanada tiene una extensión de 10.565 m², el estacionamiento de 17.440 m² distribuido en cuatro niveles y el Centro Cultural con 7.250 m², en 3 niveles.
La obra busca generar un espacio continuo en el centro cívico, cuyo trayecto se inicia en la Plaza de la Constitución, atraviesa el Palacio de La Moneda, la Plaza de la Ciudadanía y finaliza en el Parque Almagro.</t>
  </si>
  <si>
    <t>https://concesiones.mop.gob.cl/project/concesion-plaza-de-la-ciudadania-etapa-1/</t>
  </si>
  <si>
    <t>99561160-0</t>
  </si>
  <si>
    <t>SOC CONCESIONARIA PLAZA DE LA CIUDADANIA S A</t>
  </si>
  <si>
    <t>https://www.cmfchile.cl/institucional/mercados/entidad.php?auth=&amp;send=&amp;mercado=O&amp;rut=99561160&amp;grupo=&amp;tipoentidad=RGEIN&amp;vig=VI&amp;row=AAAwy2ACTAAAByxAAb&amp;control=svs&amp;pestania=1</t>
  </si>
  <si>
    <t>045_ETPO1</t>
  </si>
  <si>
    <t>Estadio Techado Parque O’Higgins</t>
  </si>
  <si>
    <t>Primera concesión Estadio Techado Parque O’Higgins</t>
  </si>
  <si>
    <t>Conocido como Arena Santiago o Movistar Arena, este Estadio Techado se encuentra emplazado en el Parque O’Higgins, entre la elipse y el Campo de Marte con una extensión de 44.000 m².
Los trabajos consideraron el desarrollo de la infraestructura y la provisión de la totalidad del equipamiento para la completa y adecuada habilitación y operación comercial del recinto.
La arena central dispone de tribunas con una capacidad para 12.000 espectadores. Cuenta con cinco amplios salones, canchas y terraza de 900 m2, anfiteatro al aire libre con capacidad para 180 personas y dos canchas multipropósito.</t>
  </si>
  <si>
    <t>https://concesiones.mop.gob.cl/project/concesion-estadio-techado-parque-ohiggins/</t>
  </si>
  <si>
    <t>Subsidio; Pagos.</t>
  </si>
  <si>
    <t>99573420-6</t>
  </si>
  <si>
    <t>SOC CONCESIONARIA ARENA BICENTENARIO S A</t>
  </si>
  <si>
    <t>https://www.cmfchile.cl/institucional/mercados/entidad.php?auth=&amp;send=&amp;mercado=O&amp;rut=99573420&amp;grupo=&amp;tipoentidad=RGEIN&amp;vig=VI&amp;row=AAAwy2ACTAAABy0AAc&amp;control=svs&amp;pestania=1</t>
  </si>
  <si>
    <t>046_ECVI1</t>
  </si>
  <si>
    <t>Primera concesión Embalse Convento Viejo II Etapa, VI Región</t>
  </si>
  <si>
    <t>El Embalse Convento Viejo se ubica en la cuenta del Estero Chimbarongo, en las provincias de Colchagua y Cardenal Caro, en la región de O’Higgins, 160 kilómetros al sur de la Región Metropolitana.
La obra actualmente en operación, consideró la ampliación del Embalse Convento Viejo (Etapa I), de capacidad 27 millones de m3 preexistente, a uno de capacidad de 237 millones de m3 (Etapa II), más una red de canales matrices, principales y secundarios, para el riego de una superficie que originalmente ascendía a las 26.000 há, del Valle de Nilahue.
El embalse también cuenta con generación de energía eléctrica gracias a la instalación de una central hidroeléctrica de 16,4 MW conectada al Sistema Interconectado Central (SIC).
Entre los beneficios de la obra destaca que incrementa la seguridad de riego de las 38.000 há de los Valles de Chimbarongo, Las Toscas y Guirivilo.</t>
  </si>
  <si>
    <t>Libertador General Bernardo O'Higgins</t>
  </si>
  <si>
    <t>https://concesiones.mop.gob.cl/project/concesion-embalse-convento-viejo-ii-etapa-vi-region/</t>
  </si>
  <si>
    <t>76338870-0</t>
  </si>
  <si>
    <t>SOCIEDAD CONCESIONARIA EMBALSE CONVENTO VIEJO S A</t>
  </si>
  <si>
    <t>https://www.cmfchile.cl/institucional/mercados/entidad.php?auth=&amp;send=&amp;mercado=O&amp;rut=76338870&amp;grupo=&amp;tipoentidad=RGEIN&amp;vig=VI&amp;row=AAAwy2ACTAAABy1AAU&amp;control=svs&amp;pestania=1</t>
  </si>
  <si>
    <t>047_PTLA1</t>
  </si>
  <si>
    <t>Puerto Terrestre Los Andes</t>
  </si>
  <si>
    <t>Primera concesión Puerto Terrestre Los Andes</t>
  </si>
  <si>
    <t>Con una superficie aproximada de 24 hectáreas y emplazado en el sector El Sauce, en la comuna de Los Andes, Región de Valparaíso, este puerto terrestre tiene una capacidad anual estimada de 135.000 camiones que transportan cerca de dos millones y medio de toneladas al año.
Esta obra fue diseñada, construida y está en operación como un recinto portuario en que ubican los servicios públicos y privados relacionados con transporte, almacenamiento de la carga y el control aduanero y fitozoosanitario de los productos que ingresan y salen del país, a través del paso fronterizo Los Libertadores que comunica, vía terrestre, a Chile con Argentina y al resto de Mercosur.
Tiene una capacidad de 498 plazas de aparcamiento, trece plazas para cargas peligrosas, 68 plazas para depósito aduanero y 48 de preandén. Este Puerto Terrestre favorece el intercambio comercial con naciones vecinas.</t>
  </si>
  <si>
    <t>https://concesiones.mop.gob.cl/project/concesion-puerto-terrestre-los-andes/</t>
  </si>
  <si>
    <t>99594180-5</t>
  </si>
  <si>
    <t>PUERTO TERRESTRE LOS ANDESSOCIEDAD CONCESIONARIA S A</t>
  </si>
  <si>
    <t>https://www.cmfchile.cl/institucional/mercados/entidad.php?auth=&amp;send=&amp;mercado=O&amp;rut=99594180&amp;grupo=&amp;tipoentidad=RGEIN&amp;vig=VI&amp;row=AAAwy2ACTAAABy1AAT&amp;control=svs&amp;pestania=1</t>
  </si>
  <si>
    <t>048_VVSK1</t>
  </si>
  <si>
    <t>Variante Vespucio El Salto - Kennedy</t>
  </si>
  <si>
    <t>Primera concesión Variante Vespucio El Salto - Kennedy</t>
  </si>
  <si>
    <t>Corresponde a los dos túneles paralelos que se ubican bajo el cerro San Cristóbal el sector de El Salto, comuna de Huechuraba, que con 4,1 km de extensión conectan Avenida El Cerro y Avenida Kennedy, Providencia y Vitacura respectivamente.
Los túneles están conformados por dos ejes principales que conectan Huechuraba con Providencia, dos ejes secundarios que dan continuidad a Américo Vespucio hacia La Pirámide, y otros dos ejes secundarios que conectan con el sector del puente Lo Saldes. La vía está compuesta por 1,9 km subterráneo y 2,2 km de vialidad de superficie.
Estos túneles mejoran el nivel de servicio y capacidad de flujos que presenta Américo Vespucio en el sector de La Pirámide, otorgando elementos de seguridad vial, que permiten una conducción más expedita, disminuyendo los tiempos de viaje de los habitantes del Gran Santiago.
La autopista cuenta con sistema de telepeaje.</t>
  </si>
  <si>
    <t>https://concesiones.mop.gob.cl/project/concesion-variante-vespucio-el-salto-kennedy-tunel-san-cristobal/</t>
  </si>
  <si>
    <t>Nivel de tarifa; Pagos</t>
  </si>
  <si>
    <t>99588750-9</t>
  </si>
  <si>
    <t>SOCIEDAD CONCESIONARIA TUNEL SAN CRISTOBAL S.A.</t>
  </si>
  <si>
    <t>049_CVSR1</t>
  </si>
  <si>
    <t>Conexión Vial Av. Suiza - Las Rejas</t>
  </si>
  <si>
    <t>Primera concesión Conexión Vial Av. Suiza - Las Rejas</t>
  </si>
  <si>
    <t>Esta concesión finalizó en noviembre de 2020 y consideró la construcción y operación de un conjunto de obras viales y estructurales, que conectan las avenidas Suiza con Las Rejas en los límites de las comunas de Estación Central y Cerrillos, en la Región Metropolitana.
La conexión tiene una longitud aproximada de 3 km, se inicia en el cruce Avenida Suiza con Avenida Pedro Aguirre Cerda en dirección al norte, con doble calzadas finalizando en Calle Titán. Luego al llegar a la Ruta 78 (Autopista Santiago - San Antonio) cuenta con un viaducto de doble calzadas de tres pistas por sentido, de una longitud aproximada de 150 metros. El tercer tramo es un corredor que finaliza en la intersección de Avenida Las Rejas con Calle Las Violetas, aproximadamente 100 metros al sur de Alameda.
La obra permite unir el anillo intermedio de circunvalación al interior de Santiago, con un estándar de vía urbana que permite el desplazamiento de los nuevos buses de transporte público, logrando así, disminuir los tiempos de viaje.
Con el desarrollo de esta obra se buscó mejorar los estándares de estructuras utilizadas para el transporte público.</t>
  </si>
  <si>
    <t>https://concesiones.mop.gob.cl/project/concesion-conexion-vial-suiza-las-rejas/</t>
  </si>
  <si>
    <t>76296350-7</t>
  </si>
  <si>
    <t>SOCIEDAD CONCESIONARIA CONEXION LAS REJAS S.A.</t>
  </si>
  <si>
    <t>https://www.cmfchile.cl/institucional/mercados/entidad.php?auth=&amp;send=&amp;mercado=O&amp;rut=76296350&amp;grupo=&amp;tipoentidad=RGEIN&amp;vig=NV&amp;row=AAAwy2ACTAAABy0AAC&amp;control=svs&amp;pestania=1</t>
  </si>
  <si>
    <t>050_ETTT1</t>
  </si>
  <si>
    <t>Estaciones de Transbordo para Transantiago</t>
  </si>
  <si>
    <t>Primera concesión Estaciones de Transbordo para Transantiago</t>
  </si>
  <si>
    <t>Esta concesión finalizó en abril de 2021 y consideró la construcción y mantención de 35 Estaciones de Transbordo de Pasajeros, cuyas capacidades oscilan entre 1.000 y 18.000 viajeros por hora.
Las estaciones desarrolladas se emplazan en 22 comunas: Estación Central, Santiago, Providencia, Ñuñoa, Puente Alto, Recoleta, Las Condes, Lo Prado, La Reina, La Granja, San Ramón, Macul, Peñalolén, La Florida, Renca, Independencia, Conchalí, San Joaquín, San Miguel, Quinta Normal, Maipú y Pudahuel.
Cada una de estas cuenta como un sistema integrado de andenes para pasajeros, que facilitan la integración entre líneas de buses, otros medios de transportes y el desplazamiento de los peatones, cumpliendo con los requisitos mínimos en términos de capacidad y nivel de servicio.
Con el desarrollo de esta obra se buscó mejorar los estándares de estructuras utilizadas para el transporte público.</t>
  </si>
  <si>
    <t>https://concesiones.mop.gob.cl/project/concesion-estaciones-de-transbordo-para-transporte-publico/</t>
  </si>
  <si>
    <t>76522250-8</t>
  </si>
  <si>
    <t>SOCIEDAD CONCESIONARIA CONCESIONES URBANAS S.A.</t>
  </si>
  <si>
    <t>https://www.cmfchile.cl/institucional/mercados/entidad.php?auth=&amp;send=&amp;mercado=O&amp;rut=76522250&amp;grupo=&amp;tipoentidad=RGEIN&amp;vig=NV&amp;row=AAAwy2ACTAAAAWdAAC&amp;control=svs&amp;pestania=1</t>
  </si>
  <si>
    <t>051_CTSR1</t>
  </si>
  <si>
    <t>Habilitación Corredor de Transporte Público Av. Santa Rosa, Sector Alameda - A. Vespucio</t>
  </si>
  <si>
    <t>Primera concesión Habilitación Corredor de Transporte Público Av. Santa Rosa, Sector Alameda - A. Vespucio</t>
  </si>
  <si>
    <t>Esta concesión finalizó el 13 de marzo de 2022 y consistió en la operación y mantención de las obras viales y estructurales del Corredor Urbano Av. Santa Rosa entre la Alameda Av. Libertador Bernardo O`Higgins y Av. Américo Vespucio, incluyendo la calle San Francisco entre la Alameda y la conexión con Av. Santa Rosa, a la altura de la calle Carlos Silva Vildósola.
Este Corredor vial atraviesa las comunas de Santiago, San Joaquín, San Miguel, La Granja y San Ramón, con una longitud aproximada de 10,78 km por Av. Santa Rosa y 3,9 km por San Francisco.</t>
  </si>
  <si>
    <t>https://concesiones.mop.gob.cl/project/concesion-corredor-de-transporte-publico-av-santa-rosa/</t>
  </si>
  <si>
    <t>76518910-1</t>
  </si>
  <si>
    <t>SOCIEDAD CONCESIONARIA VIA SANTA ROSA S.A.</t>
  </si>
  <si>
    <t>https://www.cmfchile.cl/institucional/mercados/entidad.php?auth=&amp;send=&amp;mercado=O&amp;rut=76518910&amp;grupo=&amp;tipoentidad=RGEIN&amp;vig=VI&amp;row=AAAwy2ACTAAAByxAAY&amp;control=svs&amp;pestania=1</t>
  </si>
  <si>
    <t>052_160R1</t>
  </si>
  <si>
    <t>Ruta 160, Tramo Tres Pinos - Acceso Norte a Coronel</t>
  </si>
  <si>
    <t>Primera concesión Ruta 160, Tramo Tres Pinos - Acceso Norte a Coronel</t>
  </si>
  <si>
    <t>Autopista de 89 km de longitud que se ubica desde el acceso norte a la ciudad de Coronel y la localidad de Cerro Alto, cruzando las comunas de Coronel, Lota, Arauco, Curanilahue, y Los Álamos.
La ruta cuenta con doble calzada de dos pistas por sentido en toda su extensión. Asimismo tiene nuevas estructuras como puentes, pasarelas, pasos desnivelados, enlaces, obras de saneamiento, señalización, seguridad vial, iluminación, paraderos peatonales, áreas de servicios y aproximadamente 13 km de calles de servicio. La obra incorpora los bypass Lota, Laraquete y Villa Los Ríos.
El principal beneficio de la vía es mejorar la conectividad de la región, favoreciendo de esta forma el intercambio comercial.</t>
  </si>
  <si>
    <t>https://concesiones.mop.gob.cl/proyectos/Paginas/detalleExplotacion.aspx?item=7</t>
  </si>
  <si>
    <t>Subsidio; Ingresos totales de la concesión.</t>
  </si>
  <si>
    <t>76039865-9</t>
  </si>
  <si>
    <t>SOCIEDAD CONCESIONARIA AUTOPISTA COSTA ARAUCO S.A.</t>
  </si>
  <si>
    <t>https://www.cmfchile.cl/institucional/mercados/entidad.php?auth=&amp;send=&amp;mercado=O&amp;rut=76039865&amp;grupo=&amp;tipoentidad=RGEIN&amp;vig=VI&amp;row=AAAwy2ACTAAAByzAAP&amp;control=svs&amp;pestania=1</t>
  </si>
  <si>
    <t>053_ADAI2</t>
  </si>
  <si>
    <t>Segunda concesión Aeropuerto Diego Aracena de Iquique, I Región</t>
  </si>
  <si>
    <t>Esta concesión finalizó en 2012 y consideró la ampliación del Edificio Terminal de Pasajeros, de 4.700 m2 a 8.200 m2, y la remodelación de instalaciones existentes.
El proyecto incluyó un nuevo puente de embarque móvil, para atender aeronaves tipo B- 737, B-767 y A-320, y tres puentes de embarque en la Terminal. Adicionalmente se ampliaron y mejoraron los pavimentos de la plataforma de estacionamiento de aviones y calle aeronáutica, incluyendo la iluminación (luces de borde de plataforma y torres de iluminación).
El proyecto contempló también la ampliación y mejoramiento de la vialidad interior y del sector de estacionamiento de vehículos del aeropuerto, con su respectiva iluminación, drenaje, señalética, demarcaciones y control de acceso. La obra fue relicitada y en la actualidad está vigente la cuarta concesión.</t>
  </si>
  <si>
    <t>https://concesiones.mop.gob.cl/project/segunda-concesion-aeropuerto-diego-aracena-de-iquique/</t>
  </si>
  <si>
    <t>76006807-1</t>
  </si>
  <si>
    <t>SOCIEDAD CONCESIONARIA AEROTAS S.A.</t>
  </si>
  <si>
    <t>https://www.cmfchile.cl/institucional/mercados/entidad.php?mercado=O&amp;rut=76006807&amp;grupo=&amp;tipoentidad=RGEIN&amp;row=AAAwy2ACTAAABy1AAD&amp;vig=NV&amp;control=svs&amp;pestania=50</t>
  </si>
  <si>
    <t>054_ATEP2</t>
  </si>
  <si>
    <t>Segunda concesión Aeropuerto El Tepual de Puerto Montt, X Región</t>
  </si>
  <si>
    <t>Esta concesión finalizó en 2014 y consideró la remodelación y ampliación del Área Terminal de Pasajeros del Aeropuerto, con todas las obras civiles e instalaciones necesarias para dar a las líneas aéreas, pasajeros y demás usuarios del recinto las condiciones de servicio, confort y seguridad.
Con el desarrollo de esta obra se buscó mejorar los estándares de las instalaciones aeroportuarias, acordes a las de un aeropuerto regional con carácter internacional.
La obra fue relicitada y en la actualidad está vigente la cuarta concesión.</t>
  </si>
  <si>
    <t>https://concesiones.mop.gob.cl/project/segunda-concesion-aeropuerto-el-tepual-de-puerto-montt/</t>
  </si>
  <si>
    <t>76009779-9</t>
  </si>
  <si>
    <t>SOCIEDAD CONCESIONARIA AEROPUERTO PUERTO MONTT S.A.</t>
  </si>
  <si>
    <t>https://www.cmfchile.cl/institucional/mercados/entidad.php?mercado=O&amp;rut=76009779&amp;grupo=&amp;tipoentidad=RGEIN&amp;row=AAAwy2ACTAAABy0AAQ&amp;vig=NV&amp;control=svs&amp;pestania=50</t>
  </si>
  <si>
    <t>055_60GR1</t>
  </si>
  <si>
    <t>Conexión Vial Melipilla - Camino de la Fruta</t>
  </si>
  <si>
    <t>Primera concesión Conexión Vial Melipilla - Camino de la Fruta</t>
  </si>
  <si>
    <t>76051174-9</t>
  </si>
  <si>
    <t>SOCIEDAD CONCESIONARIA RUTA G-60 S.A.</t>
  </si>
  <si>
    <t>https://www.cmfchile.cl/institucional/mercados/entidad.php?auth=&amp;send=&amp;mercado=O&amp;rut=76051174&amp;grupo=&amp;tipoentidad=RGEIN&amp;vig=VI&amp;row=AAAwy2ACTAAABy0AAU&amp;control=svs&amp;pestania=2</t>
  </si>
  <si>
    <t>056_VCAL1</t>
  </si>
  <si>
    <t>Primera concesión Ruta 5 Norte. Tramo: Vallenar - Caldera</t>
  </si>
  <si>
    <t>Esta obra considera un total de 227 km de trabajos de mejoramiento de la ruta distribuidos en cuatro tramos. El primero, de 123 km de longitud, comienza en el acceso sur a la ciudad de Vallenar y se empalma con el inicio del bypass a Copiapó en el sector Travesía. El segundo, de 65 km de longitud, se inicia al finalizar en el bypass a Copiapó, en el sector de Toledo al norte de la ciudad de Copiapó, y concluye al norte de la ciudad de Caldera, en el acceso a playa Ramada. El tercer tramo es la conservación del camino de acceso al balneario Bahía Inglesa (6 km) y el bypass Copiapó que tiene una longitud de 33 km aproximadamente, con calzada bidireccional.
El principal beneficio de esta obra es mejorar la conectividad en la zona gracias a la construcción de segundas calzadas, calles de servicio, intersecciones y puntos de retorno a nivel, lo que se suma al mejoramiento de los sistemas de saneamiento y drenaje, implementación de elementos de control y seguridad vial, iluminación, paisajismo, estructuras y puentes, entre otras.</t>
  </si>
  <si>
    <t>https://concesiones.mop.gob.cl/project/concesion-ruta-160-tramo-tres-pinos-acceso-norte-a-coronel/</t>
  </si>
  <si>
    <t>Nivel de tarifa; Subsidio; Ingresos totales de la concesión.</t>
  </si>
  <si>
    <t>76054764-6</t>
  </si>
  <si>
    <t>SOCIEDAD CONCESIONARIA VALLES DEL DESIERTO S.A.</t>
  </si>
  <si>
    <t>https://www.cmfchile.cl/institucional/mercados/entidad.php?auth=&amp;send=&amp;mercado=O&amp;rut=76054764&amp;grupo=&amp;tipoentidad=RGEIN&amp;vig=VI&amp;row=AAAwy2ACTAAABy0AAJ&amp;control=svs&amp;pestania=1</t>
  </si>
  <si>
    <t>057_CMVR1</t>
  </si>
  <si>
    <t>Centro Metropolitano de Vehículos Retirados de Circulación</t>
  </si>
  <si>
    <t>Primera concesión Centro Metropolitano de Vehículos Retirados de Circulación</t>
  </si>
  <si>
    <t>Esta obra viene a suplir una necesidad de los municipios que según la Ley de Tránsito están obligados a recibir y custodiar aquellos vehículos que son retirados de circulación o de la vía pública, ya sea por estar estacionados en lugares no permitidos, por participación en accidentes o por abandono, entre otras razones establecidas en la legislación.
El recinto se ubica en el km 2,7 del Camino Lo Echevers (Ruta G-16), comuna de Quilicura y el terreno total es de aproximadamente 26,5 hectáreas, de las cuales 24 están habilitadas para custodiar 12.000 vehículos aproximadamente.
Cuenta instalaciones, equipamientos y sistemas de seguridad e informáticos, necesarios para resguardar autos previa inscripción del municipio.
En lugar también se realizan remates de vehículos abandonados.</t>
  </si>
  <si>
    <t>https://concesiones.mop.gob.cl/project/concesion-centro-metropolitano-de-vehiculos-retirados-de-circulacion/</t>
  </si>
  <si>
    <t>76101714-4</t>
  </si>
  <si>
    <t>SOCIEDAD CONCESIONARIA CENTRO METROPOLITANO DE VEHICULOS RETIRADOS DE CIRCULACIO</t>
  </si>
  <si>
    <t>https://www.cmfchile.cl/institucional/mercados/entidad.php?auth=&amp;send=&amp;mercado=O&amp;rut=76101714&amp;grupo=&amp;tipoentidad=RGEIN&amp;vig=VI&amp;row=AAAwy2ACTAAABzLAAW&amp;control=svs&amp;pestania=1</t>
  </si>
  <si>
    <t>058_AVAM2</t>
  </si>
  <si>
    <t>Segunda concesión Acceso Vial Aeropuerto Arturo Merino Benítez</t>
  </si>
  <si>
    <t>Este proyecto ubicado en la comuna de Pudahuel contempla el mejoramiento y operación del acceso existente al Aeropuerto de Santiago que se ubica en la zona sur (Tramo A) y la implementación de un nuevo acceso por el norte del terminal (Tramo B).
El tramo A se encuentra habilitado y en servicio desde 2012. Mientras que el tramo B fue dividido en cuatro subtramos (B1, B2, B3 Y B4) y de ellos el B1 se encuentra en etapa de construcción, correspondiendo al mejoramiento de 3 km aproximadamente.
Con esta obra se mejora sustancialmente el acceso al principal terminal aéreo del país.</t>
  </si>
  <si>
    <t>https://concesiones.mop.gob.cl/project/segunda-concesion-acceso-vial-aeropuerto-arturo-merino-benitez/</t>
  </si>
  <si>
    <t>76033448-0</t>
  </si>
  <si>
    <t>SOCIEDAD CONCESIONARIA AMB S.A.</t>
  </si>
  <si>
    <t>https://www.cmfchile.cl/institucional/mercados/entidad.php?auth=&amp;send=&amp;mercado=O&amp;rut=76033448&amp;grupo=&amp;tipoentidad=RGEIN&amp;vig=VI&amp;row=AAAwy2ACTAAABy0AAT&amp;control=svs&amp;pestania=1</t>
  </si>
  <si>
    <t>Sin otorgar</t>
  </si>
  <si>
    <t>059_HSMF1</t>
  </si>
  <si>
    <t>Concesión de Hospital de Maipú y Hospital de La Florida</t>
  </si>
  <si>
    <t>Se trata de dos proyectos hospitalarios en Maipú y La Florida, que incluyen la construcción de los edificios, la provisión de mobiliario no clínico y la operación de servicios básicos y especiales obligatorios de apoyo como cafetería, seguridad y vigilancia, estacionamientos, sala cuna, etc.
El diseño, provisión, montaje y mantenimiento del equipamiento clínico, así como los servicios clínicos mismos, son de responsabilidad del Ministerio de Salud, mandante en esta obra.
El Hospital de Maipú, corresponde a un establecimiento de mediana complejidad (tipo 2), dependiente del Servicio de Salud Metropolitano Central (SSMC). Está conformado por dos instituciones con estructura y organización propia, el actual CRS de Maipú y el Hospital de Maipú, que confluyen y se complementan en una asociación destinada a resolver las necesidades asistenciales de la sub-red Maipú-Cerrillos. El recinto tiene una capacidad de 375 camas y una superficie edificada de aproximadamente 70.000 m2.
El Hospital de La Florida es un recinto de mediana complejidad (tipo 2), que cuenta con un área de atención abierta (Centro de Referencia de Salud) y otra cerrada (Hospital de La Florida). Estas se complementan por servicios de apoyo clínico y de servicios generales, dirigidos por una administración centralizada y única, dependiente del Servicio de Salud Metropolitano Sur Oriente (SSMSO). El recinto tiene capacidad de camas de 391 en una superficie edificada cercana a los 72.000 m2.</t>
  </si>
  <si>
    <t>Hospitalaria</t>
  </si>
  <si>
    <t>https://concesiones.mop.gob.cl/project/concesion-hospital-de-maipu-y-la-florida/</t>
  </si>
  <si>
    <t>76082113-6</t>
  </si>
  <si>
    <t>SOCIEDAD CONCESIONARIA SAN JOSE-TECNOCONTROL S.A.</t>
  </si>
  <si>
    <t>https://www.cmfchile.cl/institucional/mercados/entidad.php?auth=&amp;send=&amp;mercado=O&amp;rut=76082113&amp;grupo=&amp;tipoentidad=RGEIN&amp;vig=VI&amp;row=AAAwy2ACTAAABzLAAQ&amp;control=svs&amp;pestania=1</t>
  </si>
  <si>
    <t>060_66RF1</t>
  </si>
  <si>
    <t>Ruta 66 - Camino de la Fruta</t>
  </si>
  <si>
    <t>Primera concesión Ruta 66 - Camino de la Fruta</t>
  </si>
  <si>
    <t>Valparaíso; Metropolitana de Santiago; Libertador General Bernardo O'Higgins</t>
  </si>
  <si>
    <t>76099522-3</t>
  </si>
  <si>
    <t>SOCIEDAD CONCESIONARIA LA FRUTA S.A.</t>
  </si>
  <si>
    <t>https://www.cmfchile.cl/institucional/mercados/entidad.php?auth=&amp;send=&amp;mercado=O&amp;rut=76099522&amp;grupo=&amp;tipoentidad=RGEIN&amp;vig=NV&amp;row=AAAwy2ACTAAABzLAAV&amp;control=svs&amp;pestania=1</t>
  </si>
  <si>
    <t>061_PMPA1</t>
  </si>
  <si>
    <t>Primera concesión Ruta 5, Tramo Puerto Montt - Pargua</t>
  </si>
  <si>
    <t>Autopista de doble calzada de 55 km de longitud que corresponde al tramo Puerto Montt-Pargua de la Ruta 5 Sur que cruza la Región de Los Lagos.
Considera nuevos enlaces e intersecciones viales, obras de saneamiento y drenaje, señalización y seguridad vial, iluminación, paraderos y calles de servicio.</t>
  </si>
  <si>
    <t>https://concesiones.mop.gob.cl/project/concesion-ruta-5-tramo-puerto-montt-pargua/</t>
  </si>
  <si>
    <t>76100845-5</t>
  </si>
  <si>
    <t>SOCIEDAD CONCESIONARIA RUTA DEL CANAL S.A.</t>
  </si>
  <si>
    <t>https://www.cmfchile.cl/institucional/mercados/entidad.php?auth=&amp;send=&amp;mercado=O&amp;rut=76100845&amp;grupo=&amp;tipoentidad=RGEIN&amp;vig=VI&amp;row=AAAwy2ACTAAABzNAAS&amp;control=svs&amp;pestania=1</t>
  </si>
  <si>
    <t>062_NARA1</t>
  </si>
  <si>
    <t>Primera concesión Nuevo Aeropuerto de la Región de La Araucanía</t>
  </si>
  <si>
    <t>Nuevo aeropuerto ubicado a 20 km. al sur poniente de la ciudad de Temuco en la Región de la Araucanía que surge en reemplazo al recinto de Manquehue de Temuco.
El recinto cuenta con una pista de 2.440 m de longitud, una plataforma de estacionamientos de superficie aproximada de 22.770 m2, con capacidad para cuatro aviones. Asimismo, un terminal de pasajeros de aproximadamente 5.000 m2, puentes de embarque, un edificio aeronáutico para la DGAC, Torre de Control, sistemas de ayuda a la aeronavegación, además de la construcción de caminos de conexión.
Incluye la vialidad para llegar al recinto mediante un camino que se conecta, mediante un enlace, con la Ruta 5 Sur.</t>
  </si>
  <si>
    <t>https://concesiones.mop.gob.cl/project/concesion-nuevo-aeropuerto-region-de-la-araucania/</t>
  </si>
  <si>
    <t>76101037-9</t>
  </si>
  <si>
    <t>SOCIEDAD CONCESIONARIA AEROPUERTO ARAUCANIA S.A.</t>
  </si>
  <si>
    <t>https://www.cmfchile.cl/institucional/mercados/entidad.php?auth=&amp;send=&amp;mercado=O&amp;rut=76101037&amp;grupo=&amp;tipoentidad=RGEIN&amp;vig=VI&amp;row=AAAwy2ACTAAABzLAAU&amp;control=svs&amp;pestania=1</t>
  </si>
  <si>
    <t>063_ACIP2</t>
  </si>
  <si>
    <t>Aeropuerto Presidente Carlos Ibáñez del Campo de Punta Arenas</t>
  </si>
  <si>
    <t>Segunda concesión Aeropuerto Presidente Carlos Ibáñez del Campo de Punta Arenas</t>
  </si>
  <si>
    <t>Esta concesión finalizó en marzo de 2021 y consideró la remodelación del Aeropuerto Carlos Ibáñez del Campo ubicado a 20 km al norte de la ciudad de Punta Arenas en el costado oriente de la Ruta 9, que une Punta Arenas con Puerto Natales, próximo al Estrecho de Magallanes.
Durante la construcción se amplió la superficie del terminal quedando en 7.000 m2, con tres puentes de embarque y seis posiciones remotas. La obra dispuso de una nueva Torre de Control y Planta de Tratamiento de aguas servidas, así como la ampliación y nueva iluminación de la Plataforma de Estacionamiento de Aeronaves.
Con el desarrollo de esta obra se buscó mejorar los estándares de la infraestructura aeroportuaria en la región.
La obra fue relicitada y en la actualidad está vigente la tercera concesión.</t>
  </si>
  <si>
    <t>https://concesiones.mop.gob.cl/project/segunda-concesion-aeropuerto-carlos-ibanez-del-campo-de-punta-arenas/</t>
  </si>
  <si>
    <t>76087702-6</t>
  </si>
  <si>
    <t>CONSORCIO AEROPORTUARIO DE MAGALLANES S.A. SOCIEDAD CONCESIONARIA</t>
  </si>
  <si>
    <t>https://www.cmfchile.cl/institucional/mercados/entidad.php?auth=&amp;send=&amp;mercado=O&amp;rut=76087702&amp;grupo=&amp;tipoentidad=RGEIN&amp;vig=VI&amp;row=AAAwy2ACTAAABzNAAI&amp;control=svs&amp;pestania=1</t>
  </si>
  <si>
    <t>064_PP2G2</t>
  </si>
  <si>
    <t>Segunda concesión Programa de Concesiones de Infraestructura Penitenciaria Grupo 2</t>
  </si>
  <si>
    <t>Se ubica en la Región de Antofagasta y Biobío, provincias de Antofagasta y Concepción. La obra contempló la habilitación de la infraestructura y la explotación de los EP emplazados en dichas ciudades, los que albergarán una población penal de internos 3.957. Los EP concesionados cuentan con sistemas de segmentación de la población penal por grado de peligrosidad y son apoyados con modernos sistemas de seguridad y comunicaciones. Además, el operador está obligado a prestar los servicios de mantención de la infraestructura; mantención del equipamiento estándar y de seguridad; alimentación; lavandería; aseo y control de plagas; salud; reinserción social y económica. El proyecto se financia a través de aportes del Estado, mediante subsidios a la operación, distribuidos en cuotas durante la concesión.</t>
  </si>
  <si>
    <t>https://concesiones.mop.gob.cl/project/segunda-concesion-programa-penitenciario-grupo-2-antofagasta-y-concepcion/</t>
  </si>
  <si>
    <t>76098841-3</t>
  </si>
  <si>
    <t>SOCIEDAD CONCESIONARIA  GRUPO DOS S.A.</t>
  </si>
  <si>
    <t>https://www.cmfchile.cl/institucional/mercados/entidad.php?auth=&amp;send=&amp;mercado=O&amp;rut=76098841&amp;grupo=&amp;tipoentidad=RGEIN&amp;vig=VI&amp;row=AAAwy2ACTAAABzHAAA&amp;control=svs&amp;pestania=1</t>
  </si>
  <si>
    <t>Conceoción: 10-12-2010: Antofagatsa: 06-03-2012</t>
  </si>
  <si>
    <t>065_AURA1</t>
  </si>
  <si>
    <t>Primera concesión Vial Autopistas de la Región de Antofagasta</t>
  </si>
  <si>
    <t>Con una extensión de 201 km esta obra consiste en la ampliación a doble calzada de la Ruta 1, entre el norte de Antofagasta y Mejillones y de la Ruta 5, entre Uribe y Carmen Alto, más la pavimentación de la Ruta B400 en calzada simple e incorporación de terceras pistas en Ruta 26.
Asimismo considera el mejoramiento de las condiciones de seguridad, incorporando enlaces y estructuras a desnivel, intersecciones a nivel reguladas, construcción de calles de servicio, iluminación, señalética, pasarelas peatonales, paisajismo, paraderos de buses, mejoramiento de los sistemas de saneamiento y drenaje, implementación de elementos de control.
Estos mejoramientos de rutas contribuyen a mejorar la conectividad vial de la zona, favoreciendo el desarrollo industrial y productivo de la Región de Antofagasta.</t>
  </si>
  <si>
    <t>https://concesiones.mop.gob.cl/project/concesion-autopista-de-la-region-de-antofagasta/</t>
  </si>
  <si>
    <t>76099978-4</t>
  </si>
  <si>
    <t>SOCIEDAD CONCESIONARIA AUTOPISTAS DE ANTOFAGASTA S.A.</t>
  </si>
  <si>
    <t>https://www.cmfchile.cl/institucional/mercados/entidad.php?auth=&amp;send=&amp;mercado=O&amp;rut=76099978&amp;grupo=&amp;tipoentidad=RGEIN&amp;vig=VI&amp;row=AAAwy2ACTAAABzLAAT&amp;control=svs&amp;pestania=1</t>
  </si>
  <si>
    <t>066_ALOA2</t>
  </si>
  <si>
    <t>Aeropuerto El Loa de Calama</t>
  </si>
  <si>
    <t>Segunda concesión Aeropuerto El Loa de Calama</t>
  </si>
  <si>
    <t>Remodelación del Aeropuerto de El Loa ubicado a 6 km al sur este de la ciudad de Calama en la Región de Antofagasta.
Cuenta con un nuevo edificio terminal de pasajeros de dos niveles con una superficie de 9.434 m2, la remodelación de 2.240 m2 del área terminal actual para las oficinas administrativas, oficina de operaciones, casino e instalaciones logísticas de la DGAC, adquisición, provisión e instalación de tres puentes de embarque, nuevas instalaciones como Torre de Control, edificio de cuartel SEI, Club Aéreo, subestación eléctrica e instalaciones de agua potable y de incendio para el Terminal de Pasajeros y DGAC.
Los principales trabajos fueron la ampliación de la plataforma de estacionamiento de aeronaves en 8.100 m2, la construcción de rodaje perpendicular.
El Aeropuerto es clave en potenciar la industria regional y mejorar la conectividad nacional.</t>
  </si>
  <si>
    <t>https://concesiones.mop.gob.cl/project/segunda-concesion-aeropuerto-el-loa-de-calama/</t>
  </si>
  <si>
    <t>76139803-2</t>
  </si>
  <si>
    <t>CONSORCIO AEROPORTUARIO DE CALAMA S.A. SOCIEDAD CONCESIONARIA</t>
  </si>
  <si>
    <t>https://www.cmfchile.cl/institucional/mercados/entidad.php?auth=&amp;send=&amp;mercado=O&amp;rut=76139803&amp;grupo=&amp;tipoentidad=RGEIN&amp;vig=VI&amp;row=AAAwy2ACTAAABzNAAY&amp;control=svs&amp;pestania=1</t>
  </si>
  <si>
    <t>067_ACIQ1</t>
  </si>
  <si>
    <t>Alternativas de Acceso a Iquique</t>
  </si>
  <si>
    <t>Primera concesión Alternativas de Acceso a Iquique</t>
  </si>
  <si>
    <t>Corresponde al mejoramiento a doble calzada de dos vías de acceso a Iquique que suman 78 km de longitud. La primera es un tramo de la Ruta 16 con 13 km de extensión, que se inicia en la conexión con la Ruta 5 Norte a la altura del km 1.814, en el sector denominado Humberstone y se extiende hasta la Rotonda El Pampino.
La segunda, es un tramo de la Ruta 1, desde el km 1.200 al sur del acceso al Aeropuerto Diego Aracena, hasta el sector denominado Bajo Molle, con una longitud total de 31 km.
Además cuenta con dos variantes, una en el sector del aeropuerto y otra en el sector denominado “Los Verdes”, que permite alejar la ruta de la costa evitando así el deterioro por la acción abrasiva del mar.</t>
  </si>
  <si>
    <t>https://concesiones.mop.gob.cl/project/concesion-alternativas-de-acceso-a-iquique/</t>
  </si>
  <si>
    <t>76172397-9</t>
  </si>
  <si>
    <t>SOCIEDAD CONCESIONARIA RUTAS DEL DESIERTO S.A</t>
  </si>
  <si>
    <t>https://www.cmfchile.cl/institucional/mercados/entidad.php?auth=&amp;send=&amp;mercado=O&amp;rut=76172397&amp;grupo=&amp;tipoentidad=RGEIN&amp;vig=VI&amp;row=AAAwy2ACTAAABzOAAP&amp;control=svs&amp;pestania=1</t>
  </si>
  <si>
    <t>068_COCA1</t>
  </si>
  <si>
    <t xml:space="preserve">Primera concesión Autopista Concepción - Cabrero </t>
  </si>
  <si>
    <t>Autopista de 103,4 km de longitud que recorre las comunas de Concepción, Florida, Yumbel, Cabrero y Yungay y se subdivide en dos áreas distintas. Sector A, entre la Ruta 5 en la zona de Cabrero a la Rotonda Bonilla en Concepción, con una longitud de 72,3 km y el Sector B, entre la Ruta 5 en la localidad de Cabrero y la Rotonda Cholguán, abarcando 31,1 km.
La ruta cuenta con una ampliación a doble calzada en el tramo de la Ruta 148 y la Ruta O-50, segregación de la carretera, emplazamiento de enlaces desnivelados en los principales cruces y mejoramiento del estado de las calzadas, entre otros.
El principal beneficio de la obra es mejorar la conectividad de la región, favoreciendo de esta forma el intercambio comercial.</t>
  </si>
  <si>
    <t>https://concesiones.mop.gob.cl/project/concesion-autopista-concepcion-cabrero/</t>
  </si>
  <si>
    <t>76172387-1</t>
  </si>
  <si>
    <t>SOCIEDAD CONCESIONARIA VALLES DEL BIO BIO S.A</t>
  </si>
  <si>
    <t>https://www.cmfchile.cl/institucional/mercados/entidad.php?auth=&amp;send=&amp;mercado=O&amp;rut=76172387&amp;grupo=&amp;tipoentidad=RGEIN&amp;vig=VI&amp;row=AAAwy2ACTAAABzOAAG&amp;control=svs&amp;pestania=1</t>
  </si>
  <si>
    <t>069_ACMA2</t>
  </si>
  <si>
    <t>Aeropuerto Cerro Moreno de Antofagasta</t>
  </si>
  <si>
    <t>Segunda concesión Aeropuerto Cerro Moreno de Antofagasta</t>
  </si>
  <si>
    <t>Remodelación y ampliación del terminal de pasajeros ubicado a 28 km al norte de la ciudad de Antofagasta en la Ruta CH–1.
Considera el mantenimiento de todas las obras preexistentes que se extienden por 7.000 m2 y nuevas que se ejecutaron que suman 2.900 m2, que incluye entre otras el nuevo cuartel de seguridad, salvamento y extinción de incendios (SEI).
Incluye áreas comerciales, hall público para llegada y salida de pasajeros, superficies para procesos aeroportuarios, oficinas de líneas aéreas, equipamiento electromecánico y aeroportuario, mobiliario, señalética, y comunicaciones, además de todos los servicios básicos.
El Aeropuerto es clave en potenciar la industria regional y mejorar la conectividad nacional.</t>
  </si>
  <si>
    <t>https://concesiones.mop.gob.cl/project/segunda-concesion-aeropuerto-andres-sabella-ex-cerro-moreno-de-antofagasta/</t>
  </si>
  <si>
    <t>76179538-4</t>
  </si>
  <si>
    <t>SOCIEDAD CONCESIONARIA AEROPUERTO DE ANTOFAGASTA S.A</t>
  </si>
  <si>
    <t>https://www.cmfchile.cl/institucional/mercados/entidad.php?auth=&amp;send=&amp;mercado=O&amp;rut=76179538&amp;grupo=&amp;tipoentidad=RGEIN&amp;vig=VI&amp;row=AAAwy2ACTAAABzOAAL&amp;control=svs&amp;pestania=1</t>
  </si>
  <si>
    <t>070_43RU1</t>
  </si>
  <si>
    <t>Primera concesión para el Mejoramiento y Conservación de la Ruta 43 de la Región de Coquimbo</t>
  </si>
  <si>
    <t>Ubicado en la Región de Coquimbo al norte de la ciudad de Santiago, la Ruta 43 se emplaza en las Provincias del Elqui y Limarí. Conecta la Ciudad de Ovalle con la Ciudad de Coquimbo. El proyecto contempla 86 km de caminos pavimentados, además de la construcción de aceras, ciclovías, paisajismo e iluminación. Esta obra pública se financiará mediante tarifa a los usuarios y eventuales aportes del Estado.
Entre los beneficios del Proyecto se encuentra el aumento en la seguridad vial, ahorros en tiempos de viajes y costos operacionales.</t>
  </si>
  <si>
    <t>https://concesiones.mop.gob.cl/project/concesion-mejoramiento-y-conservacion-de-la-ruta-43-de-la-region-de-coquimbo/</t>
  </si>
  <si>
    <t>76307944-9</t>
  </si>
  <si>
    <t>SOCIEDAD CONCESIONARIA RUTA DEL LIMARI S.A.</t>
  </si>
  <si>
    <t>https://www.cmfchile.cl/institucional/mercados/entidad.php?auth=&amp;send=&amp;mercado=O&amp;rut=76307944&amp;grupo=&amp;tipoentidad=RGEIN&amp;vig=VI&amp;row=AAAwy2ACTAAABzVAAW&amp;control=svs&amp;pestania=1</t>
  </si>
  <si>
    <t>071_VALS1</t>
  </si>
  <si>
    <t>Primera concesión Ruta 5 Norte. Tramo: La Serena - Vallenar</t>
  </si>
  <si>
    <t>Autopista de doble calzada de 187 km de extensión, que tiene como propósito continuar con el mejoramiento de la Ruta 5 Norte. El tramo comienza en el sector urbano de La Serena al norte del cruce de Francisco de Aguirre, hasta el acceso a la localidad de Domeyko.
Considera mejoramiento de la doble calzada, retornos a nivel ubicados cada 8 a 10 km, calles de servicios, áreas especiales de estacionamiento para camiones y red de asistencia con citófonos de emergencia, grúas y vehículos de atención en caso de urgencias.
Adicionalmente consta de un nuevo puente, que atraviesa el ferrocarril y el río Elqui, y una solución desnivelada para el sector de Las Compañías junto con otras soluciones similares en los poblados que atraviesa la Ruta 5.</t>
  </si>
  <si>
    <t>Atacama; Coquimbo</t>
  </si>
  <si>
    <t>https://concesiones.mop.gob.cl/project/concesion-ruta-5-tramo-la-serena-vallenar/</t>
  </si>
  <si>
    <t>76213076-9</t>
  </si>
  <si>
    <t>SOCIEDAD CONCESIONARIA RUTA DEL ALGARROBO SA</t>
  </si>
  <si>
    <t>https://www.cmfchile.cl/institucional/mercados/entidad.php?auth=&amp;send=&amp;mercado=O&amp;rut=76213076&amp;grupo=&amp;tipoentidad=RGEIN&amp;vig=VI&amp;row=AAAwy2ACTAAABzQAAc&amp;control=svs&amp;pestania=1</t>
  </si>
  <si>
    <t>072_RLOA1</t>
  </si>
  <si>
    <t>Primera concesión Vial Rutas del Loa</t>
  </si>
  <si>
    <t>Esta concesión finalizó de manera anticipada en 2016 y consideró el mejoramiento de la Ruta 25, principal acceso a la ciudad de Calama. El proyecto incluía la construcción de segundas calzadas, reposiciones y rehabilitaciones de pavimento, el desarrollo de una circunvalación a la ciudad de Calama, completando unaextensión de 136 km, mejoramiento de las condiciones de seguridad del trazado, nuevos enlaces, pasos desnivelados, señalética y paraderos de buses y pasarelas.
La obra fue relicitada y en la actualidad se encuentra vigente la segunda concesión.</t>
  </si>
  <si>
    <t>76380242-6</t>
  </si>
  <si>
    <t>Sociedad Concesionaria San José Rutas del Loa SA</t>
  </si>
  <si>
    <t>073_ADAI3</t>
  </si>
  <si>
    <t>Tercera concesión Aeropuerto Diego Aracena de Iquique, I Región de Tarapacá</t>
  </si>
  <si>
    <t>Esta concesión finalizó en marzo de 2018 y consideró el mejoramiento del terminal aeroportuario, la ampliación de los estacionamientos públicos y el desarrollo de nuevas instalaciones de apoyo, como sanitarias y eléctricas. Con el desarrollo de esta obra se buscó mejorar los estándares de las instalaciones aeroportuarias. La obra fue relicitada y en la actualidad está vigente la cuarta concesión.</t>
  </si>
  <si>
    <t>https://concesiones.mop.gob.cl/project/tercera-concesion-aeropuerto-diego-aracena-de-iquique/</t>
  </si>
  <si>
    <t>Pagos; Ingresos totales de la concesión.</t>
  </si>
  <si>
    <t>76247635-5</t>
  </si>
  <si>
    <t>SOCIEDAD CONCESIONARIA AEROPUERTO DE IQUIQUE S.A.</t>
  </si>
  <si>
    <t>https://www.cmfchile.cl/institucional/mercados/entidad.php?mercado=O&amp;rut=76247635&amp;grupo=&amp;tipoentidad=RGEIN&amp;row=AAAwy2ACTAAABzPAAE&amp;vig=NV&amp;control=svs&amp;pestania=50</t>
  </si>
  <si>
    <t>074_ALFS2</t>
  </si>
  <si>
    <t>Segunda concesión Aeródromo La Florida de La Serena, IV Región de Coquimbo</t>
  </si>
  <si>
    <t>Esta concesión finalizó en octubre de 2021 y consideró la remodelación y ampliación del principal terminal aéreo que pasó de 3.200 a 4.500 metros cuadrados el terminal, gracias a la construcción de un nuevo edificio logístico para la DGAC y para la Policía de Investigaciones, SAG y Aduana.
Asimismo se amplió la cabina de la torre de control, la plataforma del recinto y las áreas de servicios como baños públicos, cafetería y cocina, entre otros.
El proyecto tuvo por objetivo mejorar los estándares de las instalaciones aeroportuarias para entregar un mayor confort a los usuarios.
La obra fue licitada nuevamente y en la actualidad está vigente la tercera concesión.</t>
  </si>
  <si>
    <t>https://concesiones.mop.gob.cl/project/segunda-concesion-aerodromo-la-florida-de-la-serena/</t>
  </si>
  <si>
    <t>76256545-5</t>
  </si>
  <si>
    <t>CONSORCIO AEROPORTUARIO DE LA SERENA S.A. SOCIEDAD CONCESIONARIA</t>
  </si>
  <si>
    <t>https://www.cmfchile.cl/institucional/mercados/entidad.php?auth=&amp;send=&amp;mercado=O&amp;rut=76256545&amp;grupo=&amp;tipoentidad=RGEIN&amp;vig=VI&amp;row=AAAwy2ACTAAABzTAAR&amp;control=svs&amp;pestania=1</t>
  </si>
  <si>
    <t>075_HSAN1</t>
  </si>
  <si>
    <t>Hospital de Antofagasta</t>
  </si>
  <si>
    <t>Primera concesión Hospital de Antofagasta</t>
  </si>
  <si>
    <t>Ubicado en la Región de Antofagasta, el proyecto consiste en la construcción, mantenimiento y explotación de servicios no clínicos de apoyo. Además, la concesión contempla la provisión, reposición y mantenimiento del equipamiento médico.
La superficie construida será de 114.000 m2, y considera la inclusión de 45 boxes de consulta, 24 boxes de urgencia, 16 boxes dentales, 18 pabellones y 671 camas Indiferenciadas.
Esta obra pública se financiará mediante aportes del Estado, a través de subsidios tanto para la construcción como la operación del recinto y el equipamiento médico.
El proyecto beneficiará a una población proyectada de 260 mil personas, al que se agrega la demanda de alta complejidad desde Arica a Copiapó.
Entre los beneficios del Proyecto se encuentra el aumento de la disponibilidad de camas en la región, con infraestructura hospitalaria y equipamiento médico de alto nivel y alta complejidad.</t>
  </si>
  <si>
    <t>https://concesiones.mop.gob.cl/project/concesion-hospital-de-antofagasta/</t>
  </si>
  <si>
    <t>76317736-K</t>
  </si>
  <si>
    <t>SOCIEDAD CONCESIONARIA SALUD SIGLO XXI S.A.</t>
  </si>
  <si>
    <t>https://www.cmfchile.cl/institucional/mercados/entidad.php?auth=&amp;send=&amp;mercado=O&amp;rut=76317736&amp;grupo=&amp;tipoentidad=RGEIN&amp;vig=VI&amp;row=AAAwy2ACTAAABzTAAk&amp;control=svs&amp;pestania=1</t>
  </si>
  <si>
    <t>076_NPIB1</t>
  </si>
  <si>
    <t>Primera concesión Vial Puente Industrial</t>
  </si>
  <si>
    <t>El proyecto contempla la construcción y operación de un puente sobre el río Bío Bío que conecta las comunas de Hualpén y San Pedro de la Paz, en la provincia de Concepción mediante un trazado nuevo con dos calzadas con dos pistas por sentido y una extensión total de 6,4 km (aproximadamente).
La obra considera un nuevo puente sobre el río Biobío, en una estructura de una longitud total de 2,5 kilómetros, con estándar sísmico, más las conexiones con la vialidad urbana, con ciclovía y acera peatonal en toda su extensión con el objetivo de mejorar la conectividad vehicular y peatonal entre ambas riberas.
El proyecto prevé la reducción significativa en los tiempos de viaje y mejoramiento de la conectividad entre ambas riberas del río Bío Bío.</t>
  </si>
  <si>
    <t>https://concesiones.mop.gob.cl/project/concesion-vial-puente-industrial/</t>
  </si>
  <si>
    <t>Construcción y Operación</t>
  </si>
  <si>
    <t>76427516-0</t>
  </si>
  <si>
    <t>SOCIEDAD CONCESIONARIA PUENTE INDUSTRIAL S.A</t>
  </si>
  <si>
    <t>https://www.cmfchile.cl/institucional/mercados/entidad.php?auth=&amp;send=&amp;mercado=O&amp;rut=76427516&amp;grupo=&amp;tipoentidad=RGEIN&amp;vig=VI&amp;row=AAAwy2ACTAAABz3AAK&amp;control=svs&amp;pestania=1</t>
  </si>
  <si>
    <t>077_CFLL1</t>
  </si>
  <si>
    <t>Nuevo Complejo Fronterizo Los Libertadores</t>
  </si>
  <si>
    <t>Primera concesión Nuevo Complejo Fronterizo Los Libertadores</t>
  </si>
  <si>
    <t>El proyecto consiste en la construcción de un nuevo Complejo Fronterizo en el Paso Los Libertadores, punto que atiende el mayor flujo de personas, vehículos y transporte de carga con Argentina (más de 4,3 millones de toneladas y sobre 1,5 millones de personas en tránsito), constituyéndose además en la principal conexión terrestre entre Chile y el MERCOSUR y con un mercado potencial de 190 millones de personas.
La iniciativa implica el reemplazo de las actuales instalaciones ubicadas aproximadamente a 300 metros del actual complejo, a 3.000 metros sobre el nivel del mar, a 68 km. de la ciudad de Los Andes, en la Región de Valparaíso. Las principales obras consideradas en el proyecto son: Edificio de Control e Inspección (Automóviles particulares, Buses y vehículos de carga) Edificio de Alojamiento para Funcionarios Subcomisaria de Carabineros de Chile Vialidad de acceso y empalmes con la Ruta 60-CH, vialidad de circulación interior y buffer de estacionamientos Área para Servicios Generales.
Otras obras complementarias: muro deflector de avalanchas, contención de taludes, cierros, drenajes, saneamiento, circulación peatonal, demolición de construcciones existentes, señalética, entre otras.
Los beneficios del proyecto están asociados a la disminución los tiempos de espera en cola de usuarios; mayor eficacia en el control migratorio de personas, control de mercancías (incluyendo sustancias ilícitas) y control fitozoosanitario; mejorar las condiciones de trabajo y habitabilidad para los funcionarios; reducir la exposición a riesgo de avalanchas; asegurar la mantención y conservación de la nueva infraestructura; mejorar la imagen país para turistas que ingresan a Chile; contar con nuevos y mejores servicios para los usuarios; potenciar el Programa de Integración con el resto de la Región de Sudamérica.</t>
  </si>
  <si>
    <t>https://concesiones.mop.gob.cl/project/concesion-complejo-fronterizo-los-libertadores/</t>
  </si>
  <si>
    <t>76475888-9</t>
  </si>
  <si>
    <t>SOCIEDAD CONCESIONARIA NUEVO COMPLEJO FRONTERIZO LOS LIBERTADORES S.A.</t>
  </si>
  <si>
    <t>https://www.cmfchile.cl/institucional/mercados/entidad.php?auth=&amp;send=&amp;mercado=O&amp;rut=76475888&amp;grupo=&amp;tipoentidad=RGEIN&amp;vig=VI&amp;row=AAAwy2ACTAAABz5AAL&amp;control=svs&amp;pestania=1</t>
  </si>
  <si>
    <t>078_1AVO1</t>
  </si>
  <si>
    <t>Primera concesión Américo Vespucio Oriente, Tramo Av. El Salto - Príncipe de Gales</t>
  </si>
  <si>
    <t>Autopista de urbana de 9,1 km de extensión que corresponde a un tramo del anillo Américo Vespucio, entre Av. El Salto y Av. Príncipe de Gales. En su trazado la ruta cruza seis comunas: La Reina, Ñuñoa, Las Condes, Vitacura, Recoleta y Huechuraba. La autopista considera en toda su extensión doble calzada, de tres pistas por sentido, de 3,5m de ancho, permitiendo una velocidad de 100 km/h y de 80 km/hr.
El trazado comienza en el sector de Avda. El Salto con un Viaducto y luego avanza a través del túnel La Pirámide bajo el cerro San Cristóbal. A continuación la vía considera trincheras cubiertas y un túnel híbrido, en que el nivel -1 es en dirección hacia el norte y el -2 es hacia el sur.
La autopista consideró también el mejoramiento de áreas verdes como el Parque Vespucio, el desarrollo de ciclopaseos y permitirá el tránsito del transporte público.
Se estima que la obra permitirá reducir significativamente los tiempos de traslado y beneficiará a una población estimada de 750 mil habitantes.</t>
  </si>
  <si>
    <t>https://concesiones.mop.gob.cl/project/concesion-americo-vespucio-oriente-tramo-el-salto-principe-de-gales/</t>
  </si>
  <si>
    <t>76376061-8</t>
  </si>
  <si>
    <t>SOCIEDAD CONCESIONARIA VESPUCIO ORIENTE S.A.</t>
  </si>
  <si>
    <t>https://www.cmfchile.cl/institucional/mercados/entidad.php?auth=&amp;send=&amp;mercado=O&amp;rut=76376061&amp;grupo=&amp;tipoentidad=RGEIN&amp;vig=VI&amp;row=AAAwy2ACTAAABzVAAM&amp;control=svs&amp;pestania=1</t>
  </si>
  <si>
    <t>079_ATEP3</t>
  </si>
  <si>
    <t>Tercera concesión Aeropuerto El Tepual de Puerto Montt, X Región de Los Lagos</t>
  </si>
  <si>
    <t>Esta concesión finalizó en 2018 y consideró la remodelación y ampliación del principal terminal aéreo de la Región de Los Lagos, a través del desarrollo de obras de equipamiento, nuevas áreas de servicios y hall de público. El proyecto tuvo por objetivo mejorar los estándares de las instalaciones aeroportuarias para entregar un mayor confort a los usuarios.
La obra fue relicitada y en la actualidad está vigente la cuarta concesión.</t>
  </si>
  <si>
    <t>https://concesiones.mop.gob.cl/project/tercera-concesion-aeropuerto-el-tepual-de-puerto-montt/</t>
  </si>
  <si>
    <t>76365734-5</t>
  </si>
  <si>
    <t>SOCIEDAD CONCESIONARIA AEROPUERTO EL TEPUAL S.A.</t>
  </si>
  <si>
    <t>https://www.cmfchile.cl/institucional/mercados/entidad.php?auth=&amp;send=&amp;mercado=O&amp;rut=76365734&amp;grupo=&amp;tipoentidad=RGEIN&amp;vig=NV&amp;row=AAAwy2ACTAAABzUAAA&amp;control=svs&amp;pestania=1</t>
  </si>
  <si>
    <t>080_HSSG1</t>
  </si>
  <si>
    <t>Hospital del Salvador e Instituto Nacional de Geriatría</t>
  </si>
  <si>
    <t>Primera concesión Hospital del Salvador e Instituto Nacional de Geriatría</t>
  </si>
  <si>
    <t>Ubicado en la Región Metropolitana, el proyecto consiste en la construcción, mantenimiento y explotación de servicios no clínicos de apoyo de los hospitales del Salvador e Instituto Nacional de Geriatría.
Además, la concesión contempla la provisión, reposición y mantenimiento del equipamiento médico. La capacidad del recinto se estima en 650 camas.
Entre los beneficios del Proyecto se encuentra el aumento de la oferta de infraestructura hospitalaria del país con altos estándares técnicos y de servicio al usuario.</t>
  </si>
  <si>
    <t>https://concesiones.mop.gob.cl/project/concesion-hospital-del-salvador-geriatrico/</t>
  </si>
  <si>
    <t>Construcción</t>
  </si>
  <si>
    <t>76388163-6</t>
  </si>
  <si>
    <t>CONSORCIO DE SALUD SANTIAGO ORIENTE S.A. SOCIEDAD CONCESIONARIA</t>
  </si>
  <si>
    <t>https://www.cmfchile.cl/institucional/mercados/entidad.php?auth=&amp;send=&amp;mercado=O&amp;rut=76388163&amp;grupo=&amp;tipoentidad=RGEIN&amp;vig=VI&amp;row=AAAwy2ACTAAABzcAAF&amp;control=svs&amp;pestania=1</t>
  </si>
  <si>
    <t>En fase de construcción</t>
  </si>
  <si>
    <t>081_HSFB1</t>
  </si>
  <si>
    <t>Hospital Félix Bulnes</t>
  </si>
  <si>
    <t>Primera concesión Hospital Félix Bulnes</t>
  </si>
  <si>
    <t>Esta obra en operación consideró la construcción de un nuevo establecimiento médico de alta complejidad, que entrega atención hospitalaria y ambulatoria a los habitantes de la zona poniente de la Región Metropolitana y reemplaza al antiguo Hospital Félix Bulnes, que quedó gravemente dañado por el terremoto del 27 de febrero de 2010.
El nuevo Hospital Félix Bulnes tiene una superficie de 122.000 m2, con una capacidad para 523 camas, que incluyen camas básicas y medias, pensionado, U.P.C. (Unidad de pacientes críticos) y camas salud mental. Además tendrá otros instalaciones relevantes, tales como 16 pabellones (13 de cirugía mayor y 3 de cirugía menor) y 44 box de consulta de especialidades.
Este contrato de concesión también considera la mantención y operación de las instalaciones, así como la provisión del mobiliario clínico y no clínico, equipamiento médico, equipamiento industrial, mobiliario asociado a la infraestructura, explotación de servicios básicos, servicios especiales obligatorios y servicios complementarios.
El recinto beneficia a una población estimada en cerca de un millón de personas, provenientes de las comunas de Pudahuel, Cerro Navia, Renca, Quinta Normal y Lo Prado.</t>
  </si>
  <si>
    <t>https://concesiones.mop.gob.cl/project/concesion-hospital-felix-bulnes/</t>
  </si>
  <si>
    <t>76383236-8</t>
  </si>
  <si>
    <t>SOCIEDAD CONCESIONARIA METROPOLITANA DE SALUD S.A.</t>
  </si>
  <si>
    <t>https://www.cmfchile.cl/institucional/mercados/entidad.php?auth=&amp;send=&amp;mercado=O&amp;rut=76383236&amp;grupo=&amp;tipoentidad=RGEIN&amp;vig=VI&amp;row=AAAwy2ACTAAABz3AAE&amp;control=svs&amp;pestania=1</t>
  </si>
  <si>
    <t>082_AAMB2</t>
  </si>
  <si>
    <t>Segunda concesión Aeropuerto Internacional Arturo Merino Benítez de Santiago</t>
  </si>
  <si>
    <t>El proyecto considera una mejora considerable del principal aeropuerto del país gracias a la construcción de un nuevo Edificio Terminal Internacional de Pasajeros de aproximadamente 249.500 m2 y la remodelación y ampliación del Edificio Terminal existente, dejándolo para uso exclusivo de tráfico nacional.
La obra también considera el aumento de estacionamientos vehiculares de 3.700 a 5.800 plazas públicas, incluyendo dos edificios de tres pisos cada uno, instalación de 70 nuevos módulos de autochequeo para los pasajeros, nuevos puentes de embarque, para pasar desde los 18 actuales a un total de 67 puentes de embarque, nuevos ascensores, escaleras mecánicas e incorporación de veredas rodantes, además de la implementación de sistemas de manejo de equipaje y chequeo de pasajeros de última generación que mejorarán la calidad de servicio del aeropuerto.
Se incluye también la ampliación de planta de agua potable, planta de tratamiento de aguas servidas, subestaciones eléctricas, central térmica; ampliación de plataforma para estacionamiento de aeronaves, en sector oriente y poniente, incluyendo calles de rodaje, túnel de conexión oriente-poniente, y camino aeronáutico de servicio, entre otras instalaciones.
Con estas obras se espera atender a la creciente demanda de pasajeros y mejorar el estándar de la principal puerta de entrada al país.</t>
  </si>
  <si>
    <t>https://concesiones.mop.gob.cl/project/segunda-concesion-aeropuerto-arturo-merino-benitez/</t>
  </si>
  <si>
    <t>Otros (v).</t>
  </si>
  <si>
    <t>76466068-4</t>
  </si>
  <si>
    <t>SOCIEDAD CONCESIONARIA NUEVO PUDAHUEL S.A.</t>
  </si>
  <si>
    <t>https://www.cmfchile.cl/institucional/mercados/entidad.php?auth=&amp;send=&amp;mercado=O&amp;rut=76466068&amp;grupo=&amp;tipoentidad=RGEIN&amp;vig=VI&amp;row=AAAwy2ACTAAABz1AAE&amp;control=svs&amp;pestania=1</t>
  </si>
  <si>
    <t>083_EPUN1</t>
  </si>
  <si>
    <t>Primera concesión de la Obra Pública Embalse La Punilla</t>
  </si>
  <si>
    <t>Esta concesión comenzó en marzo de 2016 y finalizó el 9 de octubre de 2021, a través de un Convenio de Extinción de contrato por mutuo acuerdo.
El proyecto consideraba el desarrollo de un embalse multipropósito, ubicado en la Provincia de Punilla, a 30 km aguas arriba de San Fabián de Alico, para mejorar la seguridad del riego para los usuarios del Río Ñuble, como también responder a requerimientos de hidroelectricidad y reserva para consumo humano.
Con algunas modificaciones, se plantea llamar a licitación el proyecto Concesión Embalse Nueva La Punilla durante el cuarto trimestre de 2021.</t>
  </si>
  <si>
    <t>Ñuble</t>
  </si>
  <si>
    <t>https://concesiones.mop.gob.cl/project/concesion-embalse-la-punilla/</t>
  </si>
  <si>
    <t>76590271-1</t>
  </si>
  <si>
    <t>SOCIEDAD CONCESIONARIA AGUAS DE PUNILLA S.A</t>
  </si>
  <si>
    <t>https://www.cmfchile.cl/institucional/mercados/entidad.php?auth=&amp;send=&amp;mercado=O&amp;rut=76590271&amp;grupo=&amp;tipoentidad=RGEIN&amp;vig=NV&amp;row=AAAwy2ACTAAABz+AAX&amp;control=svs&amp;pestania=1</t>
  </si>
  <si>
    <t>084_TEME2</t>
  </si>
  <si>
    <t>Segunda concesión Túnel El Melón</t>
  </si>
  <si>
    <t>La segunda concesión de este túnel, ubicado entre las provincias de Petorca y Quillota, en la Región de Valparaíso, contempla la construcción, mantención y explotación de las obras que permitan un aumento de capacidad de la ruta y un mejoramiento del estándar de seguridad de la vía actual.
Entre las obras de mejoramiento está considerada la ampliación vertical y modernización de su equipamiento de ventilación, iluminación y los sistemas de gestión de tráfico que controlan la operación del túnel. Asimismo, se estima un mejoramiento de los accesos norte y sur de la concesión actual, con lo que se pretende un aumento de la velocidad de diseño y disminución del tiempo de viaje.
Respecto de la necesidad de aumentar su capacidad vial, para este proceso se consideró la Construcción de un nuevo túnel –aledaño al actual-, con sus respectivos accesos. Además se añadirán galerías de conexión tanto vehicular como peatonal entre ambos túneles.
Para lograr mejorar las condiciones de seguridad y el confort de los usuarios, la relicitación de El Melón considera el cobro electrónico en la plaza de peaje, así como la implementación de teléfonos de emergencia, incorporación de señalización variable y aumento de elementos de señalética vial.
La Concesión Túnel El Melón se emplaza aproximadamente entre los kilómetros 127,54 y 132,73 de la Ruta 5 Norte, con una longitud total aproximada de 5 kilómetros, de los cuales aproximadamente 2.590 metros corresponden propiamente al túnel, y la longitud restante corresponde a los accesos norte y sur a éste.
Este túnel corresponde a la primera obra concesionada del país, y su puesta en servicio se realizó el miércoles 13 de septiembre de 1995, en una ceremonia encabezada por el presidente Eduardo Frei Ruiz-Tagle.</t>
  </si>
  <si>
    <t>https://concesiones.mop.gob.cl/project/segunda-concesion-tunel-el-melon/</t>
  </si>
  <si>
    <t>76574787-2</t>
  </si>
  <si>
    <t>SOCIEDAD CONCESIONARIA TUNEL EL MELON II S.A</t>
  </si>
  <si>
    <t>https://www.cmfchile.cl/institucional/mercados/entidad.php?auth=&amp;send=&amp;mercado=O&amp;rut=76574787&amp;grupo=&amp;tipoentidad=RGEIN&amp;vig=VI&amp;row=AAAwy2ACTAAABz9AAH&amp;control=svs&amp;pestania=1</t>
  </si>
  <si>
    <t>085_CNPU2</t>
  </si>
  <si>
    <t xml:space="preserve">Segunda concesión Camino Nogales - Puchuncaví </t>
  </si>
  <si>
    <t>El proyecto considera un mejoramiento integral del camino actual que corresponde a la Ruta F20, dotándolo de sectores con doble calzada (principalmente en el sector cuesta), cruces a desnivel con iluminación y paisajismo, puentes nuevos, calles locales para el control de acceso, actualización de elementos de contención, ciclovía, veredas y paraderos de buses, entre otros.
Estas obras permitirán contar con un camino más seguro, disminuir notablemente el tiempo de viaje (en el presente existen muchos tramos en la que se impide el adelantamiento, con presencia muy alta de camiones pesados) y segregar la ruta para controlar en mayor medida los ingresos a ella.
En su parte final suma un baipás a la localidad de Puchuncaví en doble calzada y la construcción de la Variante Ventanas, aumentando así su capacidad vial, respondiendo a los mayores requerimientos de tránsito previstas para la ruta en los próximos años, mejorando las condiciones de seguridad y confort de los usuarios.</t>
  </si>
  <si>
    <t>https://concesiones.mop.gob.cl/project/segunda-concesion-camino-nogales-puchuncavi/</t>
  </si>
  <si>
    <t>76449868-2</t>
  </si>
  <si>
    <t>SOCIEDAD CONCESIONARIA NUEVO CAMINO NOGALES- PUCHUNCAVI S.A.</t>
  </si>
  <si>
    <t>https://www.cmfchile.cl/institucional/mercados/entidad.php?auth=&amp;send=&amp;mercado=O&amp;rut=76449868&amp;grupo=&amp;tipoentidad=RGEIN&amp;vig=VI&amp;row=AAAwy2ACTAAABzaAAD&amp;control=svs&amp;pestania=1</t>
  </si>
  <si>
    <t xml:space="preserve">Sector 1: 86,19% 
Sector 2: 97,76% </t>
  </si>
  <si>
    <t>086_ACSU2</t>
  </si>
  <si>
    <t>Aeropuerto Carriel Sur de Concepción</t>
  </si>
  <si>
    <t>Segunda concesión Aeropuerto Carriel Sur de Concepción</t>
  </si>
  <si>
    <t>Esta obra en operaciones consideró la ampliación y mejoramiento de diferentes instalaciones del Aeropuerto Carriel Sur que se ubica a 5 km al noroeste de la ciudad de Concepción.
Durante la etapa de construcción se realizó la remodelación y ampliación del Edificio Terminal de Pasajeros, instalación de dos nuevos puentes de embarque, construcción de nuevas instalaciones para la DGAC (casino, centro de control, subcentro zonal de mantenimiento, edificio administrativo, torre de control, edificio logístico, abastecimiento de combustible y control de acceso), ampliación y redistribución del área de estacionamientos públicos, ampliación de la vialidad vehicular de circulación interior del Aeropuerto, ampliación de la Plataforma de Estacionamiento de Aviación Comercial denominada “Papa” hacia el sur. Incluye la provisión e instalación de nuevas torres de iluminación, construcción de la Plataforma de Aviación General denominada “Quebec”, entre otros.
Entre los beneficios de la obra destaca dotar a la región del Biobío y a la macro región sur del país, de un aeropuerto con gran capacidad para atender más de dos millones de pasajeros nacionales e internacionales al año, además de fortalecer la oferta de vuelos desde y hacia la Región del Biobío, mediante la operación sin restricciones de este Aeropuerto en cuanto a su capacidad de atención, entre otros aspectos.</t>
  </si>
  <si>
    <t>https://concesiones.mop.gob.cl/project/segunda-concesion-aeropuerto-carriel-sur-de-concepcion/</t>
  </si>
  <si>
    <t>76592495-2</t>
  </si>
  <si>
    <t>SOCIEDAD CONCESIONARIA AEROPUERTO CARRIEL SUR S.A.</t>
  </si>
  <si>
    <t>https://www.cmfchile.cl/institucional/mercados/entidad.php?auth=&amp;send=&amp;mercado=O&amp;rut=76592495&amp;grupo=&amp;tipoentidad=RGEIN&amp;vig=VI&amp;row=AAAwy2ACTAAABz/AAh&amp;control=svs&amp;pestania=1</t>
  </si>
  <si>
    <t>087_ADAI4</t>
  </si>
  <si>
    <t>Aeropuerto Diego Aracena de Iquique</t>
  </si>
  <si>
    <t>Cuarta concesión Aeropuerto Diego Aracena de Iquique</t>
  </si>
  <si>
    <t>La nueva concesión del Aeropuerto Diego Aracena de Iquique consiste en la ampliación y remodelación del Terminal de Pasajeros, además de la puesta en servicio de 2 puentes de embarques, nuevas obras para favorecer la vialidad interior y exterior, ampliación de estacionamientos, nuevas Instalaciones Aeronáuticas y la ampliación de la losa de estacionamiento para aeronaves.
El objetivo de estas obras es satisfacer las demandas propias de un Aeropuerto Internacional, dadas las proyecciones que ha realizado el MOP y que se traducen en un aumento de demanda de pasajeros en los próximos años. Actualmente, su pista tiene 3.350 metros de largo y 45 metros de ancho, lo que lo convierte en el segundo aeropuerto del país, sólo superado por el Aeropuerto Internacional Comodoro Arturo Merino Benítez de Santiago.
La ampliación del terminal de pasajeros considera parte de las instalaciones existentes en el recinto y la reposición y construcción de nuevas dependencias, que incluye ampliación de los 4 puentes de embarque actuales, para llegar un total de 6. También considera nuevos sectores en el área de movimiento y nuevas instalaciones DGAC, entre otras obras, las cuales se desarrollan en su totalidad en terrenos del Aeropuerto. Además, fueron incluidas obras destinadas a satisfacer la demanda y mejorar la calidad del servicio como el Edificio SSEI, Ampliación de Edificio Logístico, Edificio Casino - Auditorio de la DGAC, Subestación Eléctrica DGAC, y una nueva Planta de Tratamiento de Aguas Servidas.</t>
  </si>
  <si>
    <t>https://concesiones.mop.gob.cl/project/cuarta-concesion-aeropuerto-diego-aracena-de-iquique/</t>
  </si>
  <si>
    <t>76822899-K</t>
  </si>
  <si>
    <t>SOCIEDAD CONCESIONARIA AEROPUERTO DIEGO ARACENA S.A.</t>
  </si>
  <si>
    <t>https://www.cmfchile.cl/institucional/mercados/entidad.php?auth=&amp;send=&amp;mercado=O&amp;rut=76822899&amp;grupo=&amp;tipoentidad=RGEIN&amp;vig=VI&amp;row=AAAwy2ACTAAAB4CAAN&amp;control=svs&amp;pestania=1</t>
  </si>
  <si>
    <t>088_2AVO1</t>
  </si>
  <si>
    <t>Primera concesión Américo Vespucio Oriente, Tramo Av. Príncipe de Gales - Los Presidentes</t>
  </si>
  <si>
    <t>El proyecto de Concesión Américo Vespucio Oriente (AVO) del tramo Av. Príncipe de Gales – Rotonda Grecia, contempla la construcción y explotación de una autopista urbana subterránea de alto estándar, con una longitud de 5,2 kilómetros, que favorecerá a las comunas de La Reina, Peñalolén, Ñuñoa y Macul, en Santiago.
La solución vial permitirá dotar a esta importante vía estructurante de un alto nivel de servicio como vía urbana concesionada con sistema de cobro free flow, a través de la consolidación de vías expresas de 3 pistas por sentido y la provisión de dispositivos de seguridad vial, señalización variable, sistema de comunicación y servicios de atención a los usuarios.
Adicionalmente, la iniciativa considera una completa propuesta de remodelación urbana en superficie y la consolidación de un corredor de Transporte Público en el sector.Esta obra permitirá extender el nivel de servicio de alto estándar a todo el Anillo Américo Vespucio, mejorando los problemas de congestión vehicular en horas punta, lo que provoca grandes costos sociales y contaminación ambiental en cuanto a emisión de gases y ruidos.</t>
  </si>
  <si>
    <t>https://concesiones.mop.gob.cl/project/concesion-americo-vespucio-oriente-principe-de-gales-los-presidentes/</t>
  </si>
  <si>
    <t>76870948-3</t>
  </si>
  <si>
    <t>SOCIEDAD CONCESIONARIA AMERICO VESPUCIO ORIENTE II S.A.</t>
  </si>
  <si>
    <t>https://www.cmfchile.cl/institucional/mercados/entidad.php?auth=&amp;send=&amp;mercado=O&amp;rut=76870948&amp;grupo=&amp;tipoentidad=RGEIN&amp;vig=VI&amp;row=AAAwy2ACTAAAAQnAAM&amp;control=svs&amp;pestania=1</t>
  </si>
  <si>
    <t>089_RNAH1</t>
  </si>
  <si>
    <t>Mejoramiento Ruta Nahuelbuta</t>
  </si>
  <si>
    <t>Primera concesión Mejoramiento Ruta Nahuelbuta</t>
  </si>
  <si>
    <t>El proyecto de la Ruta Nahuelbuta (Ruta 180), permite la conectividad directa entre las Comunas de Negrete, y Los Ángeles de la Región del Biobío, y las Comunas de Angol y Renaico de la Región de La Araucanía.
El proyecto contempla la ampliación a doble calzada de la vía existente, en una longitud aproximada de 55 kilómetros, que logrará mejorar considerablemente su estándar, a través de cruces con la vialidad transversal a distinto nivel, el mejoramiento de las condiciones de seguridad, iluminación y señalética.
El proyecto supone un impacto positivo para conectar una zona de alto flujo, actualmente sobrepasada en su capacidad y con un alto índice de accidentabilidad. La nueva ruta facilitará la conectividad de las zonas de influencia del proyecto, tanto de la Región del Bío-Bío como de La Araucanía, así como también el transporte forestal. Además, significará una disminución en los tiempos de viaje y del consumo de combustible.</t>
  </si>
  <si>
    <t>Biobío; La Araucanía</t>
  </si>
  <si>
    <t>https://concesiones.mop.gob.cl/project/concesion-mejoramiento-ruta-nahuelbuta/</t>
  </si>
  <si>
    <t>76882345-6</t>
  </si>
  <si>
    <t>SOCIEDAD CONCESIONARIA RUTA NAHUELBUTA S.A.</t>
  </si>
  <si>
    <t>https://www.cmfchile.cl/institucional/mercados/entidad.php?auth=&amp;send=&amp;mercado=O&amp;rut=76882345&amp;grupo=&amp;tipoentidad=RGEIN&amp;vig=VI&amp;row=AAAwy2ACTAAAAQiAAE&amp;control=svs&amp;pestania=1</t>
  </si>
  <si>
    <t xml:space="preserve">Sector A: 94,98%;  sector B:100% 
</t>
  </si>
  <si>
    <t>090_RLOA2</t>
  </si>
  <si>
    <t>Segunda concesión Vial Rutas del Loa</t>
  </si>
  <si>
    <t>El proyecto se ubica en la Región de Antofagasta y considera el mejoramiento a doble calzada de la actual Ruta 25 entre el inicio del Enlace Carmen Alto hasta el empalme con la Avenida Balmaceda, al norte de la actual rotonda de acceso sur y el desarrollo de la nueva circunvalación oriente a Calama en calzada simple en donde se construirá el Viaducto Yalquincha. En total se trata 136 km de vialidad mejorada que permitirá un mayor desarrollo y competitividad en el sector minero incentivando la actividad industrial y comercial.
El trazado respeta sectores sensibles correspondientes a antiguas instalaciones salitreras declaradas monumentos históricos.
La obra beneficiará a los habitantes de Sierra Gorda y Calama, pero también a quienes desarrollen actividades comerciales y productivas en la zona.</t>
  </si>
  <si>
    <t>https://concesiones.mop.gob.cl/project/segunda-concesion-rutas-del-loa/</t>
  </si>
  <si>
    <t>76876635-5</t>
  </si>
  <si>
    <t>RUTA DEL LOA SOCIEDAD CONCESIONARIA S.A.</t>
  </si>
  <si>
    <t>https://www.cmfchile.cl/institucional/mercados/entidad.php?auth=&amp;send=&amp;mercado=O&amp;rut=76876635&amp;grupo=&amp;tipoentidad=RGEIN&amp;vig=VI&amp;row=AAAwy2ACTAAAAQnAAN&amp;control=svs&amp;pestania=1</t>
  </si>
  <si>
    <t xml:space="preserve">Sector A: 100,0%
Sector B: 100,0% 
</t>
  </si>
  <si>
    <t>091_TELB1</t>
  </si>
  <si>
    <t>Primera concesión Teleférico Bicentenario</t>
  </si>
  <si>
    <t>Este proyecto considera la construcción de un Transporte Público, un teleférico, con una línea de 3,2 km que comienza sobre el Canal San Carlos, entre las Avenidas Nueva Tobalaba y Nueva Tajamar, ubicado aproximadamente a 250 metros de la estación de Metro Tobalaba, en la comuna de Providencia. Luego avanza hacia el Parque Metropolitano para conectar a continuación con Ciudad Empresarial, en la comuna de Huechuraba.
La infraestructura constará de cabinas para 10 personas, montadas sobre cables que tendrán una frecuencia cada 12 segundos y con una estimación de 3.000 pasajeros/hora por sentido.
El proyecto se sustenta en la necesidad de complementar el transporte de personas no contaminante en un sector complejo de vialidad y tránsito peatonal.</t>
  </si>
  <si>
    <t>https://concesiones.mop.gob.cl/project/concesion-teleferico-bicentenario/</t>
  </si>
  <si>
    <t>76896837-3</t>
  </si>
  <si>
    <t>SOCIEDAD CONCESIONARIA TELEFERICO BICENTENARIO S.A.</t>
  </si>
  <si>
    <t>https://www.cmfchile.cl/institucional/mercados/entidad.php?auth=&amp;send=&amp;mercado=O&amp;rut=76896837&amp;grupo=&amp;tipoentidad=RGEIN&amp;vig=VI&amp;row=AAAwy2ACTAAAAQkAAK&amp;control=svs&amp;pestania=1</t>
  </si>
  <si>
    <t>092_ELPA1</t>
  </si>
  <si>
    <t>Primera concesión Embalse Las Palmas</t>
  </si>
  <si>
    <t>El Embalse Las Palmas, ubicado en el estero Las Palmas, a unos 17 kilómetros al oeste de la localidad de Petorca, comuna de Petorca, Región de Valparaíso, será un embalse destinado a abastecer principalmente las necesidades de riego con un volumen total de 55 millones de m3 de capacidad, inundando una superficie total de aproximadamente 252 hectáreas.
Esta obra mejorará las condiciones de riego en el valle de Petorca, de aproximadamente 2.859 hectáreas, pertenecientes a las comunas de Petorca, Cabildo, La Ligua y Papudo.
Además, el embalse asegurará la disponibilidad de recursos hídricos para consumo humano a comunidades rurales, al suplir los déficits de agua en épocas de sequía.</t>
  </si>
  <si>
    <t>https://concesiones.mop.gob.cl/project/concesion-embalse-las-palmas/</t>
  </si>
  <si>
    <t>76882491-6</t>
  </si>
  <si>
    <t>SOCIEDAD CONCESIONARIA CHEC EMBALSE LAS PALMAS S.A.</t>
  </si>
  <si>
    <t>https://www.cmfchile.cl/institucional/mercados/entidad.php?auth=&amp;send=&amp;mercado=O&amp;rut=76882491&amp;grupo=&amp;tipoentidad=RGEIN&amp;vig=VI&amp;row=AAAwy2ACTAAACuDAAA&amp;control=svs&amp;pestania=1</t>
  </si>
  <si>
    <t>093_67CV1</t>
  </si>
  <si>
    <t>Conexión Vial Ruta 78 hasta Ruta 68</t>
  </si>
  <si>
    <t>Primera concesión Conexión Vial Ruta 78 hasta Ruta 68</t>
  </si>
  <si>
    <t>La obra considera el desarrollo de una nueva autopista de aproximadamente 9 km de extensión que se desarrolla en el sector poniente de Santiago, entre las comunas de Pudahuel y Maipú, próximo al río Mapocho, entre la Ruta 68 y la Ruta 78.
El trazado de esta vía expresa será de dos pistas por sentido, ampliable a tres y con enlaces a desnivel en las conexiones con la Ruta 68, Callejón Los Perros y la Ruta 78.
La obra tiene importancia al dotar a la región Metropolitana de un segundo anillo vial fuera de Américo Vespucio. Además se transforma en una alternativa para conectar el sector oriente de la capital con el surponiente de Santiago.</t>
  </si>
  <si>
    <t>https://concesiones.mop.gob.cl/project/concesion-conexion-vial-ruta-78-hasta-ruta-68/</t>
  </si>
  <si>
    <t>76877147-2</t>
  </si>
  <si>
    <t>SOCIEDAD CONCESIONARIA CONEXION VIAL RUTA 78 - 68 S.A.</t>
  </si>
  <si>
    <t>https://www.cmfchile.cl/institucional/mercados/entidad.php?auth=&amp;send=&amp;mercado=O&amp;rut=76877147&amp;grupo=&amp;tipoentidad=RGEIN&amp;vig=VI&amp;row=AAAwy2ACTAAAAQnAAE&amp;control=svs&amp;pestania=1</t>
  </si>
  <si>
    <t>094_66RF2</t>
  </si>
  <si>
    <t>Segunda concesión Ruta 66, Camino de La Fruta</t>
  </si>
  <si>
    <t>Con el objetivo de mejorar la conexión de uno de los principales corredores de transporte de productos agrofrutícolas, se contempla el mejoramiento de la Ruta 66, también conocida como Camino de La Fruta. La obra permitirán mejorar el acceso hacia los dos puertos más importantes puertos del país: Valparaíso y San Antonio, ambos ubicados en la Región de Valparaíso.
Se trata de una obra de 141 km de extensión que significará un beneficio para los habitantes de las comunas de Malloa, San Vicente de Tagua Tagua, Peumo, Las Cabras, San Pedro, Santo Domingo y San Antonio, por donde cruza el trazado, pero sobre todo contribuirá a generar un tránsito fluido para camiones que se desplazan al Puerto de San Antonio.Esta ruta comienza en el cruce con la Ruta 5 Sur, en el sector de Pelequén, región de O´Higgins, atraviesa la parte sur de la región Metropolitana y finaliza en el camino de Acceso al Puerto de San Antonio en la región de Valparaíso. El proyecto cuenta con cuatro variantes emplazadas en los sectores de San Juan, en Peumo-El Manzano, San Vicente y Pelequén-Limahue.
El trazado considera intersecciones desniveladas, mejoramiento de estructuras y pavimentos existentes, terceras pistas en tramos específicos, obras de saneamiento, señalización y seguridad vial, iluminación, pasarelas, paraderos, ciclovías, plazas de peaje troncales, entre otras. Uno de los principales objetivos del proyecto es mejorar la infraestructura vial, lo que permitirá un mayor desarrollo y competitividad agrofrutícola de la zona. De esta manera, se podrá incentivar la actividad industrial y comercial entre las Regiones V, VI y Metropolitana. Además mejorará la conexión de uno de los principales corredores de transporte de productos hacia el Puerto de San Antonio, disminuyendo los índices de accidentabilidad que se producen en la ruta actualmente.</t>
  </si>
  <si>
    <t>https://concesiones.mop.gob.cl/project/segunda-concesion-ruta-66-camino-de-la-fruta/</t>
  </si>
  <si>
    <t>77102137-9</t>
  </si>
  <si>
    <t>SOCIEDAD CONCESIONARIA RUTA DE LA FRUTA S.A.</t>
  </si>
  <si>
    <t>https://www.cmfchile.cl/institucional/mercados/entidad.php?auth=&amp;send=&amp;mercado=O&amp;rut=77102137&amp;grupo=&amp;tipoentidad=RGEIN&amp;vig=VI&amp;row=AAAwy2ACTAAACuDAAC&amp;control=svs&amp;pestania=1</t>
  </si>
  <si>
    <t>subsector B3 100,0%;
subsector B4 100,0%; subsector B5 45,14%</t>
  </si>
  <si>
    <t>095_ATEP4</t>
  </si>
  <si>
    <t>Aeropuerto El Tepual de Puerto Montt</t>
  </si>
  <si>
    <t>Cuarta concesión Aeropuerto El Tepual de Puerto Montt</t>
  </si>
  <si>
    <t>La nueva concesión considera remodelar y ampliar el área Terminal de Pasajeros del Aeropuerto El Tepual de Puerto Montt, con todas las obras civiles e instalaciones necesarias para dar a las líneas aéreas, pasajeros y demás usuarios del aeropuerto, las condiciones de servicio, confort y seguridad, acordes a las de un aeropuerto regional con carácter internacional.
Se aumentará la capacidad para llegar a recibir 3 millones de pasajeros, pasando de cinco a seis puentes de embarque.
Considera también facilitar el transporte de carga y pasajeros, integrando en mayor grado a la región y sus habitantes con el resto del país.</t>
  </si>
  <si>
    <t>https://concesiones.mop.gob.cl/project/cuarta-concesion-aeropuerto-el-tepual-de-puerto-montt/</t>
  </si>
  <si>
    <t>76866184-7</t>
  </si>
  <si>
    <t>SOCIEDAD CONCESIONARIA AEROPUERTO DEL SUR S.A.</t>
  </si>
  <si>
    <t>https://www.cmfchile.cl/institucional/mercados/entidad.php?auth=&amp;send=&amp;mercado=O&amp;rut=76866184&amp;grupo=&amp;tipoentidad=RGEIN&amp;vig=VI&amp;row=AAAwy2ACTAAAAQiAAU&amp;control=svs&amp;pestania=1</t>
  </si>
  <si>
    <t>097_21RG1</t>
  </si>
  <si>
    <t>Primera concesión Vial Mejoramiento Ruta G-21</t>
  </si>
  <si>
    <t>Este contrato de concesión estuvo vigente entre el 2 de abril de 2019 y el 7 de novimebre de 2022, fecha esta última de publicación del decreto que declaró su extinción anticipada. El proyecto planteaba  mejorar y ensanchar  la plataforma y rectificaciones de trazado y curvas, así como el mejoramiento del sistema de seguridad vial de la Ruta G-21, en el tramo comprendido entre la intersección con Av. Las Condes y la intersección con la Ruta G-251, que se dirige hacia Valle Nevado en la comunidad de Farellones.
Adicionalmente, mejoraría el trazado y rehabilitaría pavimentos existente en aproximadamente 1 km de la Ruta G-245 en dirección hacia la Minera Los Bronces.</t>
  </si>
  <si>
    <t>https://concesiones.mop.gob.cl/project/concesion-mejoramiento-ruta-g-21/</t>
  </si>
  <si>
    <t>Nivel de tarifa; Ingresos totales de la concesión.</t>
  </si>
  <si>
    <t>77015092-2</t>
  </si>
  <si>
    <t>SOCIEDAD CONCESIONARIA RUTA G-21 S.A.</t>
  </si>
  <si>
    <t>https://www.cmfchile.cl/institucional/mercados/entidad.php?auth=&amp;send=&amp;mercado=O&amp;rut=77015092&amp;grupo=&amp;tipoentidad=RGEIN&amp;vig=VI&amp;row=AAAwy2ACTAAACuAAAT&amp;control=svs&amp;pestania=1</t>
  </si>
  <si>
    <t>098_LVLS2</t>
  </si>
  <si>
    <t>Segunda concesión Ruta 5 Tramo Los Vilos – La Serena</t>
  </si>
  <si>
    <t>La Segunda Concesión de la Ruta 5 entre Los Vilos-La Serena tiene una extensión de 244,5 km, que incorpora el desarrollo de un nuevo tramo urbano de 16 km, entre La Serena y Coquimbo. Este contrato actualmente está en etapa de construcción de manera simultánea a la primera concesión de la ruta, que se encuentra operando el tramo interurbano (entre Los Vilos y Coquimbo) y que finaliza el 15 de diciembre de 2022.
La Conurbación o tramo urbano considera una autopista con calzadas expresas de tres pistas por sentido (considera 4 sectores en trinchera) y calles de servicios de dos pistas por sentido en ambos costados. La obra incluye también pasarelas peatonales para la conexión transversal, aceras, mobiliario urbano, sistema de iluminación cumpliendo la normativa vigente de contaminación lumínica, paisajismo, señalización, demarcación y seguridad vial, saneamiento y drenaje, entre otros. Este tramo no contempla el cobro de peajes.
El tramo interurbano, que corresponde a la actual Ruta 5, aumentará sus estándares de servicio a través de la rehabilitación y mejoramiento de la calzada preexistente y la rectificación del trazado, lo que permitirá transitar a 100 km y 120 km en la mayor parte de la autopista. Asimismo se implementará un sistema mixto de pago de peajes, que considera de pórticos de telepeaje (free flow) y cabinas manuales, el desarrollo de cuatro nuevos puentes (Huentelauquen Oriente, Limarí Poniente, Quebrada Seca y Almendro oriente), seis nuevas pasarelas y un enlace.</t>
  </si>
  <si>
    <t>https://concesiones.mop.gob.cl/project/segunda-concesion-ruta-5-tramo-los-vilos-la-serena-conurbacion/</t>
  </si>
  <si>
    <t>77102042-9</t>
  </si>
  <si>
    <t>SOCIEDAD CONCESIONARIA RUTA DEL ELQUI S.A.</t>
  </si>
  <si>
    <t>https://www.cmfchile.cl/institucional/mercados/entidad.php?auth=&amp;send=&amp;mercado=O&amp;rut=77102042&amp;grupo=&amp;tipoentidad=RGEIN&amp;vig=VI&amp;row=AAAwy2ACTAAACuBAAG&amp;control=svs&amp;pestania=1</t>
  </si>
  <si>
    <t>Tramo Interurbamo : 43,21%</t>
  </si>
  <si>
    <t>099_ACHA2</t>
  </si>
  <si>
    <t>Segunda concesión Aeropuerto Chacalluta de Arica</t>
  </si>
  <si>
    <t>El proyecto considera la ampliación, reparación, conservación y reposición de la infraestructura, equipamiento e instalaciones existentes del Aeropuerto Chacalluta de Arica.
Entre las obras a desarrollar destaca la ampliación y mejoramiento del edificio terminal de pasajeros que alcanzará una superficie de 11.600 m2 (aproximadamente). Junto a ello se construirá instalaciones aeronáuticas (DGAC), torre de control, edificio administrativo, edificio logístico, edificio SSEI, subestación eléctrica, Edificio Casino, Puntos de Control de Acceso, Instalación Combustible terrestre, Estación Transmisores y receptores, entre otras obras de instalaciones.
La obra incluye también el mejoramiento de los accesos viales y el incremento de estacionamientos vehiculares.
Con estos trabajos se fortalecerá el recinto para el transporte de carga y pasajeros integrando en mayor grado a la región y con el resto del país.</t>
  </si>
  <si>
    <t>https://concesiones.mop.gob.cl/project/segunda-concesion-aeropuerto-chacalluta-de-arica/</t>
  </si>
  <si>
    <t>77011942-1</t>
  </si>
  <si>
    <t>SOCIEDAD CONCESIONARIA AEROPUERTO DE ARICA S.A.</t>
  </si>
  <si>
    <t>https://www.cmfchile.cl/institucional/mercados/entidad.php?auth=&amp;send=&amp;mercado=O&amp;rut=77011942&amp;grupo=&amp;tipoentidad=RGEIN&amp;vig=VI&amp;row=AAAwy2ACTAAACuBAAN&amp;control=svs&amp;pestania=1</t>
  </si>
  <si>
    <t>100_RAUS1</t>
  </si>
  <si>
    <t>Primera concesión Red Aeroportuaria Austral (3° concesión A. P. Carlos Ibañez del Campo y 1° concesión A. de Balmaceda)</t>
  </si>
  <si>
    <t>El proyecto consiste en la ampliación, reparación, conservación y reposición de la infraestructura, equipamiento e instalaciones existentes del Aeropuerto Presidente Carlos Ibáñez del Campo y del Aeródromo de Balmaceda, con todas las obras civiles e instalaciones necesarias para dar a las líneas aéreas, pasajeros y demás usuarios del Aeropuerto, las condiciones de servicio, confort y seguridad, acordes a las delos aeropuertos regionales con carácter internacional.
El Aeropuerto Presidente Carlos Ibáñez del Campo está ubicado a 19 km al noroeste de la ciudad de Punta Arenas, en la Región de Magallanes y corresponde a su tercera concesión. Por su parte, el Aeródromo Balmaceda se encuentra ubicado a 55 km. al sureste de la capital regional Coyhaique, en la Región de Aysén y corresponde a su primera concesión.
En el caso del Aeropuerto de Punta Arenas considera ampliar desde 6.471 m2 a 16.014 m2. Lo anterior representa un 138% de aumento de capacidad, lo que permitirá atender a 2,1 millones de pasajeros por año.
El mejoramiento del aeropuerto también contempla nuevos estacionamientos para vehículos, que aumentarán de 441 a 578 plazas. En tanto, el estacionamiento para aeronaves duplicará su capacidad de cinco a diez posiciones, y el espacio para aviación general crecerá de dos a ocho estacionamientos.
Por su parte, la primera concesión del Aeródromo de Balmaceda incluye la ampliación del terminal desde 2.400 m2 a 12.391 m2 y de los estacionamientos de vehículos, a los que suman 99 nuevas plazas (en la actualidad cuenta con 173). También se duplica el número de estacionamiento para aeronaves comerciales, pasando de tres a seis, y se dispondrá de trece nuevos estacionamientos para aviación general.</t>
  </si>
  <si>
    <t>Aysén del General Carlos Ibáñez del Campo; Magallanes y de la Antártica Chilena</t>
  </si>
  <si>
    <t>https://concesiones.mop.gob.cl/project/concesion-red-aeroportuaria-austral/</t>
  </si>
  <si>
    <t>77342125-0</t>
  </si>
  <si>
    <t>RED AEROPORTUARIA AUSTRAL SOCIEDAD CONCESIONARIA SOCIEDAD ANONIMA</t>
  </si>
  <si>
    <t>https://www.cmfchile.cl/institucional/mercados/entidad.php?auth=&amp;send=&amp;mercado=O&amp;rut=77342125&amp;grupo=&amp;tipoentidad=RGEIN&amp;vig=VI&amp;row=AAAwy2ACTAAAGDzAAl&amp;control=svs&amp;pestania=1</t>
  </si>
  <si>
    <t>Balmaceda: 68,72%; C.Ibáñez del Campo:0,0%</t>
  </si>
  <si>
    <t>101_TACH2</t>
  </si>
  <si>
    <t>Segunda concesión Ruta 5 Tramo Talca Chillán</t>
  </si>
  <si>
    <t>El proyecto consiste en el mejoramiento de la Ruta 5 entre las ciudades de Talca y Chillán que comienza aproximadamente entre el km 219,49 (sector norte de Río Claro) y el km 412,80 (sector sur de Chillán Viejo), con una extensión actual aproximada de 193,310 km y una longitud proyectada aproximada de 195 km para un trazado que comprende las Regiones de Maule y Ñuble.
La obra incluye el desarrollo de estructuras como puentes, viaducto, pasos de ferrocarriles, enlaces, retornos, atraviesos y pasarelas. Además considera la incorporación de un baipás con una extensión aproximada de 54 km para una velocidad de diseño de 120 km/h (bidireccional con dos pistas por sentido).
Junto a ello está previsto la ampliación a terceras pistas en el sector entre las inmediaciones de San Carlos y Chillán Viejo, rehabilitación de calzadas existentes, rectificaciones de curvas y pendientes para velocidad de 120 km/hr con excepciones puntuales, habilitación de nuevos puentes, enlaces, pasarelas, atraviesos, retornos y tramos de calles de servicio y la implementación progresiva de un Sistema de Cobro mediante Pórticos de telepeaje en todo su trazado.</t>
  </si>
  <si>
    <t>https://concesiones.mop.gob.cl/project/segunda-concesion-ruta-5-tramo-talca-chillan/</t>
  </si>
  <si>
    <t>77337752-9</t>
  </si>
  <si>
    <t>SOCIEDAD CONCESIONARIA RUTA 5 TALCA-CHILLAN S.A.</t>
  </si>
  <si>
    <t>https://www.cmfchile.cl/institucional/mercados/entidad.php?auth=&amp;send=&amp;mercado=O&amp;rut=77337752&amp;grupo=&amp;tipoentidad=RGEIN&amp;vig=VI&amp;row=AAAwy2ACTAAACuCAAi&amp;control=svs&amp;pestania=1</t>
  </si>
  <si>
    <t>sin inicio</t>
  </si>
  <si>
    <t>102_ALFS3</t>
  </si>
  <si>
    <t>Tercera concesión Tercera Concesión Aeropuerto La Florida de la Serena</t>
  </si>
  <si>
    <t>La obra incluye la ampliación, mantención y reposición de la infraestructura, equipamiento e instalaciones existentes en el área de concesión dentro del aeropuerto.
Considera aumentar la capacidad del Edificio Terminal de Pasajeros que en la segunda concesión tiene un volumen de 4.360 m² para llegar a 13.550 m² aproximadamente.
La Tercera concesión considera también desarrollar dos nuevos puentes de embarque (en la actualidad no existen), tres cintas de retiro de equipaje, cuatro máquinas de Revisión (AVSEC) y 16 counters para las aerolíneas. A lo anterior se suman 175 nuevos estacionamientos públicos (pasando de 231 a 406); estacionamientos para taxis, buses, minibuses, custodia, rent a car, servicios públicos, sociedad concesionaria, carga y DGAC; nuevas vías de acceso al aeropuerto, incluyendo cruce semaforizado, paraderos de buses y sus refugios; reemplazo de la señalética existente y desarrollo de zonas de paisajismo y áreas verdes.
Entre los beneficios previstos para esta obra se encuentra fortalecer la integración económica de la región y ampliar la oferta área con un mejor estándar.</t>
  </si>
  <si>
    <t>https://concesiones.mop.gob.cl/project/tercera-concesion-aeropuerto-la-florida-de-la-serena/</t>
  </si>
  <si>
    <t xml:space="preserve">77442927 - 1 </t>
  </si>
  <si>
    <t>AEROPUERTO LA FLORIDA SOCIEDAD CONCESIONARIA S.A.</t>
  </si>
  <si>
    <t>https://www.cmfchile.cl/institucional/mercados/entidad.php?auth=&amp;send=&amp;mercado=O&amp;rut=77442927&amp;grupo=&amp;tipoentidad=RGEIN&amp;vig=VI&amp;row=AAAwy2ACTAAACuHAAn&amp;control=svs&amp;pestania=1</t>
  </si>
  <si>
    <t>103_HRMA1</t>
  </si>
  <si>
    <t>Primera concesión Red Maule:  Hospital Cauquenes, Hospital de Constitución y Hospital de Parral</t>
  </si>
  <si>
    <t>Corresponde a la construcción y posterior operación de tres recintos médicos de mediana complejidad que estarán ubicados en las comunas de Cauquenes, Constitución y Parral y los que totalizan una superficie estimada de 157 mil m2.
La concesión aportará al sistema de salud 368 camas, de las cuales 136 camas corresponden al Hospital de Cauquenes, 11 camas al Hospital de Constitución y 121 camas al Hospital de Parral. Con ello se espera beneficiar a una población estimada de 59 mil personas.
Considera también la mantención de la infraestructura a desarrollar y la adquisición, mantención y reposición de equipamiento médico y mobiliario clínico, y mobiliario no clínico. El proyecto no considera servicios como alimentación, ambulancia y aseo, entre otros.</t>
  </si>
  <si>
    <t>Maule</t>
  </si>
  <si>
    <t>https://concesiones.mop.gob.cl/project/concesion-red-maule/</t>
  </si>
  <si>
    <t xml:space="preserve">  77363431-9</t>
  </si>
  <si>
    <t xml:space="preserve"> SOCIEDAD CONCESIONARIA RED MAULE S.A. </t>
  </si>
  <si>
    <t>https://www.cmfchile.cl/institucional/mercados/entidad.php?auth=&amp;send=&amp;mercado=O&amp;rut=77363431&amp;grupo=&amp;tipoentidad=RGEIN&amp;vig=VI&amp;row=AAAwy2ACTAAACuEAAO&amp;control=svs&amp;pestania=1</t>
  </si>
  <si>
    <t>Hospital de Cauquenes.92,18%
Hospital de Constitución 83,85%
Hospital de Parral: 90,84%</t>
  </si>
  <si>
    <t>104_HBUP1</t>
  </si>
  <si>
    <t>Primera concesión Hospital de Buin Paine</t>
  </si>
  <si>
    <t>Corresponde a la construcción y posterior operación de un recinto médico de mediana y alta complejidad para las ciudades de Buin-Paine.
El proyecto contempla la reposición del Hospital San Luis de Buin en la Región Metropolitana, a través de la construcción de un nuevo recinto de 56.000 m2 de superficie, que se situará en la comuna de Buin. La concesión considera diseño, construcción y mantenimiento de las nuevas dependencias de estos edificios, además de la provisión, reposición, montaje y mantenimiento del equipamiento médico y mobiliario.
El nuevo hospital beneficiará a una población estimada de 170 mil personas, aportando 200 camas, 6 pabellones, 34 box de consultas, 17 box de procedimientos, 3 salas de parto integral, 16 unidades de Servicio de Urgencia, 18 sillones de diálisis y 7 box de atención dental. A lo anterior se suman 12 camas de paciente crítico, 117 camas médico-quirúrgicas, 36 camas ginecobstétricas, 16 camas pediátricas, 4 neonatológicas y 15 de psiquiatría adulto.
El proyecto no considera servicios como alimentación, ambulancia y aseo, entre otros.</t>
  </si>
  <si>
    <t>https://concesiones.mop.gob.cl/project/hospital-de-buin-paine/</t>
  </si>
  <si>
    <t>77379404-9</t>
  </si>
  <si>
    <t>SOCIEDAD CONCESIONARIA HOSPITAL BUIN PAINE S.A</t>
  </si>
  <si>
    <t>https://www.cmfchile.cl/institucional/mercados/entidad.php?auth=&amp;send=&amp;mercado=O&amp;rut=77379404&amp;grupo=&amp;tipoentidad=RGEIN&amp;vig=VI&amp;row=AAAwy2ACTAAAGDyAA2&amp;control=svs&amp;pestania=1</t>
  </si>
  <si>
    <t>105_HRBB1</t>
  </si>
  <si>
    <t>Primera concesión Red Biobío: Hospital Santa Bárbara, Hospital de Nacimiento, Hospital de Coronel y Hospital de Lota</t>
  </si>
  <si>
    <t>La concesión considera la mantención de la infraestructura a desarrollar y la adquisición, mantención y reposición de equipamiento médico y mobiliario clínico, y mobiliario no clínico, excluyendo los servicios de alimentación, ambulancia y aseo, entre otros.
El Hospital de Santa Bárbara será un recinto de baja complejidad, que beneficiará a 22 mil habitantes, de las comunas de Santa Bárbara, Quilaco y Alto Biobío. Con una superficie de 12.000 m2, el establecimiento contará con 37 camas, 21 boxes de consultas médicas, dentales y no médicas, un pabellón de cirugía menor y una sala de atención parto. De esta manera, se entregarán servicios de hospitalización, atención ambulatoria, apoyo diagnóstico y terapéutico (imagenología, laboratorio, medicina física y rehabilitación y hemodiálisis), un Centro Comunitario de Salud Mental (COSAM), un Hogar para la Madre Pewenche y espacios de apoyo administrativos y logísticos.
El Hospital de Nacimiento será un centro de baja complejidad, que beneficiará a cerca de 36 mil habitantes, de las comunas de Nacimiento y Negrete. Con una superficie estimada de 13 mil m2, el establecimiento tendrá 47 camas, 29 boxes de consultas médicas, dentales y no médicas, un pabellón cirugía menor y una sala de atención de parto inminente. El recinto también contará con unidades de endoscopía y, de apoyo diagnóstico y terapéutico (imagenología, laboratorio, medicina física y rehabilitación), además de un Hospital de Día de Psiquiatría y espacios de apoyo administrativo y logístico.
El Hospital de Coronel será un recinto de mediana-alta complejidad, que beneficiará a cerca de 308 mil habitantes de Coronel, San Pedro de la Paz, Santa Juana y otras comunas aledañas. Con una superficie estimada de 79 mil m2 el establecimiento contará con 353 camas, distribuidas en 60 camas de cuidados básicos, 257 camas de cuidados medios y 36 camas de paciente crítico; 53 boxes de consultas médicas, dentales y no médicas, 21 salas de procedimientos, 9 quirófanos y 3 salas de atención integral del parto. Asimismo se brindará servicios de consultas médicas; atención de salud mental; hemodiálisis y unidad de emergencia, además de unidades de apoyo diagnóstico y terapéutico de imagenología, laboratorio, medicina física, rehabilitación, anatomía patológica y farmacia.
El Hospital de Lota será de mediana complejidad y atenderá, una población de cerca de 48 mil personas pertenecientes a dicha comuna. Con una superficie estimada de 40 mil m2, el establecimiento dispondrá de 132 camas, distribuidas en 41 cama de cuidados básicos y 91 camas de cuidados medios, 19 boxes de consultas médicas, dentales y no médicas, 20 salas de procedimientos, 5 quirófanos y 2 salas de atención integral del parto. Además se contempla contar con consultas médicas y odontología, atención de salud mental, hemodiálisis y unidades de emergencia y de apoyo diagnóstico y terapéutico de imagenología, laboratorio, medicina física y rehabilitación, anatomía patológica y farmacia.</t>
  </si>
  <si>
    <t>https://concesiones.mop.gob.cl/project/concesion-red-biobio/</t>
  </si>
  <si>
    <t xml:space="preserve">  77521154-7</t>
  </si>
  <si>
    <t xml:space="preserve">  SOCIEDAD CONCESIONARIA HOSPITALES RED BIOBÍO S.A. </t>
  </si>
  <si>
    <t>https://www.cmfchile.cl/institucional/mercados/entidad.php?auth=&amp;send=&amp;mercado=O&amp;rut=77521154&amp;grupo=&amp;tipoentidad=RGEIN&amp;vig=VI&amp;row=AAAwy2ACTAAACuCAAo&amp;control=svs&amp;pestania=1</t>
  </si>
  <si>
    <t>Santa Barbará: 14,3%; Nacimiento: 14,1%; Coronel:4,6%; Lota: 3,1%</t>
  </si>
  <si>
    <t>106_HRRL1</t>
  </si>
  <si>
    <t>Primera concesión de hospitales Red Los Ríos-Los Lagos</t>
  </si>
  <si>
    <t>Corresponde a la construcción de tres hospitales en la Región de Los Ríos ubicados en las comunas de Los Lagos, La Unión y Río Bueno, siendo el primero de baja complejidad y los otros dos de mediana, y además se incluye la construcción de un hospital de mediana-alta complejidad en la ciudad de Puerto Varas, Región de los Lagos.
El proyecto considera el diseño, construcción y mantenimiento de las nuevas dependencias de estos edificios además de la provisión, reposición, montaje y mantenimiento del equipamiento médico y mobiliario. Los cuatro hospitales en su conjunto aportan 495 camas con una población beneficiaria a 290 mil personas.
El proyecto no considera servicios como alimentación, ambulancia y aseo, entre otros.</t>
  </si>
  <si>
    <t>https://concesiones.mop.gob.cl/project/concesion-red-los-rios-los-lagos/</t>
  </si>
  <si>
    <t>77579938-2</t>
  </si>
  <si>
    <t>SOCIEDAD CONCESIONARIA REGIÓN SUR S.A.</t>
  </si>
  <si>
    <t>https://www.cmfchile.cl/institucional/mercados/entidad.php?auth=&amp;send=&amp;mercado=O&amp;rut=77579938&amp;grupo=&amp;tipoentidad=RGEIN&amp;vig=VI&amp;row=AAAwy2ACTAAAGD3AAG&amp;control=svs&amp;pestania=1</t>
  </si>
  <si>
    <t>Hospital Los Lagos 35,79%;
Hospital La Unión 0%;
Hospital Río Bueno: 31,36%; 
Hospital de Puerto Varas: 25,56%</t>
  </si>
  <si>
    <t>107_SASA2</t>
  </si>
  <si>
    <t>Segunda concesión Autopista Santiago – San Antonio, Ruta 78</t>
  </si>
  <si>
    <t>La obra corresponde al mejoramiento de la ruta actual que conecta Santiago con San Antonio, que recorre las comunas de comunas de Santiago, Pedro Aguirre Cerda, Estación Central, Cerrillos y Maipú en la provincia de Santiago; de El Monte, Padre Hurtado, Peñaflor y Talagante, en la provincia de Talagante; de Melipilla, en la provincia de Melipilla; y de San Antonio, Santo Domingo y Cartagena, en la provincia de San Antonio.
La ruta, que tiene una extensión de 132,8 km, constituye un eje fundamental para el transporte de carga entre Santiago y el Puerto de San Antonio, como también para la conexión de áreas urbanas desarrolladas en las cercanías de su trazado.
Entre las nuevas obras destaca el mejoramiento del tramo comprendido entre Ruta 5, Autopista Central, y Bascuñán Guerrero, y las terceras pistas en los tramos de Talagante a Melipilla, y del Enlace Reuss a la trinchera cubierta (subterránea) en el Puerto de San Antonio. También se incluye —dentro del aumento de capacidad en San Antonio—, la construcción de una segunda trinchera cubierta, así como la ampliación de las rotondas Curicó y Pablo Neruda y la construcción de nuevos ramales a los puertos, mejorando así también el servicio y la seguridad ofrecida a los usuarios, y reduciendo los tiempos estimados de viaje.
El proyecto considera también el reemplazo del Puente Manuel Rodriguez, nuevos enlaces; atraviesos; retornos; nuevas calles de servicio y el mejoramiento de las existentes, entre otras obras.
Se prevé que esta obra beneficiará a una población cercana a 1.760.000 de personas al año.</t>
  </si>
  <si>
    <t>https://concesiones.mop.gob.cl/project/segunda-concesion-autopista-santiago-san-antonio-ruta-78/</t>
  </si>
  <si>
    <t>77546207-8</t>
  </si>
  <si>
    <t>SOCIEDAD CONCESIONARIA AUTOPISTA SAN ANTONIO-SANTIAGO S.A.</t>
  </si>
  <si>
    <t>https://www.cmfchile.cl/institucional/mercados/entidad.php?auth=&amp;send=&amp;mercado=O&amp;rut=77546207&amp;grupo=&amp;tipoentidad=RGEIN&amp;vig=VI&amp;row=AAAwy2ACTAAACuFAAl&amp;control=svs&amp;pestania=1</t>
  </si>
  <si>
    <t>108_HRQS1</t>
  </si>
  <si>
    <t>Primera concesión  de Hospital de La Serena</t>
  </si>
  <si>
    <t>Corresponde a la construcción y operación de un recinto médico de alta complejidad en la ciudad de La Serena con capacidad para 668 camas, distribuidas en 146 para pacientes críticos, 332 camas médico quirúrgicas, 90 ginecobstétricas, 48 pediátricas, 18 neonatológicas y 34 para psiquiatría de adulto.
A ello se sumarán 15 pabellones, 85 boxes de consultas médicas, dentales y no médicas, 6 salas de atención integral del parto y un servicio de urgencia.
La obra beneficiará a cerca de 723 mil personas que residen en las comunas de La Serena, La Higuera, Vicuña y Paihuano.
Considera también la mantención de la infraestructura a desarrollar y la adquisición, mantención y reposición de equipamiento médico y mobiliario clínico, y mobiliario no clínico.
El proyecto no considera servicios como alimentación, ambulancia y aseo, entre otros.</t>
  </si>
  <si>
    <t>https://concesiones.mop.gob.cl/project/concesion-hospital-de-la-serena/</t>
  </si>
  <si>
    <t>77558338-K</t>
  </si>
  <si>
    <t>SOCIEDAD CONCESIONARIA HOSPITALES LA SERENA S.A.</t>
  </si>
  <si>
    <t>https://www.cmfchile.cl/institucional/mercados/entidad.php?mercado=O&amp;rut=77558338&amp;grupo=&amp;tipoentidad=RGEIN&amp;row=AAAwy2ACTAAACuCAA0&amp;vig=VI&amp;control=svs&amp;pestania=2</t>
  </si>
  <si>
    <t>109_AVAM3</t>
  </si>
  <si>
    <t>Tercera Concesión Acceso Vial Aeropuerto Arturo Merino Benítez</t>
  </si>
  <si>
    <t xml:space="preserve">El incremento en los flujos de pasajeros y carga aérea han generado una demanda derivada por el acceso al terminal, la que esta tercera licitación busca satisfacer incrementando sus puntos de acceso.
El proyecto considera la conservación, operación y explotación de todas las obras preexistentes, desde la extinción de la actual concesión de Acceso Vial Aeropuerto Arturo Merino. Ello representa una longitud de 5,6 km.
A ello incorpora la construcción, conservación, operación y explotación de las nuevas obras correspondientes, dos tramos de nuevas rutas y mejora un camino actualmente existente. Con ello agrega 4,4 km en los sectores denominados B2, B3 y B4, y la extensión total de la concesión alcanzaría a 10 Km.
Los ingresos de la concesión provienen del cobro de tarifa a los usuarios. El proyecto no considera ingresos mínimos garantizados ni subsidios a la construcción o a la explotación.
</t>
  </si>
  <si>
    <t>Metropolitana</t>
  </si>
  <si>
    <t>https://concesiones.mop.gob.cl/project/tercera-concesion-acceso-vial-amb/</t>
  </si>
  <si>
    <t>76706496-9</t>
  </si>
  <si>
    <t>SOCIEDAD CONCESIONARIA ACCESO VIAL AEROPUERTO ARTURO MERINO BENITEZ S.A.</t>
  </si>
  <si>
    <t>https://www.cmfchile.cl/institucional/mercados/entidad.php?auth=&amp;send=&amp;mercado=O&amp;rut=76706496&amp;grupo=&amp;tipoentidad=RGEIN&amp;vig=VI&amp;row=AAAwy2ACTAAAGD1AAW&amp;control=svs&amp;pestania=1</t>
  </si>
  <si>
    <t>110_HRQQ1</t>
  </si>
  <si>
    <t>Primera concesión Hospital Coquimbo</t>
  </si>
  <si>
    <t>Corresponde a la construcción de un recinto médico en la ciudad de Coquimbo con capacidad para 605 camas.Este recinto hospitalario será un referente regional en las especialidades de traumatología, neurocirugía, cuidados críticos pediátricos y procuramiento de órganos.
Considera también la mantención de la infraestructura a desarrollar y la adquisición, mantención y reposición de equipamiento médico y mobiliario clínico, y mobiliario no clínico.
El proyecto no considera servicios como alimentación, ambulancia y aseo, entre otros.</t>
  </si>
  <si>
    <t>https://concesiones.mop.gob.cl/project/concesion-hospital-de-coquimbo/</t>
  </si>
  <si>
    <t>77645861 - 9</t>
  </si>
  <si>
    <t>SOCIEDAD CONCESIONARIA HOSPITAL COQUIMBO S.A.</t>
  </si>
  <si>
    <t>https://www.cmfchile.cl/institucional/mercados/entidad.php?auth=&amp;send=&amp;mercado=O&amp;rut=77645861&amp;grupo=&amp;tipoentidad=RGEIN&amp;vig=VI&amp;row=AAAwy2ACTAAACuGAAx&amp;control=svs&amp;pestania=1</t>
  </si>
  <si>
    <t>112_ALOA3</t>
  </si>
  <si>
    <t>Tercera concesión aeropuerto El Loa de Calama</t>
  </si>
  <si>
    <t xml:space="preserve">El Aeropuerto se ubica en la Región de Antofagasta, provincia de El Loa, zona de desarrollo minero. Actualmente atiende sobre los 100 mil pasajeros mensuales.  El diseño del nuevo recinto considera una capacidad de 8 millones de pasajeros anuales. Para ello, junto con ampliar el metraje disponible, incrementa los equipos de chequeo automático de 5 a 10, y los mesones tradicionales de chequeo de 16 a 28. Para favorecer la accesibilidad de un mayor volumen de personas al recinto, el diseño contempla expandir de 512 a 995 los estacionamientos para automóviles. 
Junto con ello amplia de 6 a 11 los estacionamientos de aeronaves. También considera reubicar y ampliar la planta de tratamiento de aguas servidas, nuevas instalaciones eléctricas, reemplazo total de la señalética preexistente e incorporación de señalética en las nuevas áreas, paisajismo, riego y cerco de seguridad del aeropuerto, entre otras.  La concesión incluye el mantenimiento de todas las obras preexistentes y nuevas que debe ejecutar el concesionario dentro del Área de Concesión
</t>
  </si>
  <si>
    <t>https://concesiones.mop.gob.cl/project/tercera-concesion-aeropuerto-el-loa-de-calama/</t>
  </si>
  <si>
    <t>76703718-K</t>
  </si>
  <si>
    <t>SOCIEDAD CONCESIONARIA AEROPUERTO EL LOA S.A.</t>
  </si>
  <si>
    <t>https://www.cmfchile.cl/institucional/mercados/entidad.php?auth=&amp;send=&amp;mercado=O&amp;rut=76703718&amp;grupo=&amp;tipoentidad=RGEIN&amp;vig=VI&amp;row=AAAwy2ACTAAAGD0AAc&amp;control=svs&amp;pestania=1</t>
  </si>
  <si>
    <t>Sin inicio de fase de construcción</t>
  </si>
  <si>
    <t>113_INAC1</t>
  </si>
  <si>
    <t>Primera concesión Instituto Nacional del Cáncer</t>
  </si>
  <si>
    <t xml:space="preserve">El proyecto considera la construcción y la provisión de servicios conocidos como hard facilities management: mantención de la infraestructura, así como adquisición, mantención y reposición de equipamiento médico y mobiliario clínico y no clínico. El proyecto se localiza en la comuna de Independencia, en el ex hospital San José. Atenderá la demanda directa de la Región Metropolitana y será centro de referencia a nivel nacional. 
</t>
  </si>
  <si>
    <t>https://concesiones.mop.gob.cl/project/concesion-instituto-nacional-del-cancer/</t>
  </si>
  <si>
    <t>77751547-0</t>
  </si>
  <si>
    <t>SOCIEDAD CONCESIONARIA INSTITUTO NACIONAL DEL CANCER, S.A.</t>
  </si>
  <si>
    <t>https://www.cmfchile.cl/institucional/mercados/entidad.php?auth=&amp;send=&amp;mercado=O&amp;rut=77751547&amp;grupo=&amp;tipoentidad=RGEIN&amp;vig=VI&amp;row=AAAwy2ACTAAAGDxAAY&amp;control=svs&amp;pestania=1</t>
  </si>
  <si>
    <t>114_HROG1</t>
  </si>
  <si>
    <t>Primera concesión de Red O´Higgins: Hospital de Rengo y Hospital de Pichilemu</t>
  </si>
  <si>
    <t xml:space="preserve">El proyecto contempla el Hospital de Rengo, de mediana y alta complejidad; y, el Hospital de Pichilemu, de baja complejidad.
El hospital de Rengo dará servicios a los 206 mil habitantes de Rengo, Malloa, Quinta de Tilcoco, San Vicente de Tagua, Peumo, Pichidegua, y Las Cabras. Contará con 235 camas, 47 boxes de consultas, 9 unidades de emergencia, 7 pabellones y 2 salas de atención de parto, además de 10 sillones para quimioterapia y 18 para diálisis.
El hospital de Pichilemu dará servicios a los 70 mil habitantes de Navidad, Litueche, La Estrella, Marchigüe, Pichidegua y Paredones. Tendrá 27 camas, 33 boxes de consulta y 5 boxes para unidades de emergencia. 
Junto con la construcción, el proyecto considera la provisión de servicios conocidos como hard facilities management: mantención de infraestructura, adquisición, mantención y reposición de equipamiento médico y mobiliario clínico y no clínico.
</t>
  </si>
  <si>
    <t>https://concesiones.mop.gob.cl/project/concesion-red-ohiggins/</t>
  </si>
  <si>
    <t>77875388-K</t>
  </si>
  <si>
    <t>Sociedad Concesionaria Red O´Higgins S.A.</t>
  </si>
  <si>
    <t>https://www.cmfchile.cl/institucional/mercados/entidad.php?auth=&amp;send=&amp;mercado=O&amp;rut=77875388&amp;grupo=&amp;tipoentidad=RGEIN&amp;vig=VI&amp;row=AAAwy2ACTAAAGD0AAw&amp;control=svs&amp;pestania=1</t>
  </si>
  <si>
    <t>115_CHCO2</t>
  </si>
  <si>
    <t>Segunda concesión Ruta 5 tramo Chillán -Collipulli</t>
  </si>
  <si>
    <t xml:space="preserve">Este contrato regula la nueva concesión entre los kilómetros 412,8 y 578,8 de la Ruta 5, mejorando los servicios que entregará la ruta.  En particular, la ruta alcanzará en el 97% de su trazado un diseño de para velocidad de 120 kilómetros por hora, porcentaje que hoy corresponde al 60% de la ruta. El sector de Cuesta Esperanza es el único que tendrá una velocidad restringida de 80 km/h. contrato incorpora una variante a la ciudad de Collipulli, y con ello 6,6 kilómetros nuevos, donde las principales obras son: 
• Nuevo viaducto del Malleco: estructura formada por dos puentes, cada uno de 600 metros de longitud.
• Dos pasos superiores- rutas R 35 y R 49-, un paso inferior de ramal de acceso a Collipulli sur, y tres pasos prediales
• Enlace Collipulli Norte
Este contrato obliga a la construcción de 27 pasarelas nuevas con sus respectivos paraderos (dos) y circuitos peatonales, y al reemplazo de otras 17. En materia de puentes proyecta reemplazar 14 y rehabilitar 48. 
</t>
  </si>
  <si>
    <t xml:space="preserve">Biobío; Ñuble, Araucanía </t>
  </si>
  <si>
    <t>https://concesiones.mop.gob.cl/project/segunda-concesion-ruta-5-tramo-chillan-collipulli/</t>
  </si>
  <si>
    <t>77722758-0</t>
  </si>
  <si>
    <t>SOCIEDAD CONCESIONARIA RUTA 5 CHILLAN - COLLIPULLI S.A.</t>
  </si>
  <si>
    <t>https://www.cmfchile.cl/institucional/mercados/entidad.php?auth=&amp;send=&amp;mercado=O&amp;rut=77722758&amp;grupo=&amp;tipoentidad=RGEIN&amp;vig=VI&amp;row=AAAwy2ACTAAAGDzAAT&amp;control=svs&amp;pestania=1</t>
  </si>
  <si>
    <t>117_HINN1</t>
  </si>
  <si>
    <t>Instituto Nacional de Neurocirugía</t>
  </si>
  <si>
    <t>Primera concesión Instituto Nacional de Neurocirugía</t>
  </si>
  <si>
    <t xml:space="preserve">El Instituto Nacional de Neurocirugía estará localizado en la comuna de Providencia. La sociedad concesionaria deberá desarrollar el diseño y la ejecución de las obras civiles, implementar el equipamiento clínico, administrativo e industrial., junto con proveer, mantener y reponer el mobiliario clínico y no clínico.
 El recinto tiene una superficie estimada de 65 mil metros cuadrados- y permitirá entregar atenciones de neurocirugía de mediana y alta complejidad para pacientes adultos y niños; dando respuesta a la demanda de la región Metropolitana y de referencia nacional.
</t>
  </si>
  <si>
    <t>https://concesiones.mop.gob.cl/project/concesion-instituto-nacional-de-neurocirugia/</t>
  </si>
  <si>
    <t>77777167-1</t>
  </si>
  <si>
    <t>SOCIEDAD CONCESIONARIA INSTITUTO NACIONAL DE NEUROCIRUGIA S.A.</t>
  </si>
  <si>
    <t>https://www.cmfchile.cl/institucional/mercados/entidad.php?auth=&amp;send=&amp;mercado=O&amp;rut=77777167&amp;grupo=&amp;tipoentidad=RGEIN&amp;vig=VI&amp;row=AAAwy2ACTAAAGDzAAe&amp;control=svs&amp;pestania=1</t>
  </si>
  <si>
    <t>118_ISVV2</t>
  </si>
  <si>
    <t>Segunda Concesión Interconexión Vial Santiago-Valparaíso-Viña del Mar, Ruta 68</t>
  </si>
  <si>
    <t>Esta interconexión vial comprende un total de 141,3 km compuestos por 109,6 km de la Ruta 68; 21,0 km de la Ruta 62 (Troncal Sur) y 10,7 km de la Ruta 60-CH (Vía Las Palmas). Esta vía constituye la principal ruta que conecta las regiones Metropolitana y de Valparaíso. En términos generales, la segunda licitación de la Ruta 68 permitirá ampliar la capacidad de la ruta en los sectores socialmente rentables, mejorar estándares y calidad de servicio. El proyecto contempla:
•	Terceras pistas entre salida de Casablanca-Túnel Zapata, Peñuelas-Enlace a Viña del Mar, Enlace a Viña del Mar-Rodelillo y tramo urbano de la Ruta 68 llegando a Valparaíso. 
•	Atraviesos para conexión de calles locales, tramos de calles locales asfaltadas. 
•	Nuevos enlaces, acceso a urbanizaciones. 
•	Ampliación en nudo Vespucio. 
•	Nuevos Túneles en Lo Prado y Zapata.
•	Mejoramiento bajada Agua Santa</t>
  </si>
  <si>
    <t>https://concesiones.mop.gob.cl/project/segunda-concesion-interconexion-vial-santiago-valparaiso-vina-del-mar-ruta-68/</t>
  </si>
  <si>
    <t>78089131-9</t>
  </si>
  <si>
    <t>Sociedad concesionaria Ruta  68 a La Costa S.A.</t>
  </si>
  <si>
    <t>https://www.cmfchile.cl/institucional/mercados/entidad.php?auth=&amp;send=&amp;mercado=O&amp;rut=78056118&amp;grupo=&amp;tipoentidad=RGEIN&amp;vig=VI&amp;row=AAAwy2ACTAAACisAAY&amp;control=svs&amp;pestania=1</t>
  </si>
  <si>
    <t>119_ORSS1</t>
  </si>
  <si>
    <t>Concesión Orbital Sur</t>
  </si>
  <si>
    <t>Primera concesión de Orbital Sur</t>
  </si>
  <si>
    <t>Autopista ubicada en el sector sur de Santiago, que ofrece una nueva conectividad para la comunicación de los flujos que vienen desde Peñaflor y el Puerto de San Antonio, hacia la Ruta 5 y el sur del Gran Santiago; mejorando la conectividad entra la Ruta 78 (Autopista del Sol) y la Ruta 5 y Acceso Sur a Santiago. Junto con ello, abre una nueva combinación de salida (entrada) a Santiago con destino la costa, vía Ruta 78, así como una mejor conexión de la zona norponiente de Santiago con la Ruta 5 Sur desde la Ruta 78.
Permitirá una velocidad de 120 km/h y contará con dos pistas por calzada de cada sentido.</t>
  </si>
  <si>
    <t>https://concesiones.mop.gob.cl/project/concesion-orbital-sur-santiago/</t>
  </si>
  <si>
    <t>77930767-0</t>
  </si>
  <si>
    <t>Ruta Orbital Sur Sociedad Concesionaria S.A.</t>
  </si>
  <si>
    <t>https://www.cmfchile.cl/institucional/mercados/entidad.php?mercado=O&amp;rut=77930767&amp;grupo=&amp;tipoentidad=RGEIN&amp;row=AAAwy2ACTAAAGD2AA5&amp;vig=VI&amp;control=svs&amp;pestania=1</t>
  </si>
  <si>
    <t>120_SALV2</t>
  </si>
  <si>
    <t>Segunda Concesión Ruta 5 Santiago-Los Vilos</t>
  </si>
  <si>
    <t>El proyecto considera ajustes de trazados para llevar la ruta a una velocidad de proyecto de 120 km/hr con restricciones en algunos tramos de 100 km/hr y con restricción de 80 km/hr en cuesta Las Chilcas.
El proyecto amplía de 3 a 4 pistas, por sentido, entre el enlace Batuco y Liray.y mantendrá la continuidad de las calles de servicio. Desde Lyray hasta el enlace de acceso sur de Túnel El Melón ampliará las calzadas de 2 a 3 por sentido, exceptuando la cuesta las Chilcas que mantiene el número de pistas existentes
El proyecto considera la mantención y generación de áreas de ventas, donde una corresponde floristas de Ocoa,y agrega la construcción y mantención de otras 6 áreas de ventas.</t>
  </si>
  <si>
    <t>78041651-3</t>
  </si>
  <si>
    <t>Sociedad concesionaria Nueva Aconcagua</t>
  </si>
  <si>
    <t>https://www.cmfchile.cl/institucional/mercados/entidad.php?auth=&amp;send=&amp;mercado=O&amp;rut=78041651&amp;grupo=&amp;tipoentidad=RGEIN&amp;vig=VI&amp;row=AAAwy2ACTAAACiuAAV&amp;control=svs&amp;pestania=1</t>
  </si>
  <si>
    <t>121_ANCO2</t>
  </si>
  <si>
    <t>Segunda Concesión Ruta del Itata (Ex Acceso Norte a Concepción)</t>
  </si>
  <si>
    <t xml:space="preserve">La nueva concesión de la Ruta del Itata considera una extensión total de 96,1 km, que incluyen 75,1 km de la Ruta 152 y 14,1 km de la Ruta 158, más un nuevo trazado de 6,9 km, que conectará de forma directa la Ruta 152 con la Ruta 146. 
El proyecto mejora los niveles de seguridad y de velocidad al contar con 40, 5 km de rectificación de trazado; 36,9 km de rehabilitación de pavimentos; 22,4 km de ampliación de bermas y 4,6 km de terceras pistas. A ello se agrega la habilitación de medianas y la rectificación de curvas y pendientes
En relación a los servicios para peatones y lugareños aledaños al proyecto, este considera 12 nuevas pasarelas, 22 nuevos paraderos con iluminación y circuito peatonal. 
Estas inversiones ampliarán la seguridad para sus distintos tipos de usuarios, la cobertura de la autorización para el tránsito a una velocidad de 120 km/h.
Otros servicios que agrega el proyecto son una nueva área de servicios generales, 2 nuevas áreas de venta de productos típicos y una nueva área de atención de emergencias.  En relación con el medio de cobro, se implementará el telepeaje con pórtico de free flow. </t>
  </si>
  <si>
    <t>https://concesiones.mop.gob.cl/project/segunda-concesion-ruta-del-itata-acceso-norte-a-concepcion/</t>
  </si>
  <si>
    <t>78056118-1</t>
  </si>
  <si>
    <t>Sociedad Concesionarias Bosques del Itata</t>
  </si>
  <si>
    <t>https://www.cmfchile.cl/institucional/mercados/entidad.php?auth=&amp;send=&amp;mercado=O&amp;rut=78089131&amp;grupo=&amp;tipoentidad=RGEIN&amp;vig=VI&amp;row=AAAwy2ACTAAAQjEAAA&amp;control=svs&amp;pestania=1</t>
  </si>
  <si>
    <t>125_ARNO1</t>
  </si>
  <si>
    <t>Red Aeroportuaria Norte</t>
  </si>
  <si>
    <t>Primera concesión Red Aeroportuaria Norte (2° concesión A. Regional de Atacama y 3° concesión A. Andrés Sabella)</t>
  </si>
  <si>
    <t>El proyecto considera la ampliación, reparación, conservación y reposición de la infraestructura, equipamiento e instalaciones preexistentes del Aeropuerto Desierto de Atacama y del Aeropuerto Andrés Sabella, de la región de Antofagasta con todas las obras civiles e instalaciones necesarias para dar a las líneas aéreas, pasajeros y demás usuarios, las condiciones de servicio, confort y seguridad, acordes a las de un aeropuerto internacional. En el caso del Aeropuerto Desierto de Atacama, ubicado en la comunca de Caldera, corresponde a la segunda concesión que considera la ampliación y mejoramiento del Edificio Terminal de Pasajeros, pasando desde los 2.952 m2 actuales a más de 18.000 m2 y el desarrollo de cuatro puentes de embarque, entre otras obras. Por su parte, el Aeropuerto Andrés Sabella corresponderá a la tercera concesión y se ubica a 25 km al norte de la ciudad de Antofagasta, en la región del mismo nombre, y donde considera la ampliación y mejoramiento del edificio terminal de pasajeros de los actuales  10.126 m2 actuales a más de 30.000 m2 y el desarrollo de cinco puentes de embarque, nere otras obras</t>
  </si>
  <si>
    <t>Antofagasta;  Atacama</t>
  </si>
  <si>
    <t>https://concesiones.mop.gob.cl/project/red-aeroportuaria-norte-andres-sabella-3a-y-desierto-de-atacama-2-a/</t>
  </si>
  <si>
    <t>77996929-0</t>
  </si>
  <si>
    <t>Sociedad Concesionaria Aeropuerto del Norte S.A.</t>
  </si>
  <si>
    <t>https://www.cmfchile.cl/institucional/mercados/entidad.php?auth=&amp;send=&amp;mercado=O&amp;rut=77996929&amp;grupo=&amp;tipoentidad=RGEIN&amp;vig=VI&amp;row=AAAwy2ACTAAACiqAAG&amp;control=svs&amp;pestania=1</t>
  </si>
  <si>
    <t>126_PP4T1</t>
  </si>
  <si>
    <t>Nuevo establecimiento penitenciario de Talca</t>
  </si>
  <si>
    <t>Primera concesión de nuevo establecimiento penitenciario de Talca</t>
  </si>
  <si>
    <t>El proyecto consiste en la habilitación de la infraestructura del Establecimiento Penitenciario de Talca y en particular de todas las áreas destinadas a la prestación de los servicios, comprendiendo esta, entre otros aspectos, la ejecución de las instalaciones de seguridad y corrientes débiles, la provisión del equipamiento estándar y de seguridad. Este proyecto se emplaza en el sector de Panguilemo, a 10 km al norte del centro de la comuna de Talca, en la Región del Maule. La edificación tiene una superficie total aproximada de 63.570 m2 con una capacidad máxima de 2.320 personas privadas de libertad.</t>
  </si>
  <si>
    <t>https://concesiones.mop.gob.cl/project/concesion-nuevo-establecimiento-penitenciario-de-talca/</t>
  </si>
  <si>
    <t>77985392-6</t>
  </si>
  <si>
    <t>Sociedad concesionaria penitenciario de Talca S.A.</t>
  </si>
  <si>
    <t>https://www.cmfchile.cl/institucional/mercados/entidad.php?auth=&amp;send=&amp;mercado=O&amp;rut=77985392&amp;grupo=&amp;tipoentidad=RGEIN&amp;vig=VI&amp;row=AAAwy2ACTAAACipAAI&amp;control=svs&amp;pestania=1</t>
  </si>
  <si>
    <t>122_NARA2</t>
  </si>
  <si>
    <t>Aeropuerto de la Región de La Araucanía</t>
  </si>
  <si>
    <t>Segunda Concesión Aeropuerto Región de la Araucanía</t>
  </si>
  <si>
    <t xml:space="preserve">El proyecto consiste principalmente en la ampliación, reparación, conservación y reposición de la infraestructura, equipamiento e instalaciones existentes en el aeropuerto dentro del área de concesión, con todas las obras civiles e instalaciones necesarias para dar a las líneas aéreas, pasajeros y demás usuarios del aeropuerto las condiciones de servicio, confort y seguridad, acordes para enfrentar la demanda futura en el próximo periodo de concesión. La concesión incluye el mantenimiento de todas las obras preexistentes y nuevas que debe ejecutar el concesionario dentro del área de concesión.
Las obras permitirán que se cuadruplique la superficie del actual aeropuerto, creciendo de 5.570 m2 a 22.276 m2 y una ampliación a 508 estacionamientos vehiculares (hoy son 356), seis estacionamientos para aeronaves comerciales (hoy son cuatro) y 42.994 m2 de superficie de plataforma de aeronaves comerciales (hoy son 22.770 m2). </t>
  </si>
  <si>
    <t>Araucanía</t>
  </si>
  <si>
    <t>https://concesiones.mop.gob.cl/project/segunda-concesion-aeropuerto-de-la-region-de-la-araucania/</t>
  </si>
  <si>
    <t>Subsidio fijo a la construción ó Ingresos totales por pasajero embarcado</t>
  </si>
  <si>
    <t>78.159.936-0</t>
  </si>
  <si>
    <t>Sociedad concesionaria nuevo aeropuerto Araucanía SA</t>
  </si>
  <si>
    <t>https://www.cmfchile.cl/institucional/mercados/entidad.php?mercado=O&amp;rut=78159936&amp;tipoentidad=RGEIN&amp;vig=VI&amp;control=svs&amp;pestania=1</t>
  </si>
  <si>
    <t>124_TERB2</t>
  </si>
  <si>
    <t>Segunda Concesión Ruta 5, tramo Temuco -Río Bueno</t>
  </si>
  <si>
    <t xml:space="preserve">Se ubica en las regiones de La Araucanía y Los Ríos, provincias de Cautín, Valdivia y Ranco. 
La concesión actual es una autopista de doble calzada, diseñada para una velocidad de 100-120 km/hr, que se construyó en el mismo trazado de la Ruta 5. Su principal beneficio es desarrollar la conectividad en la zona y dotar de mayor seguridad a los usuarios y habitantes de las zonas cercanas a la ruta. 
Se proyectan obras de mejoramiento, nuevos enlaces, reemplazo de puentes existentes, reforzamiento de otros, pasarelas peatonales, adaptación de las existentes a la nueva normativa de accesibilidad universal, paraderos de buses, mejoramientos de trazado en sectores puntuales, nuevas áreas de servicios, ampliación y mejoramiento de las áreas existentes, ampliación de calles de servicio. Esta ruta es la principal conexión hacia el sur de Chile, que tiene gran potencial turístico y agroindustrial. </t>
  </si>
  <si>
    <t>Araucanía, Los Ríos</t>
  </si>
  <si>
    <t>https://concesiones.mop.gob.cl/project/segunda-concesion-ruta-5-tramo-temuco-rio-bueno/</t>
  </si>
  <si>
    <t>Subsidio fijo a la construción ó Ingresos totales de la concesión</t>
  </si>
  <si>
    <t>78.214.872-9</t>
  </si>
  <si>
    <t>Sociedad concesionaria Temuco -Rio Bueno SA</t>
  </si>
  <si>
    <t>https://www.cmfchile.cl/institucional/mercados/entidad.php?mercado=O&amp;rut=78214872&amp;grupo=&amp;tipoentidad=RGEIN&amp;row=&amp;vig=VI&amp;control=svs&amp;pestania=1</t>
  </si>
  <si>
    <t>130_EPCO1</t>
  </si>
  <si>
    <t>Concesión nuevo establecimiento penitenciario de Copiapó</t>
  </si>
  <si>
    <t>La obra corresponde a la construcción, operación y mantención de un nuevo establecimiento penitenciario que se emplazará próximo a la Ruta 5 Norte, aproximadamente a 40 kilómetros al norponiente de la ciudad de Copiapó, en la región de Atacama.
El proyecto tendrá superficie total aproximada de 76.600 m2 con una capacidad estimada de 2.160 personas privadas de libertad, en 15 módulos de reclusión.</t>
  </si>
  <si>
    <t>https://concesiones.mop.gob.cl/project/concesion-nuevo-establecimiento-penitenciario-de-copiapo/</t>
  </si>
  <si>
    <t>Subsidio fijo a la operación ó Ingresos totales de la concesión</t>
  </si>
  <si>
    <t>En trámite</t>
  </si>
  <si>
    <t>Sociedad Concesionaria Penitenciario de Copiapó S.A.</t>
  </si>
  <si>
    <t>Sin informar</t>
  </si>
  <si>
    <t>Etiquetas de fila</t>
  </si>
  <si>
    <t>Total general</t>
  </si>
  <si>
    <t>Cuenta de Código proyecto</t>
  </si>
  <si>
    <t>Codigo oferente</t>
  </si>
  <si>
    <t>Nombre oferente</t>
  </si>
  <si>
    <t>Adjudicado</t>
  </si>
  <si>
    <t>001_TEME1+1_6_1</t>
  </si>
  <si>
    <t>Consorcio ATEC</t>
  </si>
  <si>
    <t>No</t>
  </si>
  <si>
    <t>001_TEME1+1_6_2</t>
  </si>
  <si>
    <t>Consorcio Belfi y Otros</t>
  </si>
  <si>
    <t>001_TEME1+1_6_3</t>
  </si>
  <si>
    <t>Consorcio Chilectra V Región y Otros</t>
  </si>
  <si>
    <t>001_TEME1+1_6_4</t>
  </si>
  <si>
    <t>Consorcio Dragados y Otros</t>
  </si>
  <si>
    <t>001_TEME1+1_6_5</t>
  </si>
  <si>
    <t>Consorcio Endesa y otros</t>
  </si>
  <si>
    <t>SI</t>
  </si>
  <si>
    <t>001_TEME1+1_6_6</t>
  </si>
  <si>
    <t>Consorcio Constructora Fe Grande y Otros</t>
  </si>
  <si>
    <t>002_CDMA1+2_1_1</t>
  </si>
  <si>
    <t>003_ADAI1+3_3_1</t>
  </si>
  <si>
    <t>Consorcio Aeropuerto Diego Aracena SA</t>
  </si>
  <si>
    <t>003_ADAI1+3_3_2</t>
  </si>
  <si>
    <t>Consorcio Eliqsa-BDS SA</t>
  </si>
  <si>
    <t>003_ADAI1+3_3_3</t>
  </si>
  <si>
    <t>Concesionaria Chucumata SA</t>
  </si>
  <si>
    <t>Si</t>
  </si>
  <si>
    <t>004_ATEP1+4_2_1</t>
  </si>
  <si>
    <t>Gestión e Ingeniería IDC SA, Socimer Chile SA, Senexco Ltda., Cosalco Ltda. e Inversiones Inmobiliarias Viento Claro SA</t>
  </si>
  <si>
    <t>004_ATEP1+4_2_2</t>
  </si>
  <si>
    <t>Concesionaria Tepual SA</t>
  </si>
  <si>
    <t>005_ANCO1+5_4_1</t>
  </si>
  <si>
    <t>Consorcio Ecovías y otros</t>
  </si>
  <si>
    <t>005_ANCO1+5_4_2</t>
  </si>
  <si>
    <t>Consorcio Cominco y otros</t>
  </si>
  <si>
    <t>005_ANCO1+5_4_3</t>
  </si>
  <si>
    <t>Consorcio Concepción SA</t>
  </si>
  <si>
    <t>005_ANCO1+5_4_4</t>
  </si>
  <si>
    <t>Consorcio Tribasa - Inela</t>
  </si>
  <si>
    <t>006_SASA1+6_6_1</t>
  </si>
  <si>
    <t>Consorcio Infraestructura 2000 SA y otros</t>
  </si>
  <si>
    <t>006_SASA1+6_6_2</t>
  </si>
  <si>
    <t>006_SASA1+6_6_3</t>
  </si>
  <si>
    <t>Consorcio Cassa</t>
  </si>
  <si>
    <t>006_SASA1+6_6_4</t>
  </si>
  <si>
    <t>Consorcio Concesionaria Autopista San Antonio SA</t>
  </si>
  <si>
    <t>006_SASA1+6_6_5</t>
  </si>
  <si>
    <t>Consorcio Tribasa Chile SA y otros</t>
  </si>
  <si>
    <t>006_SASA1+6_6_6</t>
  </si>
  <si>
    <t>007_CNPU1+7_4_1</t>
  </si>
  <si>
    <t>Consorcio Masscorp y otros</t>
  </si>
  <si>
    <t>007_CNPU1+7_4_2</t>
  </si>
  <si>
    <t>Consorcio Cruz Blanca-Delta</t>
  </si>
  <si>
    <t>007_CNPU1+7_4_3</t>
  </si>
  <si>
    <t>Consorcio Gestión e Ingeniería IDC SA y otros</t>
  </si>
  <si>
    <t>007_CNPU1+7_4_4</t>
  </si>
  <si>
    <t>Concesionaria Ruta Ventanas SA</t>
  </si>
  <si>
    <t>008_AVAM1+8_1_1</t>
  </si>
  <si>
    <t>Aerovías S.A.</t>
  </si>
  <si>
    <t>009_TACH1+9_4_1</t>
  </si>
  <si>
    <t xml:space="preserve">Consorcio Trinela </t>
  </si>
  <si>
    <t>009_TACH1+9_4_2</t>
  </si>
  <si>
    <t>Consorcio Ica-Tecsa</t>
  </si>
  <si>
    <t>009_TACH1+9_4_3</t>
  </si>
  <si>
    <t>Consorcio Ecovías</t>
  </si>
  <si>
    <t>010_SCLA1+10_1_1</t>
  </si>
  <si>
    <t>Consorcio Inecsa 2000</t>
  </si>
  <si>
    <t>011_SALV1+11_4_1</t>
  </si>
  <si>
    <t>Consorcio Trinela Ruta 5 SA</t>
  </si>
  <si>
    <t>011_SALV1+11_4_2</t>
  </si>
  <si>
    <t>011_SALV1+11_4_3</t>
  </si>
  <si>
    <t>Infraestructura Dos Mil SA</t>
  </si>
  <si>
    <t>011_SALV1+11_4_4</t>
  </si>
  <si>
    <t>Consorcio Obras Viales</t>
  </si>
  <si>
    <t>012_ISVV1+12_4_1</t>
  </si>
  <si>
    <t>Consorcio Cicasa Chile</t>
  </si>
  <si>
    <t>012_ISVV1+12_4_2</t>
  </si>
  <si>
    <t>Consorcio Ecorutas</t>
  </si>
  <si>
    <t>012_ISVV1+12_4_3</t>
  </si>
  <si>
    <t>Consorcio Rutas del Pacífico</t>
  </si>
  <si>
    <t>012_ISVV1+12_4_4</t>
  </si>
  <si>
    <t>Consorcio Autopistas de Peaje SA</t>
  </si>
  <si>
    <t>013_CHCO1+13_3_1</t>
  </si>
  <si>
    <t>Tribasa Cono Sur S.A.</t>
  </si>
  <si>
    <t>013_CHCO1+13_3_2</t>
  </si>
  <si>
    <t>Cominco SA y Obras y Desarrollo SA</t>
  </si>
  <si>
    <t>013_CHCO1+13_3_3</t>
  </si>
  <si>
    <t>014_TERB1+14_3_1</t>
  </si>
  <si>
    <t>Sacyr Chile SA</t>
  </si>
  <si>
    <t>014_TERB1+14_3_2</t>
  </si>
  <si>
    <t>014_TERB1+14_3_3</t>
  </si>
  <si>
    <t>Consorcio Ecovias 5</t>
  </si>
  <si>
    <t>015_LVLS1+15_2_1</t>
  </si>
  <si>
    <t>Tribasa Cono Sur SA</t>
  </si>
  <si>
    <t>015_LVLS1+15_2_2</t>
  </si>
  <si>
    <t>016_ALFS1+16_4_1</t>
  </si>
  <si>
    <t>Gestión e Ingeniería IDC SA, Empresa Constructora Senexco Ltda., Constructora Cosalco Ltda., Inversiones e Inmobiliaria Viento Claro SA, Inversiones Palguin SA</t>
  </si>
  <si>
    <t>016_ALFS1+16_4_2</t>
  </si>
  <si>
    <t>Ingecol SA, Sociedad de Ingeniería y Construcción Austral Ltda.</t>
  </si>
  <si>
    <t>016_ALFS1+16_4_3</t>
  </si>
  <si>
    <t>Empresa Constructora Belfi SA</t>
  </si>
  <si>
    <t>016_ALFS1+16_4_4</t>
  </si>
  <si>
    <t>Ingeniería y Construcción Icafal ltda</t>
  </si>
  <si>
    <t>017_ALOA1+17_4_1</t>
  </si>
  <si>
    <t>Ingeniería y Construcción Icafal Ltda</t>
  </si>
  <si>
    <t>017_ALOA1+17_4_2</t>
  </si>
  <si>
    <t>Ingecol SA, Sociedad de Ingeniería y Construcción Austral Ltda</t>
  </si>
  <si>
    <t>017_ALOA1+17_4_3</t>
  </si>
  <si>
    <t>017_ALOA1+17_4_4</t>
  </si>
  <si>
    <t>Gestión e Ingeniería IDC SA, Empresa Constructora Senexco Ltda., Constructora Cosalco Ltda., Inversiones e Inmobiliaria Viento Claro SA, Inversiones Palguín SA, e Inversiones y Servicios Iñaki Ltda</t>
  </si>
  <si>
    <t>018_RBPM1+18_5_1</t>
  </si>
  <si>
    <t>018_RBPM1+18_5_2</t>
  </si>
  <si>
    <t>018_RBPM1+18_5_3</t>
  </si>
  <si>
    <t>018_RBPM1+18_5_4</t>
  </si>
  <si>
    <t>018_RBPM1+18_5_5</t>
  </si>
  <si>
    <t>Consorcio Concesiones Iberochilenas</t>
  </si>
  <si>
    <t>019_AAMB1+19_7_1</t>
  </si>
  <si>
    <t>Consorcio ADS</t>
  </si>
  <si>
    <t>019_AAMB1+19_7_2</t>
  </si>
  <si>
    <t>Consorcio Airground AG</t>
  </si>
  <si>
    <t>019_AAMB1+19_7_3</t>
  </si>
  <si>
    <t>Consorcio SCL Terminal Aereo Santiago</t>
  </si>
  <si>
    <t>019_AAMB1+19_7_4</t>
  </si>
  <si>
    <t>Consorcio Aeropuerto AMB</t>
  </si>
  <si>
    <t>019_AAMB1+19_7_5</t>
  </si>
  <si>
    <t>Consorcio ASSA</t>
  </si>
  <si>
    <t>019_AAMB1+19_7_6</t>
  </si>
  <si>
    <t>Consorcio Santiago 2.000</t>
  </si>
  <si>
    <t>019_AAMB1+19_7_7</t>
  </si>
  <si>
    <t>Consorcio Ferrovial-Agromán</t>
  </si>
  <si>
    <t>020_COTE1+20_4_1</t>
  </si>
  <si>
    <t>Consorcio Ica Tecsa</t>
  </si>
  <si>
    <t>020_COTE1+20_4_2</t>
  </si>
  <si>
    <t>Consorcio Favias</t>
  </si>
  <si>
    <t>020_COTE1+20_4_3</t>
  </si>
  <si>
    <t>020_COTE1+20_4_4</t>
  </si>
  <si>
    <t>021_SATA1+21_4_1</t>
  </si>
  <si>
    <t>Consorcio Autopista del Maipo</t>
  </si>
  <si>
    <t>021_SATA1+21_4_2</t>
  </si>
  <si>
    <t>021_SATA1+21_4_3</t>
  </si>
  <si>
    <t>Consorcio Necso Entrecanales y Cubiertas SA</t>
  </si>
  <si>
    <t>021_SATA1+21_4_4</t>
  </si>
  <si>
    <t>Consorcio Rutas del Sur</t>
  </si>
  <si>
    <t>022_ACSU1+22_7_1</t>
  </si>
  <si>
    <t>Empresa Constructora Belfi SA, Empresa Constructora Brotec SA, Empresa Constructora Claro, Vicuña, Valenzuela S</t>
  </si>
  <si>
    <t>022_ACSU1+22_7_2</t>
  </si>
  <si>
    <t xml:space="preserve">Empresa Constructora Delta SA, Fondo de Inversión Inmobiliaria BHIF, BHIF Inmobiliaria, Gestión e Ingeniería IDC SA, Inversiones y Rentas del Nuevo Extremo SA, Empresa Constructora Cosalco SA, Arturo Mariano Valle Ponce </t>
  </si>
  <si>
    <t>022_ACSU1+22_7_3</t>
  </si>
  <si>
    <t>Cintra Concesiones de Infraestructura de transporte de Chie Ltda.</t>
  </si>
  <si>
    <t>022_ACSU1+22_7_4</t>
  </si>
  <si>
    <t>Alfonso Bründl y Cia Ltda., Ingecol SA, Mendes Junior Chile SA y Sical</t>
  </si>
  <si>
    <t>022_ACSU1+22_7_5</t>
  </si>
  <si>
    <t>Agencias Universales SA, Dragados y Construcciones SA, Agencia en Chile</t>
  </si>
  <si>
    <t>022_ACSU1+22_7_6</t>
  </si>
  <si>
    <t>Consorcio Biobío SA</t>
  </si>
  <si>
    <t>022_ACSU1+22_7_7</t>
  </si>
  <si>
    <t>Sacyr Chile SA y Sacyr S</t>
  </si>
  <si>
    <t>023_ACMA1+23_5_1</t>
  </si>
  <si>
    <t>Empresa Constructora Belfi SA, Empresa Constructora Belfi SA, Lan Chile SA, Las Americas Administradora de Fondos de Inversión SA y CMB Prime Administradora de Fondos de Inversión S</t>
  </si>
  <si>
    <t>023_ACMA1+23_5_2</t>
  </si>
  <si>
    <t>CINTRA Concesiones de Infraestructura de transporte de Chie Ltda.</t>
  </si>
  <si>
    <t>023_ACMA1+23_5_3</t>
  </si>
  <si>
    <t xml:space="preserve"> Gestión e Ingeniería IDC SA, Fondo de Inversión Inmobiliaria BHIF Inmobiliario, Constructora Cosal SA e Inversiones y Rentas del Nuevo Extremo SA </t>
  </si>
  <si>
    <t>023_ACMA1+23_5_4</t>
  </si>
  <si>
    <t>Besalco SA, Arauco SA y Geotecnica Consultores SA</t>
  </si>
  <si>
    <t>023_ACMA1+23_5_5</t>
  </si>
  <si>
    <t>Alfonso Bründl y Cia Ltda., Ingecol SA, Mendes Junior Chile SA, Sical SA y Cisa Ltda</t>
  </si>
  <si>
    <t>024_SOPN1+24_4_1</t>
  </si>
  <si>
    <t>Autopistas Urbanas SA</t>
  </si>
  <si>
    <t>024_SOPN1+24_4_2</t>
  </si>
  <si>
    <t>Bouygues - Egis - Besalco Consortium</t>
  </si>
  <si>
    <t>024_SOPN1+24_4_3</t>
  </si>
  <si>
    <t>Impregilo - Fe Grande - Tecsa</t>
  </si>
  <si>
    <t>024_SOPN1+24_4_4</t>
  </si>
  <si>
    <t>Concesiones Viales Acciona</t>
  </si>
  <si>
    <t>025_ACIP1+25_4_1</t>
  </si>
  <si>
    <t>Austral Sociedad Concesionaria SA</t>
  </si>
  <si>
    <t>025_ACIP1+25_4_2</t>
  </si>
  <si>
    <t>Gestión e Ingeniería IDC SA, Inversiones y Rentas del Nuevo Extremo SA y Fondo de Inversión Inmobiliaria BHIF Inmobiliario</t>
  </si>
  <si>
    <t>025_ACIP1+25_4_3</t>
  </si>
  <si>
    <t>Besalco SA, Arauco SA y Geotécnica Consultores SA</t>
  </si>
  <si>
    <t>025_ACIP1+25_4_4</t>
  </si>
  <si>
    <t>Alfonso Bründl y Cia Ltda., Ingecol SA, Mendes Junior Chile SA y Sical SA</t>
  </si>
  <si>
    <t>026_EEBA1+26_3_1</t>
  </si>
  <si>
    <t>Besalco SA</t>
  </si>
  <si>
    <t>026_EEBA1+26_3_2</t>
  </si>
  <si>
    <t>Mendes Junior, Sical, Brundl, e Ingecol S.A.</t>
  </si>
  <si>
    <t>026_EEBA1+26_3_3</t>
  </si>
  <si>
    <t>Grupo TCV S.A.</t>
  </si>
  <si>
    <t>027_SNSS1+27_3_1</t>
  </si>
  <si>
    <t>027_SNSS1+27_3_2</t>
  </si>
  <si>
    <t>Autopistas Norte-Sur SA</t>
  </si>
  <si>
    <t>027_SNSS1+27_3_3</t>
  </si>
  <si>
    <t>Consorcio Autopista Santiago</t>
  </si>
  <si>
    <t>028_RVLC1+28_3_1</t>
  </si>
  <si>
    <t>Consorcio Acciona - Sacyr Chile</t>
  </si>
  <si>
    <t>028_RVLC1+28_3_2</t>
  </si>
  <si>
    <t>Consorcio Litoral</t>
  </si>
  <si>
    <t>028_RVLC1+28_3_3</t>
  </si>
  <si>
    <t>Rutas Litoral Pacífico Central</t>
  </si>
  <si>
    <t>029_AVES1+29_4_1</t>
  </si>
  <si>
    <t>029_AVES1+29_4_2</t>
  </si>
  <si>
    <t>Consorcio Autopista Américo Vespucio</t>
  </si>
  <si>
    <t>029_AVES1+29_4_3</t>
  </si>
  <si>
    <t>Autopistas Metropolitanas SA</t>
  </si>
  <si>
    <t>029_AVES1+29_4_4</t>
  </si>
  <si>
    <t>Consorcio Autopistas Vespucio Sur</t>
  </si>
  <si>
    <t>030_VAME1+30_3_1</t>
  </si>
  <si>
    <t>030_VAME1+30_3_2</t>
  </si>
  <si>
    <t>Icafal - Tecsa</t>
  </si>
  <si>
    <t>030_VAME1+30_3_3</t>
  </si>
  <si>
    <t>OHL - Mendes Junior y Asociados</t>
  </si>
  <si>
    <t>031_PP1G1+31_3_1</t>
  </si>
  <si>
    <t>Torno-Mendes Junior &amp; Asociados</t>
  </si>
  <si>
    <t>031_PP1G1+31_3_2</t>
  </si>
  <si>
    <t>Obrascon Huarte Lain S.A., Agencia En Chile</t>
  </si>
  <si>
    <t>031_PP1G1+31_3_3</t>
  </si>
  <si>
    <t>Consorcio B.A.S.</t>
  </si>
  <si>
    <t>032_AVNP1+32_4_1</t>
  </si>
  <si>
    <t>032_AVNP1+32_4_2</t>
  </si>
  <si>
    <t>Impreglio-FCCCO-Tecsa-Fe Grande</t>
  </si>
  <si>
    <t>032_AVNP1+32_4_3</t>
  </si>
  <si>
    <t>032_AVNP1+32_4_4</t>
  </si>
  <si>
    <t>Consorcio Autopistas Vespucio Norte</t>
  </si>
  <si>
    <t>033_RITP1+33_3_1</t>
  </si>
  <si>
    <t>Consorcio ICAFAL-TECSA</t>
  </si>
  <si>
    <t>033_RITP1+33_3_2</t>
  </si>
  <si>
    <t>Mendes Junior y Asociados</t>
  </si>
  <si>
    <t>033_RITP1+33_3_3</t>
  </si>
  <si>
    <t>Consorcio Autopista Interportuaria</t>
  </si>
  <si>
    <t>034_60RU1+34_1_1</t>
  </si>
  <si>
    <t>Autopista Los Andes SA</t>
  </si>
  <si>
    <t>035_ARAT1+35_5_1</t>
  </si>
  <si>
    <t>Concesiones Aeroportuarias</t>
  </si>
  <si>
    <t>035_ARAT1+35_5_2</t>
  </si>
  <si>
    <t>035_ARAT1+35_5_3</t>
  </si>
  <si>
    <t>Consorcio A Port Chile - Icafal - Odinsa</t>
  </si>
  <si>
    <t>035_ARAT1+35_5_4</t>
  </si>
  <si>
    <t>Arauco - Claro Vicuña Valenzuela - Con Pax - Trebol - Agua Santa</t>
  </si>
  <si>
    <t>035_ARAT1+35_5_5</t>
  </si>
  <si>
    <t>Consorcio de la Araucanía</t>
  </si>
  <si>
    <t>036_PP2G1+36_3_1</t>
  </si>
  <si>
    <t>036_PP2G1+36_3_2</t>
  </si>
  <si>
    <t>Vinci Construction Grands Projets</t>
  </si>
  <si>
    <t>037_ACNO1+37_1_1</t>
  </si>
  <si>
    <t>Itinere Chile SA</t>
  </si>
  <si>
    <t>038_PBCH1+38_1_1</t>
  </si>
  <si>
    <t>Consorcio Puente Bicentenario</t>
  </si>
  <si>
    <t>039_PP3G1+39_3_1</t>
  </si>
  <si>
    <t>039_PP3G1+39_3_2</t>
  </si>
  <si>
    <t>Grupo Cabo de Hornos</t>
  </si>
  <si>
    <t>039_PP3G1+39_3_3</t>
  </si>
  <si>
    <t xml:space="preserve"> Andes Investments (Chile) Limitada</t>
  </si>
  <si>
    <t>039_PP3G1+39_3_4</t>
  </si>
  <si>
    <t>Empresa Constructora Tecsa S.A.</t>
  </si>
  <si>
    <t>039_PP3G1+39_3_5</t>
  </si>
  <si>
    <t>Felipe Montt Fuenzalida</t>
  </si>
  <si>
    <t>040_EIMQ1+40_1_1</t>
  </si>
  <si>
    <t>Estaciones Metropolitanas: Acsa Agbar Construcción SA y Alsa Chile SA</t>
  </si>
  <si>
    <t>041_EIMC1+41_1_1</t>
  </si>
  <si>
    <t>042_ACHA1+42_2_1</t>
  </si>
  <si>
    <t>Azvi Chile SA</t>
  </si>
  <si>
    <t>042_ACHA1+42_2_2</t>
  </si>
  <si>
    <t>Consorcio Icafal - Tecsa - AAC - Senarco - Cosalco</t>
  </si>
  <si>
    <t>043_CSJS1+43_3_1</t>
  </si>
  <si>
    <t>Obrascon Huarte Lain S.A.</t>
  </si>
  <si>
    <t>043_CSJS1+43_3_2</t>
  </si>
  <si>
    <t>Las Americas Asministradoa de Fondos de Invesión SA</t>
  </si>
  <si>
    <t>043_CSJS1+43_3_3</t>
  </si>
  <si>
    <t>Inmobiliaria Socovesa Santiago SA</t>
  </si>
  <si>
    <t>044_PCIS1+44_2_1</t>
  </si>
  <si>
    <t>044_PCIS1+44_2_2</t>
  </si>
  <si>
    <t>Consorcio Brotec, Echeverría, Izquierdo y Otros SA</t>
  </si>
  <si>
    <t>045_ETPO1+45_1_1</t>
  </si>
  <si>
    <t>Consorcio Arena Bicentenario</t>
  </si>
  <si>
    <t>046_ECVI1+46_1_1</t>
  </si>
  <si>
    <t>Consorcio Belfi Besalco Brotec</t>
  </si>
  <si>
    <t>047_PTLA1+47_3_1</t>
  </si>
  <si>
    <t>Terminal Los Andes SA, SC</t>
  </si>
  <si>
    <t>047_PTLA1+47_3_2</t>
  </si>
  <si>
    <t>AZVI Chile SA</t>
  </si>
  <si>
    <t>047_PTLA1+47_3_3</t>
  </si>
  <si>
    <t>Gestión de Infraestructura Concesionada - GICSA</t>
  </si>
  <si>
    <t>048_VVSK1+48_2_1</t>
  </si>
  <si>
    <t>Autopista San Cristobal</t>
  </si>
  <si>
    <t>048_VVSK1+48_2_2</t>
  </si>
  <si>
    <t>San Cristobal Express</t>
  </si>
  <si>
    <t>049_CVSR1+49_3_1</t>
  </si>
  <si>
    <t>Consorcio Belfi - BCF</t>
  </si>
  <si>
    <t>049_CVSR1+49_3_2</t>
  </si>
  <si>
    <t>Concesiones Urbanas</t>
  </si>
  <si>
    <t>049_CVSR1+49_3_3</t>
  </si>
  <si>
    <t>Concesionaria Suiza - Icafal</t>
  </si>
  <si>
    <t>050_ETTT1+50_2_1</t>
  </si>
  <si>
    <t>Consorcio Infraestructura de Santiago SA</t>
  </si>
  <si>
    <t>050_ETTT1+50_2_2</t>
  </si>
  <si>
    <t>Conseciones Urbanas</t>
  </si>
  <si>
    <t>051_CTSR1+51_4_1</t>
  </si>
  <si>
    <t>051_CTSR1+51_4_2</t>
  </si>
  <si>
    <t>051_CTSR1+51_4_3</t>
  </si>
  <si>
    <t>Besalco Concesiones SA</t>
  </si>
  <si>
    <t>051_CTSR1+51_4_4</t>
  </si>
  <si>
    <t>Consorcio Santa Rosa</t>
  </si>
  <si>
    <t>052_160R1+52_6_1</t>
  </si>
  <si>
    <t>Acciona Concesiones Ruta 160</t>
  </si>
  <si>
    <t>052_160R1+52_6_2</t>
  </si>
  <si>
    <t>Azvi Chile SA Agencia en Chile</t>
  </si>
  <si>
    <t>052_160R1+52_6_3</t>
  </si>
  <si>
    <t>Consorcio BELFI-Besalco-SIEMEL</t>
  </si>
  <si>
    <t>052_160R1+52_6_4</t>
  </si>
  <si>
    <t>Concesiones Viarias Chile SA</t>
  </si>
  <si>
    <t>052_160R1+52_6_5</t>
  </si>
  <si>
    <t>OHL Concesiones Chile SA-OHL Concesiones SL</t>
  </si>
  <si>
    <t>052_160R1+52_6_6</t>
  </si>
  <si>
    <t>Consorcio Skanska - ICC</t>
  </si>
  <si>
    <t>053_ADAI2+53_6_1</t>
  </si>
  <si>
    <t>Arrigoni-Sifón-Tecsa</t>
  </si>
  <si>
    <t>053_ADAI2+53_6_2</t>
  </si>
  <si>
    <t>Consorcio ACC-Icafal-Vecta</t>
  </si>
  <si>
    <t>053_ADAI2+53_6_3</t>
  </si>
  <si>
    <t>053_ADAI2+53_6_4</t>
  </si>
  <si>
    <t>OHL Concesiones SL</t>
  </si>
  <si>
    <t>053_ADAI2+53_6_5</t>
  </si>
  <si>
    <t>053_ADAI2+53_6_6</t>
  </si>
  <si>
    <t>Consorcio Aeroportuario Agunsa-SAAM</t>
  </si>
  <si>
    <t>054_ATEP2+54_7_1</t>
  </si>
  <si>
    <t>054_ATEP2+54_7_2</t>
  </si>
  <si>
    <t>054_ATEP2+54_7_3</t>
  </si>
  <si>
    <t>054_ATEP2+54_7_4</t>
  </si>
  <si>
    <t>054_ATEP2+54_7_5</t>
  </si>
  <si>
    <t>054_ATEP2+54_7_6</t>
  </si>
  <si>
    <t>054_ATEP2+54_7_7</t>
  </si>
  <si>
    <t>Arauco - Claro Vicuña Valenzuela - Con Pax</t>
  </si>
  <si>
    <t>055_60GR1+55_3_1</t>
  </si>
  <si>
    <t>Comsa de Chile SA</t>
  </si>
  <si>
    <t>055_60GR1+55_3_2</t>
  </si>
  <si>
    <t>055_60GR1+55_3_3</t>
  </si>
  <si>
    <t>Icafal Ingeniería y Construcción SA</t>
  </si>
  <si>
    <t>056_VCAL1+56_6_1</t>
  </si>
  <si>
    <t>Consorcio Ruta del Desierto</t>
  </si>
  <si>
    <t>056_VCAL1+56_6_2</t>
  </si>
  <si>
    <t>Consorcio OHL</t>
  </si>
  <si>
    <t>056_VCAL1+56_6_3</t>
  </si>
  <si>
    <t>Consorcio Skanska</t>
  </si>
  <si>
    <t>056_VCAL1+56_6_4</t>
  </si>
  <si>
    <t>056_VCAL1+56_6_5</t>
  </si>
  <si>
    <t>Consorcio Azvi Comsa</t>
  </si>
  <si>
    <t>056_VCAL1+56_6_6</t>
  </si>
  <si>
    <t>057_CMVR1+57_5_1</t>
  </si>
  <si>
    <t>Consorcio Schiappacasse Custodia, Proponente</t>
  </si>
  <si>
    <t>057_CMVR1+57_5_2</t>
  </si>
  <si>
    <t>Grupo CONPAX Concesiones, Arauco y Claro Vicuña Valenzuela</t>
  </si>
  <si>
    <t>057_CMVR1+57_5_3</t>
  </si>
  <si>
    <t>IAB Inmobiliaria SA</t>
  </si>
  <si>
    <t>057_CMVR1+57_5_4</t>
  </si>
  <si>
    <t>SC Central Metropolitana de Vehículos SA</t>
  </si>
  <si>
    <t>057_CMVR1+57_5_5</t>
  </si>
  <si>
    <t>Inversiones y Servicios INSER SA</t>
  </si>
  <si>
    <t>058_AVAM2+58_5_1</t>
  </si>
  <si>
    <t>058_AVAM2+58_5_2</t>
  </si>
  <si>
    <t>058_AVAM2+58_5_3</t>
  </si>
  <si>
    <t>Besalco Concesiones SA e Inversiones El Tranque Ltda.</t>
  </si>
  <si>
    <t>058_AVAM2+58_5_4</t>
  </si>
  <si>
    <t>Concesiones Viarias Chile SA y Hochtief PPP Solutions Chile Ltda.</t>
  </si>
  <si>
    <t>058_AVAM2+58_5_5</t>
  </si>
  <si>
    <t>Autopistas do Pacífico</t>
  </si>
  <si>
    <t>Conceisón de Hospital de Maipú y Hospital de La Florida</t>
  </si>
  <si>
    <t>059_HSMF1+59_4_1</t>
  </si>
  <si>
    <t>Consorcio San José-Tecnocontrol</t>
  </si>
  <si>
    <t>059_HSMF1+59_4_2</t>
  </si>
  <si>
    <t>Consorcio Abengoa Chile - Begar - Inabensa</t>
  </si>
  <si>
    <t>059_HSMF1+59_4_3</t>
  </si>
  <si>
    <t>Acciona Concesiones Hospitalarias Chile</t>
  </si>
  <si>
    <t>059_HSMF1+59_4_4</t>
  </si>
  <si>
    <t>Consorcio Franco Italiano Dalkia-Inso</t>
  </si>
  <si>
    <t>060_66RF1+60_2_1</t>
  </si>
  <si>
    <t>Consorcio Vial Chile</t>
  </si>
  <si>
    <t>060_66RF1+60_2_2</t>
  </si>
  <si>
    <t>Concesiones Viarias Chile Tres SA</t>
  </si>
  <si>
    <t>061_PMPA1+61_3_1</t>
  </si>
  <si>
    <t>Sacyr Concesiones Chile SA</t>
  </si>
  <si>
    <t>061_PMPA1+61_3_2</t>
  </si>
  <si>
    <t>061_PMPA1+61_3_3</t>
  </si>
  <si>
    <t>Consorcio Viarias Chile SA</t>
  </si>
  <si>
    <t>062_NARA1+62_5_1</t>
  </si>
  <si>
    <t>062_NARA1+62_5_2</t>
  </si>
  <si>
    <t>062_NARA1+62_5_3</t>
  </si>
  <si>
    <t>062_NARA1+62_5_4</t>
  </si>
  <si>
    <t>062_NARA1+62_5_5</t>
  </si>
  <si>
    <t>063_ACIP2+63_5_1</t>
  </si>
  <si>
    <t>Consorcio A Port Chile - Icafal</t>
  </si>
  <si>
    <t>063_ACIP2+63_5_2</t>
  </si>
  <si>
    <t>Agencias Universales SA</t>
  </si>
  <si>
    <t>063_ACIP2+63_5_3</t>
  </si>
  <si>
    <t>Consorcio Arrigoni - Sifon - Tecsa</t>
  </si>
  <si>
    <t>063_ACIP2+63_5_4</t>
  </si>
  <si>
    <t>063_ACIP2+63_5_5</t>
  </si>
  <si>
    <t>Consorcio Aires Australes</t>
  </si>
  <si>
    <t>064_PP2G2+64_1_1</t>
  </si>
  <si>
    <t>Sodexho Chile SA</t>
  </si>
  <si>
    <t>065_AURA1+65_4_1</t>
  </si>
  <si>
    <t>Consorcio Azvi - Copasa</t>
  </si>
  <si>
    <t>065_AURA1+65_4_2</t>
  </si>
  <si>
    <t>065_AURA1+65_4_3</t>
  </si>
  <si>
    <t>065_AURA1+65_4_4</t>
  </si>
  <si>
    <t>Skanska Inversora en Infraestructura SA</t>
  </si>
  <si>
    <t>066_ALOA2+66_5_1</t>
  </si>
  <si>
    <t>066_ALOA2+66_5_2</t>
  </si>
  <si>
    <t>066_ALOA2+66_5_3</t>
  </si>
  <si>
    <t>Echeverría Izquierda SA</t>
  </si>
  <si>
    <t>066_ALOA2+66_5_4</t>
  </si>
  <si>
    <t>066_ALOA2+66_5_5</t>
  </si>
  <si>
    <t>067_ACIQ1+67_5_1</t>
  </si>
  <si>
    <t>Grupo Licitante Belfi - Brotec Acceso Iquique</t>
  </si>
  <si>
    <t>067_ACIQ1+67_5_2</t>
  </si>
  <si>
    <t>Nuevos Accesos a Iquique</t>
  </si>
  <si>
    <t>067_ACIQ1+67_5_3</t>
  </si>
  <si>
    <t>Grupo Licitante Concesiones Viarias Chile Tres SA - Besalco Concesiones SA</t>
  </si>
  <si>
    <t>067_ACIQ1+67_5_4</t>
  </si>
  <si>
    <t>067_ACIQ1+67_5_5</t>
  </si>
  <si>
    <t>Rutas Iquique</t>
  </si>
  <si>
    <t>068_COCA1+68_3_1</t>
  </si>
  <si>
    <t>OHL Concesiones</t>
  </si>
  <si>
    <t>068_COCA1+68_3_2</t>
  </si>
  <si>
    <t>Consorcio CBB</t>
  </si>
  <si>
    <t>068_COCA1+68_3_3</t>
  </si>
  <si>
    <t>069_ACMA2+69_8_1</t>
  </si>
  <si>
    <t>069_ACMA2+69_8_2</t>
  </si>
  <si>
    <t>Claro Vicuña Valenzuela - Con Pax</t>
  </si>
  <si>
    <t>069_ACMA2+69_8_3</t>
  </si>
  <si>
    <t>Consorcio A Port Chile - IDC</t>
  </si>
  <si>
    <t>069_ACMA2+69_8_4</t>
  </si>
  <si>
    <t>Echeverría Izquierdo SA</t>
  </si>
  <si>
    <t>069_ACMA2+69_8_5</t>
  </si>
  <si>
    <t>069_ACMA2+69_8_6</t>
  </si>
  <si>
    <t>Icafal Inversiones SA</t>
  </si>
  <si>
    <t>069_ACMA2+69_8_7</t>
  </si>
  <si>
    <t>OHL Concesiones SA</t>
  </si>
  <si>
    <t>069_ACMA2+69_8_8</t>
  </si>
  <si>
    <t>Besalco Arrigoni</t>
  </si>
  <si>
    <t>070_43RU1+70_3_1</t>
  </si>
  <si>
    <t>Consorcio Redes Viales BD Chile</t>
  </si>
  <si>
    <t>070_43RU1+70_3_2</t>
  </si>
  <si>
    <t>Consorcio BIB Concesión Vial Coquimbo</t>
  </si>
  <si>
    <t>070_43RU1+70_3_3</t>
  </si>
  <si>
    <t>Sacyr Concesiones</t>
  </si>
  <si>
    <t>071_VALS1+71_4_1</t>
  </si>
  <si>
    <t>Ruta Elqui Huasco</t>
  </si>
  <si>
    <t>071_VALS1+71_4_2</t>
  </si>
  <si>
    <t>071_VALS1+71_4_3</t>
  </si>
  <si>
    <t>071_VALS1+71_4_4</t>
  </si>
  <si>
    <t>072_RLOA1+72_3_2</t>
  </si>
  <si>
    <t>Consorcio Vial Anto-Andino</t>
  </si>
  <si>
    <t>072_RLOA1+72_3_3</t>
  </si>
  <si>
    <t>073_ADAI3+73_3_1</t>
  </si>
  <si>
    <t>073_ADAI3+73_3_2</t>
  </si>
  <si>
    <t>073_ADAI3+73_3_3</t>
  </si>
  <si>
    <t>074_ALFS2+74_5_1</t>
  </si>
  <si>
    <t>074_ALFS2+74_5_2</t>
  </si>
  <si>
    <t>074_ALFS2+74_5_3</t>
  </si>
  <si>
    <t>074_ALFS2+74_5_4</t>
  </si>
  <si>
    <t>074_ALFS2+74_5_5</t>
  </si>
  <si>
    <t>075_HSAN1+75_6_1</t>
  </si>
  <si>
    <t>ASTALDI CONCESSIONI S.R.L. AGENCIA CHILE</t>
  </si>
  <si>
    <t>075_HSAN1+75_6_2</t>
  </si>
  <si>
    <t>INFRAESTRUCTURAS DE SALUD ANTOFAGASTA</t>
  </si>
  <si>
    <t>075_HSAN1+75_6_3</t>
  </si>
  <si>
    <t>CONSORCIO HOSPITALARIO ANTO - ANDINO</t>
  </si>
  <si>
    <t>075_HSAN1+75_6_4</t>
  </si>
  <si>
    <t>ANTOFAGASTA SALUD</t>
  </si>
  <si>
    <t>075_HSAN1+75_6_5</t>
  </si>
  <si>
    <t>FESSA</t>
  </si>
  <si>
    <t>075_HSAN1+75_6_6</t>
  </si>
  <si>
    <t>CONSORCIO SALUD SIGLO XXI</t>
  </si>
  <si>
    <t>076_NPIB1+76_3_1</t>
  </si>
  <si>
    <t>Consorcio BCVC</t>
  </si>
  <si>
    <t>076_NPIB1+76_3_2</t>
  </si>
  <si>
    <t>076_NPIB1+76_3_3</t>
  </si>
  <si>
    <t>OHL Concesiones Chile SA</t>
  </si>
  <si>
    <t>077_CFLL1+77_3_1</t>
  </si>
  <si>
    <t>Consorcio Complejo Fronterizo Los Libertadores</t>
  </si>
  <si>
    <t>077_CFLL1+77_3_2</t>
  </si>
  <si>
    <t>Los Libertadores</t>
  </si>
  <si>
    <t>077_CFLL1+77_3_3</t>
  </si>
  <si>
    <t>078_1AVO1+78_2_1</t>
  </si>
  <si>
    <t>078_1AVO1+78_2_2</t>
  </si>
  <si>
    <t>Cintra Infraestructura SA</t>
  </si>
  <si>
    <t>079_ATEP3+79_5_1</t>
  </si>
  <si>
    <t>079_ATEP3+79_5_2</t>
  </si>
  <si>
    <t>079_ATEP3+79_5_3</t>
  </si>
  <si>
    <t>079_ATEP3+79_5_4</t>
  </si>
  <si>
    <t>Remavesa SA</t>
  </si>
  <si>
    <t>079_ATEP3+79_5_5</t>
  </si>
  <si>
    <t>080_HSSG1+80_4_1</t>
  </si>
  <si>
    <t>CONSORCIO DE SALUD SANTIAGO ORIENTE</t>
  </si>
  <si>
    <t>080_HSSG1+80_4_2</t>
  </si>
  <si>
    <t>Sacyr CONCESIONES CHILE S.A.</t>
  </si>
  <si>
    <t>080_HSSG1+80_4_3</t>
  </si>
  <si>
    <t>CONSORCIO ABENGOA CHILE INABENSA TEYMA</t>
  </si>
  <si>
    <t>080_HSSG1+80_4_4</t>
  </si>
  <si>
    <t>CONSORCIO HOSPITALES SALUD</t>
  </si>
  <si>
    <t>081_HSFB1+81_3_1</t>
  </si>
  <si>
    <t>081_HSFB1+81_3_2</t>
  </si>
  <si>
    <t>081_HSFB1+81_3_3</t>
  </si>
  <si>
    <t>082_AAMB2+82_5_1</t>
  </si>
  <si>
    <t>Grupo Pudahuel</t>
  </si>
  <si>
    <t>082_AAMB2+82_5_2</t>
  </si>
  <si>
    <t>Grupo Aeropuerto de Stgo.</t>
  </si>
  <si>
    <t>082_AAMB2+82_5_3</t>
  </si>
  <si>
    <t>Consorcio AMB</t>
  </si>
  <si>
    <t>082_AAMB2+82_5_4</t>
  </si>
  <si>
    <t>Nuevo Pudahuel</t>
  </si>
  <si>
    <t>082_AAMB2+82_5_5</t>
  </si>
  <si>
    <t>Consorcio Aeroportuario AMB</t>
  </si>
  <si>
    <t>083_EPUN1+83_1_1</t>
  </si>
  <si>
    <t>Astaldi Concessioni S.R.L.</t>
  </si>
  <si>
    <t>084_TEME2+84_7_1</t>
  </si>
  <si>
    <t>Licitante Sacyr-Concesiones Chile SpA</t>
  </si>
  <si>
    <t>084_TEME2+84_7_2</t>
  </si>
  <si>
    <t>Licitante OHL Concesiones Chile S.A.</t>
  </si>
  <si>
    <t>084_TEME2+84_7_3</t>
  </si>
  <si>
    <t>Grupo Licitante FCC-OSSA</t>
  </si>
  <si>
    <t>084_TEME2+84_7_4</t>
  </si>
  <si>
    <t>Belfi-Conpax-Aura</t>
  </si>
  <si>
    <t>084_TEME2+84_7_5</t>
  </si>
  <si>
    <t>Consorcio Túneles al Norte</t>
  </si>
  <si>
    <t>084_TEME2+84_7_6</t>
  </si>
  <si>
    <t>Arauco-Echeverría Izquierdo</t>
  </si>
  <si>
    <t>084_TEME2+84_7_7</t>
  </si>
  <si>
    <t>Highways Investment Chile Spa</t>
  </si>
  <si>
    <t>085_CNPU2+85_4_1</t>
  </si>
  <si>
    <t>Consorcio BBI</t>
  </si>
  <si>
    <t>085_CNPU2+85_4_2</t>
  </si>
  <si>
    <t>Nueva Concesión Nogales-Puchuncaví</t>
  </si>
  <si>
    <t>085_CNPU2+85_4_3</t>
  </si>
  <si>
    <t>Sacyr Concesiones Chile SpA</t>
  </si>
  <si>
    <t>085_CNPU2+85_4_4</t>
  </si>
  <si>
    <t>OHL Concesiones Chile S.A.</t>
  </si>
  <si>
    <t>086_ACSU2+86_2_1</t>
  </si>
  <si>
    <t>Icafal Inversiones S.A.</t>
  </si>
  <si>
    <t>086_ACSU2+86_2_2</t>
  </si>
  <si>
    <t>Consorcio Aeropuertos Asociados</t>
  </si>
  <si>
    <t>087_ADAI4+87_3_1</t>
  </si>
  <si>
    <t>087_ADAI4+87_3_2</t>
  </si>
  <si>
    <t>087_ADAI4+87_3_3</t>
  </si>
  <si>
    <t>088_2AVO1+88_5_1</t>
  </si>
  <si>
    <t>Grupo Costanera SpA</t>
  </si>
  <si>
    <t>088_2AVO1+88_5_2</t>
  </si>
  <si>
    <t>Consorcio Vespucio Oriente</t>
  </si>
  <si>
    <t>088_2AVO1+88_5_3</t>
  </si>
  <si>
    <t>China Harbour Engneering Company Ltda.</t>
  </si>
  <si>
    <t>088_2AVO1+88_5_4</t>
  </si>
  <si>
    <t>Cintra Infraestructura SE</t>
  </si>
  <si>
    <t>088_2AVO1+88_5_5</t>
  </si>
  <si>
    <t>Vespucio Oriente Express</t>
  </si>
  <si>
    <t>089_RNAH1+89_1_1</t>
  </si>
  <si>
    <t>Consorcio BB</t>
  </si>
  <si>
    <t>090_RLOA2+90_3_1</t>
  </si>
  <si>
    <t>090_RLOA2+90_3_2</t>
  </si>
  <si>
    <t>Intervial Chile SA</t>
  </si>
  <si>
    <t>090_RLOA2+90_3_3</t>
  </si>
  <si>
    <t>Consorcio Sacyr</t>
  </si>
  <si>
    <t>091_TELB1+91_1_1</t>
  </si>
  <si>
    <t>Consorcio Teleférico Bicentenario</t>
  </si>
  <si>
    <t>092_ELPA1+92_5_1</t>
  </si>
  <si>
    <t xml:space="preserve">Conpax-Belfi-Icafal </t>
  </si>
  <si>
    <t>092_ELPA1+92_5_2</t>
  </si>
  <si>
    <t>Consorcio BME</t>
  </si>
  <si>
    <t>092_ELPA1+92_5_3</t>
  </si>
  <si>
    <t>092_ELPA1+92_5_4</t>
  </si>
  <si>
    <t>Acciona Concesiones Chile Limitada</t>
  </si>
  <si>
    <t>092_ELPA1+92_5_5</t>
  </si>
  <si>
    <t>China Harbour Engneering Company LTD.</t>
  </si>
  <si>
    <t>093_67CV1+93_1_1</t>
  </si>
  <si>
    <t>094_66RF2+94_1_1</t>
  </si>
  <si>
    <t>095_ATEP4+95_2_1</t>
  </si>
  <si>
    <t>Consorcio Sacyr - Agunsa</t>
  </si>
  <si>
    <t>095_ATEP4+95_2_2</t>
  </si>
  <si>
    <t>Consorcio Belfi -Icafal</t>
  </si>
  <si>
    <t>097_21RG1+97_2_1</t>
  </si>
  <si>
    <t>Consorcio Conpax-Icafal</t>
  </si>
  <si>
    <t>097_21RG1+97_2_2</t>
  </si>
  <si>
    <t>098_LVLS2+98_1_1</t>
  </si>
  <si>
    <t>099_ACHA2+99_4_1</t>
  </si>
  <si>
    <t>Aport S.A.</t>
  </si>
  <si>
    <t>099_ACHA2+99_4_2</t>
  </si>
  <si>
    <t>si</t>
  </si>
  <si>
    <t>099_ACHA2+99_4_3</t>
  </si>
  <si>
    <t>Empresa Constructora Belfi S.A.</t>
  </si>
  <si>
    <t>099_ACHA2+99_4_4</t>
  </si>
  <si>
    <t>Segunda concesión Red Aeroportuaria Austral</t>
  </si>
  <si>
    <t>100_RAUS1+100_1_1</t>
  </si>
  <si>
    <t>Consorcio Austral de Aeropuertos</t>
  </si>
  <si>
    <t>101_TACH2+101_3_1</t>
  </si>
  <si>
    <t>Consorcio CRCC</t>
  </si>
  <si>
    <t>101_TACH2+101_3_2</t>
  </si>
  <si>
    <t>101_TACH2+101_3_3</t>
  </si>
  <si>
    <t>Consorcio Cintra Intervial</t>
  </si>
  <si>
    <t>102_ALFS3+102_1_1</t>
  </si>
  <si>
    <t>Consorcio Aeropuerto IV Región</t>
  </si>
  <si>
    <t>103_HRMA1+103_4_1</t>
  </si>
  <si>
    <t>ACCIONA CONCESIONES</t>
  </si>
  <si>
    <t>103_HRMA1+103_4_2</t>
  </si>
  <si>
    <t>103_HRMA1+103_4_3</t>
  </si>
  <si>
    <t>CONSORCIO IBEROASIÁTICO</t>
  </si>
  <si>
    <t>103_HRMA1+103_4_4</t>
  </si>
  <si>
    <t>OBRASCÓN HUARTE LAIN S.A.</t>
  </si>
  <si>
    <t>104_HBUP1+104_6_1</t>
  </si>
  <si>
    <t>INVERSIONES HOSPITALES MAULE</t>
  </si>
  <si>
    <t>104_HBUP1+104_6_2</t>
  </si>
  <si>
    <t>104_HBUP1+104_6_3</t>
  </si>
  <si>
    <t>104_HBUP1+104_6_4</t>
  </si>
  <si>
    <t>OBRASCÓN HUARTE LAIN, S.A.</t>
  </si>
  <si>
    <t>104_HBUP1+104_6_5</t>
  </si>
  <si>
    <t>Constructora y Edificadora GIA+A, S.A.</t>
  </si>
  <si>
    <t>104_HBUP1+104_6_6</t>
  </si>
  <si>
    <t>Empresa Constructora Moller y Pérez Cotapos S.A.</t>
  </si>
  <si>
    <t>105_HRBB1+105_5_1</t>
  </si>
  <si>
    <t>Obrascón Huarte Lain, SA.</t>
  </si>
  <si>
    <t>105_HRBB1+105_5_2</t>
  </si>
  <si>
    <t>Constructora y edificadora GIA+A SA</t>
  </si>
  <si>
    <t>105_HRBB1+105_5_3</t>
  </si>
  <si>
    <t>105_HRBB1+105_5_4</t>
  </si>
  <si>
    <t>Acciona concesiones hospitalarias</t>
  </si>
  <si>
    <t>105_HRBB1+105_5_5</t>
  </si>
  <si>
    <t>Constructora San José S.A.</t>
  </si>
  <si>
    <t>106_HRRL1+106_2_1</t>
  </si>
  <si>
    <t>Consorcio iberoasiático</t>
  </si>
  <si>
    <t>106_HRRL1+106_2_2</t>
  </si>
  <si>
    <t>Constructora y edificadora GIA+A SA de capital variable</t>
  </si>
  <si>
    <t>107_SASA2+107_7_1</t>
  </si>
  <si>
    <t>Sacyr concesiones Chile Spa</t>
  </si>
  <si>
    <t xml:space="preserve">Si </t>
  </si>
  <si>
    <t>107_SASA2+107_7_2</t>
  </si>
  <si>
    <t xml:space="preserve">Consorcio rutas del Sol </t>
  </si>
  <si>
    <t>107_SASA2+107_7_3</t>
  </si>
  <si>
    <t>Aleática SA</t>
  </si>
  <si>
    <t>107_SASA2+107_7_4</t>
  </si>
  <si>
    <t>Consorcio Cintra –Intervial</t>
  </si>
  <si>
    <t>107_SASA2+107_7_5</t>
  </si>
  <si>
    <t>Acciona concesiones ruta 78</t>
  </si>
  <si>
    <t>107_SASA2+107_7_6</t>
  </si>
  <si>
    <t>Grupo costanera Spa</t>
  </si>
  <si>
    <t>107_SASA2+107_7_7</t>
  </si>
  <si>
    <t>108_HRQS1+108_2_1</t>
  </si>
  <si>
    <t>Obrascón Huarte Lain,S.A. Agencia en Chile</t>
  </si>
  <si>
    <t>108_HRQS1+108_2_2</t>
  </si>
  <si>
    <t>Acciona Concesiones Hospitalarias</t>
  </si>
  <si>
    <t>113_INAC1+110_2_1</t>
  </si>
  <si>
    <t>Obrascón Huarte SA Agencia en Chile</t>
  </si>
  <si>
    <t>113_INAC1+110_2_2</t>
  </si>
  <si>
    <t>Grupo CRCC Chile</t>
  </si>
  <si>
    <t>115_CHCO2+115_3_1</t>
  </si>
  <si>
    <t>115_CHCO2+115_3_2</t>
  </si>
  <si>
    <t xml:space="preserve">Intervial Chile S.A. </t>
  </si>
  <si>
    <t>115_CHCO2+115_3_3</t>
  </si>
  <si>
    <t>China Railway Construction Corporation (International) Limited</t>
  </si>
  <si>
    <t>117_HINN1+117_1_1</t>
  </si>
  <si>
    <t>112_ALOA3+112_2_1</t>
  </si>
  <si>
    <t>Consorcio Sacyr-Agunsa</t>
  </si>
  <si>
    <t>109_AVAM3+109_1_1</t>
  </si>
  <si>
    <t>Grupo Costanera Spa</t>
  </si>
  <si>
    <t>110_HRQQ1+110_4_1</t>
  </si>
  <si>
    <t>110_HRQQ1+110_4_2</t>
  </si>
  <si>
    <t>110_HRQQ1+110_4_3</t>
  </si>
  <si>
    <t>110_HRQQ1+110_4_4</t>
  </si>
  <si>
    <t>114_HROG1+114_1_1</t>
  </si>
  <si>
    <t>119_ORSS1+119_3_1</t>
  </si>
  <si>
    <t>Intervial Chile</t>
  </si>
  <si>
    <t>119_ORSS1+119_3_2</t>
  </si>
  <si>
    <t>Concesiones Chile Holdings III</t>
  </si>
  <si>
    <t>119_ORSS1+119_3_3</t>
  </si>
  <si>
    <t>Grupo Costanera</t>
  </si>
  <si>
    <t>125_ARNO1+125_1_1</t>
  </si>
  <si>
    <t>Consorcio Sacyr-Cointer</t>
  </si>
  <si>
    <t>126_PP4T1+126_1_1</t>
  </si>
  <si>
    <t>Constructora San José, Agencia en Chile</t>
  </si>
  <si>
    <t>120_SALV2+120_2_1</t>
  </si>
  <si>
    <t>Vías Chile</t>
  </si>
  <si>
    <t>120_SALV2+120_2_2</t>
  </si>
  <si>
    <t>Sacyr Concesiones Chile Spa</t>
  </si>
  <si>
    <t>121_ANCO2+121_4_1</t>
  </si>
  <si>
    <t>Intervial Shile SA</t>
  </si>
  <si>
    <t>121_ANCO2+121_4_2</t>
  </si>
  <si>
    <t>Inversiones en infraestrutura Chile SpA</t>
  </si>
  <si>
    <t>121_ANCO2+121_4_3</t>
  </si>
  <si>
    <t>Vías Chile SA</t>
  </si>
  <si>
    <t>121_ANCO2+121_4_4</t>
  </si>
  <si>
    <t>118_ISVV2+118_2_1</t>
  </si>
  <si>
    <t>122_NARA2+122_1_1</t>
  </si>
  <si>
    <t>Belfi- Icafal</t>
  </si>
  <si>
    <t>124_TERB2+124_2_1</t>
  </si>
  <si>
    <t>Grupos Costanera SPA</t>
  </si>
  <si>
    <t>124_TERB2+124_2_2</t>
  </si>
  <si>
    <t>130_EPCO1+130_1_1</t>
  </si>
  <si>
    <t xml:space="preserve">Constructora San José S.A., Agencia en Chile </t>
  </si>
  <si>
    <t>La concesión Red Aeroporturia Norte contempla dos nuevas concesiones: La 3ra del Aeropuerto Andrés Sabella de Antofagasta y la 2da del Aeropuerto Regional de Atacama</t>
  </si>
  <si>
    <t>Sitio Web DGC</t>
  </si>
  <si>
    <t>Revisar</t>
  </si>
  <si>
    <t>Planta Desaladora para la Región de Coquimbo</t>
  </si>
  <si>
    <t>Ruta Pie de Monte</t>
  </si>
  <si>
    <t>Ruta 5 Tramo Chacao - Chonchi</t>
  </si>
  <si>
    <t>Segunda Concesión Ruta 5 Tramo Río Bueno - Puerto Montt</t>
  </si>
  <si>
    <t>La concesión Embalse Nueva La Punilla no está considerado en la BD. Por alguna razón aparece como finalizado en la página de la DGC cuando ni siquiera se ha adjudicado</t>
  </si>
  <si>
    <t>Autopista Santiago - San Antonio, Ruta 78</t>
  </si>
  <si>
    <t>Primera concesión Autopista Santiago - San Antonio, Ruta 78</t>
  </si>
  <si>
    <t>Obras como el Puente Bicentenario de Chiloe, no estan en la web de la DGC.</t>
  </si>
  <si>
    <t>La segunda concesión Nogales Puchuncavi, además del mejoramiento de la ruta principal, añadió dos variantes.</t>
  </si>
  <si>
    <t>aux</t>
  </si>
  <si>
    <t>XXX_RBPM2</t>
  </si>
  <si>
    <t>Shapes</t>
  </si>
  <si>
    <t>Aux</t>
  </si>
  <si>
    <t>Max</t>
  </si>
  <si>
    <t>Planta desaladora para la Región de Coquimbo</t>
  </si>
  <si>
    <t>XXX_PDRC1</t>
  </si>
  <si>
    <t>1</t>
  </si>
  <si>
    <t>187</t>
  </si>
  <si>
    <t>2</t>
  </si>
  <si>
    <t>3</t>
  </si>
  <si>
    <t>4</t>
  </si>
  <si>
    <t>5;6</t>
  </si>
  <si>
    <t>7</t>
  </si>
  <si>
    <t>8;9</t>
  </si>
  <si>
    <t>10</t>
  </si>
  <si>
    <t>11</t>
  </si>
  <si>
    <t>12;13</t>
  </si>
  <si>
    <t>14</t>
  </si>
  <si>
    <t>15;16</t>
  </si>
  <si>
    <t>17</t>
  </si>
  <si>
    <t>18</t>
  </si>
  <si>
    <t>19</t>
  </si>
  <si>
    <t>20</t>
  </si>
  <si>
    <t>21;22;23;24</t>
  </si>
  <si>
    <t>25</t>
  </si>
  <si>
    <t>26</t>
  </si>
  <si>
    <t>27</t>
  </si>
  <si>
    <t>28</t>
  </si>
  <si>
    <t>31</t>
  </si>
  <si>
    <t>32</t>
  </si>
  <si>
    <t>20;32</t>
  </si>
  <si>
    <t>33</t>
  </si>
  <si>
    <t>29;31</t>
  </si>
  <si>
    <t>34</t>
  </si>
  <si>
    <t>35</t>
  </si>
  <si>
    <t>36</t>
  </si>
  <si>
    <t>37</t>
  </si>
  <si>
    <t>38</t>
  </si>
  <si>
    <t>42</t>
  </si>
  <si>
    <t>38;39;41</t>
  </si>
  <si>
    <t>43</t>
  </si>
  <si>
    <t>44</t>
  </si>
  <si>
    <t>45</t>
  </si>
  <si>
    <t>46;47;48</t>
  </si>
  <si>
    <t>49</t>
  </si>
  <si>
    <t>50</t>
  </si>
  <si>
    <t>51;52</t>
  </si>
  <si>
    <t>53</t>
  </si>
  <si>
    <t>54</t>
  </si>
  <si>
    <t>55</t>
  </si>
  <si>
    <t>56</t>
  </si>
  <si>
    <t>57</t>
  </si>
  <si>
    <t>58</t>
  </si>
  <si>
    <t>59</t>
  </si>
  <si>
    <t>60</t>
  </si>
  <si>
    <t>61;62;63;64;65;66;67;68;69;71;72;73;74;75;76;77;78;79;81;82;83;84;85;86;87;88;89;91;92;93;94;95;96;97;98</t>
  </si>
  <si>
    <t>99</t>
  </si>
  <si>
    <t>100</t>
  </si>
  <si>
    <t>101;102;103;104</t>
  </si>
  <si>
    <t>105;106;107</t>
  </si>
  <si>
    <t>108;109</t>
  </si>
  <si>
    <t>110</t>
  </si>
  <si>
    <t>111</t>
  </si>
  <si>
    <t>112;113;114;115</t>
  </si>
  <si>
    <t>116</t>
  </si>
  <si>
    <t>117</t>
  </si>
  <si>
    <t>118;119</t>
  </si>
  <si>
    <t>120</t>
  </si>
  <si>
    <t>121</t>
  </si>
  <si>
    <t>122</t>
  </si>
  <si>
    <t>123</t>
  </si>
  <si>
    <t>124</t>
  </si>
  <si>
    <t>125</t>
  </si>
  <si>
    <t>126</t>
  </si>
  <si>
    <t>175</t>
  </si>
  <si>
    <t>127;128</t>
  </si>
  <si>
    <t>176;177;178</t>
  </si>
  <si>
    <t>179;181</t>
  </si>
  <si>
    <t>182;183;184</t>
  </si>
  <si>
    <t>185</t>
  </si>
  <si>
    <t>186</t>
  </si>
  <si>
    <t>129;19</t>
  </si>
  <si>
    <t>131;132</t>
  </si>
  <si>
    <t>133</t>
  </si>
  <si>
    <t>134</t>
  </si>
  <si>
    <t>135;136</t>
  </si>
  <si>
    <t>137;138;139;141;142;143</t>
  </si>
  <si>
    <t>144</t>
  </si>
  <si>
    <t>145;146;147</t>
  </si>
  <si>
    <t>148;149</t>
  </si>
  <si>
    <t>151;152;153;154</t>
  </si>
  <si>
    <t>155;156</t>
  </si>
  <si>
    <t>157;158</t>
  </si>
  <si>
    <t>159</t>
  </si>
  <si>
    <t>160</t>
  </si>
  <si>
    <t>162</t>
  </si>
  <si>
    <t>163</t>
  </si>
  <si>
    <t>164</t>
  </si>
  <si>
    <t>165;166;167;168</t>
  </si>
  <si>
    <t>169;171;172;173;174</t>
  </si>
  <si>
    <t>XXX_RPMO1</t>
  </si>
  <si>
    <t>Aeropuerto Chacalluta de Arica</t>
  </si>
  <si>
    <t>Ruta del Itata</t>
  </si>
  <si>
    <t>Américo Vespucio Oriente, Tramo Av. El Salto - Príncipe de Gales</t>
  </si>
  <si>
    <t>Mejoramiento Ruta G-21</t>
  </si>
  <si>
    <t>Américo Vespucio Oriente, Tramo Av. Príncipe de Gales - Los Presidentes</t>
  </si>
  <si>
    <t>Mejoramiento y conservación de la Ruta 43 de la Región de Coquimbo</t>
  </si>
  <si>
    <t>Autopistas de la Región de Antofagasta</t>
  </si>
  <si>
    <t>Aeropuerto La Florida de La Serena</t>
  </si>
  <si>
    <t>Nuevo Aeropuerto Regional de Atacama</t>
  </si>
  <si>
    <t>Ruta 5 Tramo Chillán - Collipulli</t>
  </si>
  <si>
    <t xml:space="preserve">Autopista Concepción - Cabrero </t>
  </si>
  <si>
    <t>Ruta 5 Tramo Collipulli - Temuco</t>
  </si>
  <si>
    <t>Ruta 5 Tramo Los Vilos - La Serena</t>
  </si>
  <si>
    <t>Embalse Convento Viejo II Etapa</t>
  </si>
  <si>
    <t>Embalse Illapel</t>
  </si>
  <si>
    <t>Embalse Las Palmas</t>
  </si>
  <si>
    <t>Nuevo establecimiento penitenciario de Copiapó</t>
  </si>
  <si>
    <t>Embalse La Punilla</t>
  </si>
  <si>
    <t>Hospital de Buin Paine</t>
  </si>
  <si>
    <t>Red Biobío: Hospital Santa Bárbara, Hospital de Nacimiento, Hospital de Coronel y Hospital de Lota</t>
  </si>
  <si>
    <t>Red Maule:  Hospital Cauquenes, Hospital de Constitución y Hospital de Parral</t>
  </si>
  <si>
    <t>Red O'Higgins: Hospital de Rengo y Hospital de Pichilemu</t>
  </si>
  <si>
    <t>Hospital de Coquimbo</t>
  </si>
  <si>
    <t>Hospital de La Serena</t>
  </si>
  <si>
    <t>Red Los Ríos-Los Lagos</t>
  </si>
  <si>
    <t>Instituto Nacional del Cáncer</t>
  </si>
  <si>
    <t>Ruta 5 Tramo Los Vilos – La Serena</t>
  </si>
  <si>
    <t>Puente Industrial</t>
  </si>
  <si>
    <t>Ruta 5 Tramo Río Bueno - Puerto Montt</t>
  </si>
  <si>
    <t>Ruta 5 Tramo Puerto Montt - Pargua</t>
  </si>
  <si>
    <t>Programa de Concesiones de Infraestructura Penitenciaria, Grupo 3</t>
  </si>
  <si>
    <t>Red Aeroportuaria Austral</t>
  </si>
  <si>
    <t>Rutas del Loa</t>
  </si>
  <si>
    <t>Ruta 5 Tramo Santiago - Los Vilos</t>
  </si>
  <si>
    <t>Ruta 5 Tramo Santiago - Talca y Acceso Sur a Santiago</t>
  </si>
  <si>
    <t>Sistema Oriente - Poniente</t>
  </si>
  <si>
    <t>Ruta 5 Tramo Talca - Chillán</t>
  </si>
  <si>
    <t>Teleférico Bicentenario</t>
  </si>
  <si>
    <t>Ruta 5 Tramo Temuco - Río Bueno</t>
  </si>
  <si>
    <t>Segunda Concesión Ruta 5 Tramo Temuco - Río Bueno</t>
  </si>
  <si>
    <t>Ruta 5 Tramo La Serena - Vallenar</t>
  </si>
  <si>
    <t>Ruta 5 Tramo Vallenar - Caldera</t>
  </si>
  <si>
    <t>streetview</t>
  </si>
  <si>
    <t>https://www.google.com/maps/embed?pb=!4v1785283585828!6m8!1m7!1s20BCqV-EOvWBmVTwswXMrQ!2m2!1d-32.61811778474448!2d-71.22931129306323!3f330.5117709771579!4f-8.06135341617177!5f0.7820865974627469</t>
  </si>
  <si>
    <t>https://www.google.com/maps/embed?pb=!4v1785285335812!6m8!1m7!1soJnziCqD_8PXFeaagV9Hdw!2m2!1d-37.32559402006441!2d-73.29328068536594!3f221.61285992040317!4f-5.796473675989418!5f0.7820865974627469</t>
  </si>
  <si>
    <t>https://www.google.com/maps/embed?pb=!4v1785285521779!6m8!1m7!1sXzkZpJWXOmsoG7zC6zbcBQ!2m2!1d-33.39050050801918!2d-70.60431768680888!3f233.50224000419246!4f0.5053603487983196!5f0.5082050155148539</t>
  </si>
  <si>
    <t>https://www.google.com/maps/embed?pb=!4v1785285777442!6m8!1m7!1szqlUoOJhY3StrcbTh7zLIw!2m2!1d-30.13618511871525!2d-71.22909520698978!3f156.1504396754161!4f-0.054600542371815664!5f0.7820865974627469</t>
  </si>
  <si>
    <t>https://www.google.com/maps/embed?pb=!4v1785285963490!6m8!1m7!1ssfwgjQbAJOz9WzKDSlGA5A!2m2!1d-33.75938366741146!2d-71.23482570696129!3f38.710607391076906!4f-5.066115333094032!5f0.7820865974627469</t>
  </si>
  <si>
    <t>https://www.google.com/maps/embed?pb=!4v1785286037393!6m8!1m7!1suTzf6BIKnbrSQSD7Pk5BbA!2m2!1d-32.80907816537668!2d-70.92375082589824!3f45.270988914669346!4f-1.6655021873636144!5f0.7820865974627469</t>
  </si>
  <si>
    <t>https://www.google.com/maps/embed?pb=!4v1785286120343!6m8!1m7!1sjEoOA31Dc-3Rj-8nmoIUVw!2m2!1d-34.06734182172545!2d-71.36683395895622!3f168.0046528187875!4f-1.2905443962804526!5f0.7820865974627469</t>
  </si>
  <si>
    <t>https://www.google.com/maps/embed?pb=!4v1785286251647!6m8!1m7!1s1aaMVIZzGyBY1dnc7DaHcw!2m2!1d-20.26083849874912!2d-70.03386979536246!3f200.38391921001812!4f-3.9969951923617657!5f0.7820865974627469</t>
  </si>
  <si>
    <t>https://www.google.com/maps/embed?pb=!4v1785286330694!6m8!1m7!1sszX8fAEXrRMa3zB3-T1bhw!2m2!1d-33.31207032281502!2d-70.65050532654125!3f112.46069538385784!4f2.037033717414971!5f0.7820865974627469</t>
  </si>
  <si>
    <t>https://www.google.com/maps/embed?pb=!4v1785286404030!6m8!1m7!1sqHZW3gYmLF4VCIGTfPjhzg!2m2!1d-36.65327881345259!2d-72.4279205293022!3f55.40858398408112!4f-0.2642350994423168!5f0.7820865974627469</t>
  </si>
  <si>
    <t>https://www.google.com/maps/embed?pb=!4v1785288132986!6m8!1m7!1sCDF-t26y7H62mUieiHJDWw!2m2!1d-18.34958681251418!2d-70.33525618435634!3f326.32318528900606!4f6.879629010340125!5f0.7820865974627469</t>
  </si>
  <si>
    <t>https://www.google.com/maps/embed?pb=!4v1785288271477!6m8!1m7!1sfUiKkKHd-Ghu6lgAVwoPkA!2m2!1d-18.34950887593706!2d-70.33532883821316!3f333.1185764722373!4f-4.3879259808882125!5f0.7820865974627469</t>
  </si>
  <si>
    <t>https://www.google.com/maps/embed?pb=!4v1785288788341!6m8!1m7!1s7TV558cbLc7VmXdUWzQ-nQ!2m2!1d-36.77728992931906!2d-73.06053490339305!3f75.33233412569366!4f-1.6181881493233874!5f0.7820865974627469</t>
  </si>
  <si>
    <t>https://www.google.com/maps/embed?pb=!4v1785288833540!6m8!1m7!1s_JoHKWpzuVkOZv5-laeW1A!2m2!1d-36.77747764253254!2d-73.06058128880079!3f42.34327637973716!4f-1.2206193163364247!5f0.7820865974627469</t>
  </si>
  <si>
    <t>https://www.google.com/maps/embed?pb=!4v1785289251637!6m8!1m7!1siZ_Cc4rgjDdUSkKO2pnp5g!2m2!1d-20.54631459157731!2d-70.1778640005833!3f219.08149553873756!4f6.692883431763079!5f0.7071141048142802</t>
  </si>
  <si>
    <t>https://www.google.com/maps/embed?pb=!4v1785289376514!6m8!1m7!1stROQT0gLOgEgjqMrtaxa_Q!2m2!1d-20.54730347770245!2d-70.17798990710968!3f241.32073687212875!4f0.4013124812893807!5f0.7820865974627469</t>
  </si>
  <si>
    <t>https://www.google.com/maps/embed?pb=!4v1785289603096!6m8!1m7!1sXNtRhdir38Wj-AiqajC3pQ!2m2!1d-22.49493414479877!2d-68.90858113066156!3f202.78833232309853!4f-4.1049154122937495!5f0.7820865974627469</t>
  </si>
  <si>
    <t>https://www.google.com/maps/embed?pb=!4v1785289636511!6m8!1m7!1sjOQd2WQCzwI9fODANtasSg!2m2!1d-22.49490036105452!2d-68.90835872569598!3f111.1657325733429!4f2.6466407450393064!5f0.7820865974627469</t>
  </si>
  <si>
    <t>https://www.google.com/maps/embed?pb=!4v1785290150295!6m8!1m7!1sicThNaSV4Im5zlPp8Z8EwA!2m2!1d-36.8134299744532!2d-73.13195268530824!3f185.4989004980487!4f5.353377164855985!5f0.7820865974627469</t>
  </si>
  <si>
    <t>Proyecto</t>
  </si>
  <si>
    <t>Institucion mandante</t>
  </si>
  <si>
    <t>Fuente  de inf</t>
  </si>
  <si>
    <t xml:space="preserve">Inversion (USD) </t>
  </si>
  <si>
    <t>Descripcion</t>
  </si>
  <si>
    <t>Extension Tren Limache - Puerto a Quillota y La Calera</t>
  </si>
  <si>
    <t>EFE</t>
  </si>
  <si>
    <t>https://www.efe.cl/proyectos/</t>
  </si>
  <si>
    <t>Nuevo Servicio Tren Chillan - Estacion Central</t>
  </si>
  <si>
    <t>Mejoramiento ramal Tren - Talca-Constitucion</t>
  </si>
  <si>
    <t>Puente Biobio</t>
  </si>
  <si>
    <t>Tren Batuco - Quinta Normal</t>
  </si>
  <si>
    <t>Tren Melipilla - Estacion Central</t>
  </si>
  <si>
    <t>Tren Puerto Montt - Llanquihue</t>
  </si>
  <si>
    <t>-</t>
  </si>
  <si>
    <t>Plataforma Logistica Ferroportuaria</t>
  </si>
  <si>
    <t>La primera fase de este proyecto corresponde a la modernización del Patio Barrancas ubicado en el costado del terminal portuario de San Antonio y la construcción de desvíos ferroviarios fuera del recinto. La iniciativa, denominada Terminal Intermodal Barrancas permitirá quintuplicar la capacidad de carga movilizada por tren en ese puerto, pasando de 50 mil TEU´s a 250 mil TEU´s por año, con servicios disponibles para todos los concesionarios del puerto. Asimismo, permitirá el tránsito de trenes de mayor longitud, pasando de 400 a 600 metros</t>
  </si>
  <si>
    <t>Nuevo medio de pago</t>
  </si>
  <si>
    <t>Este proyecto considera la modernización del sistema de pago de todos los servicios existentes en el país, correspondientes a las tres filiales con operaciones de pasajeros (EFE Valparaíso, EFE Central y EFE Sur). Contempla el uso de la nueva tarjeta Conecta, válida para cualquiera de los servicios de EFE, con lo que se integra el sistema de cobro, pudiendo utilizarse este medio de pago también en otros sistemas de transporte público. La primera etapa comenzó a implementarse en la Región del Biobío, con la habilitación de la nueva tarjeta, el reemplazo de los validadores, la reparación de torniquetes, la instalación de nuevas máquinas de autoatención en estaciones y el sistema de recarga a través de la aplicación de EFE o por página web. La siguiente etapa correspondió a su habilitación en los servicios de EFE Valparaíso. La tercera fase incorporó el uso de QR, además de tarjeta de crédito y débito (EMV) para pago directo en validadores tanto en Valparaíso como en Concepción. La última etapa, implementada en febrero de 2026 comenzó a operar en el servicio San Fernando- Rancagua-Alameda de EFE Central.</t>
  </si>
  <si>
    <t>Estacion Valencia</t>
  </si>
  <si>
    <t>Cumpliendo con un anhelo transversal de los vecinos de Quilpué, en enero de 2026 se inauguró la Estación Valencia para el servicio de tren Limache-Puerto. En el marco del mismo proyecto, iniciado en 2023, se instaló un paradero de buses para facilitar la conexión a los vecinos de distintos sectores, lo que permite la combinación con el tren en la estación.</t>
  </si>
  <si>
    <t>Nuevos trenes para reforazar servicio Rancagua - Estacion Central</t>
  </si>
  <si>
    <t>Con el propósito de atender la creciente demanda de pasajeros en el servicio Rancagua-Estación Central, EFE realizó durante el mes de diciembre de 2022 la compra de 3 nuevos trenes para reforzar los servicios. Durante 2023, este servicio movilizó un total de 7,1 millones de pasajeros, lo que representa un incremento de 115% en relación con 2021, y de 173% si se compara con 2019, año pre pandemia. Los trenes fueron probados y 2 se encuentran habilitados, poniéndose en servicio en la ruta hasta San Fernando. Gracias a esto, los habitantes de San Fernando pueden usar trenes nuevos después de más de 40 años.</t>
  </si>
  <si>
    <t>Extension de Biotren Coronel - Lota</t>
  </si>
  <si>
    <t>El sistema de transporte en el Gran Concepción ha enfrentado numerosas dificultades a raíz del crecimiento de los sectores habitacionales y la limitada capacidad de traslado por la vialidad existente (Ruta 160) y el deficiente sistema de transporte público (microbuses). A raíz de esta situación, los servicios del Biotren han incrementado considerablemente sus flujos, llegando a 11,7 millones de pasajeros en 2024. De ese total, el 85% corresponde a la Línea 2 que une Coronel y Concepción. Este proyecto, considera la extensión de la Línea 2 hasta Lota, con una inversión de US$ 155 MM, la compra de 6 nuevos trenes y la habilitación de 5 nuevas estaciones (Coronel Sur, Playa Blanca, Cousiño, Chiflón y Lota). Actualmente, el proyecto alcanza un 27% de avance, lo que considera la implementación de medidas de Participación Ciudadana Temprana para el Estudio de Impacto Ambiental.</t>
  </si>
  <si>
    <t>Paradas de Cajon y Padre Las Casas</t>
  </si>
  <si>
    <t>Con el objetivo de mejorar la conectividad de los habitantes de la Región de La Araucanía, se desarrollaron dos proyectos destinados a: Ampliar el servicio Victoria Temuco hacia Padre Las Casas con la instalación de una nueva parada en esa comuna, inaugurada en abril de 2025. En diciembre de 2023, se habilitó una parada en la localidad de Cajón, en la comuna de Vilcún, en un trayecto que realiza el servicio Victoria-Temuco, pero debido a la falta de infraestrutura el tren no se podía detener.</t>
  </si>
  <si>
    <t>Mejoramiento de estaciones Region de O'Higgins</t>
  </si>
  <si>
    <t>Financiacion GORE</t>
  </si>
  <si>
    <t>En el marco del convenio suscrito con la Gobernación Regional de O’Higgins en agosto de 2022 y con el apoyo de la Dirección Regional de Arquitectura del MOP se realizó un primer proceso de licitación para la recuperación arquitectónica de dos primeras estaciones, correspondientes a Requínoa y Rosario, a cargo de la empresa Calfrío, con el financiamiento es del Gobierno Regional.</t>
  </si>
  <si>
    <t>Ampliacion de Capacidad de Biotren</t>
  </si>
  <si>
    <t>La ampliación de capacidad tiene por objetivo aumentar la oferta de servicios ferroviarios en el tramo Concepción-Coronel. El proyecto considera la compra de 10 nuevos trenes, el refuerzo de la alimentación de tracción existente (doble hilo de contacto en catenarias), extensión de los andenes en las 14 estaciones del trazado, como también la modificación de los sistemas ferroviarios, la construcción de un nuevo taller de mantenimiento en Escuadrón y la construcción de una subestación eléctrica rectificadora (SER). El objetivo es duplicar la capacidad de viajes, con la operación de trenes dobles. A través de soluciones modulares en una primera fase (durante primer trimestre de 2027) y de andenes definitivos en una etapa siguiente (hacia 2028), se generará un aumento de oferta de transporte de 40% (en hora punta mañana, durante la primera fase) y de 100% en horas punta mañana y tarde en la segunda fase), minimizando la posibilidad de que los pasajeros queden abajo del tren y deban esperar el siguiente.</t>
  </si>
  <si>
    <t>Adquisicion de 2 nuevos trenes de respaldo para Biotren</t>
  </si>
  <si>
    <t>Para fortalecer la resiliencia de las operaciones de Biotren, se dispuso la compra de dos nuevos trenes destinados a complementar la disponibilidad de material rodante en la Línea 2 de Biotren.</t>
  </si>
  <si>
    <t>Ampliacion de capacidad de operaciones EFE Valparaiso</t>
  </si>
  <si>
    <t>Este proyecto considera la adquisición de 5 nuevos trenes para robustecer el funcionamiento del servicio Limache Puerto, que anualmente mueve más de 20 millones de pasajeros.</t>
  </si>
  <si>
    <t>Adquisicion de 8 locomotoras para tareas de mantenimiento</t>
  </si>
  <si>
    <t>Con el objetivo de reforzar la flota para labores de mantenimiento y traslado de materiales, EFE lleva adelante un proceso de licitación destinado a adquirir 8 locomotoras nuevas, que complementarán la labor desarrollada por las actualmente disponibles que tienen más de 60 años de funcionamiento.</t>
  </si>
  <si>
    <t>Servicio Temuco - Gorbea</t>
  </si>
  <si>
    <t>El nuevo servicio ferroviario entre Temuco y Gorbea considera la rehabilitación completa de la vía férrea, la adquisición de 4 nuevos trenes; la rehabilitación de la estación de Gorbea, además de la construcción de 3 nuevos paraderos (2 en Temuco y 1 en Freire). Asimismo, contempla la habilitación y mejoramiento de 50 pasos peatonales y la automatización de 13 pasos vehiculares. Además, incorpora la ampliación del taller de mantenimiento de Victoria. El tiempo de traslado será de 44 minutos y el estándar de la vía será Clase C para 100 kilómetros/hora. En diciembre de 2025 se iniciaron las obras de rehabilitación de vías, mientars que durante el segundo semestre de 2026 se estima la llegada de cuatro nuevos trenes, actualmente en proceso de fabricación.</t>
  </si>
  <si>
    <t>Construccion Servicio Ferroviario Biotren Hacia el Norte de Concepcion (Biotren a Penco)</t>
  </si>
  <si>
    <t>En factibilidad</t>
  </si>
  <si>
    <t>El proyecto consiste en la extensión en 19,5 km del servicio Biotren desde la comuna de Concepción hacia la comuna de Penco, hasta el sector de Lirquén. Esta extensión se realizará por la actual vía ferroviaria que utilizan los trenes de carga para ir hacia y desde el Puerto Lirquén</t>
  </si>
  <si>
    <t>max</t>
  </si>
  <si>
    <t>1;2;3</t>
  </si>
  <si>
    <t>25;26</t>
  </si>
  <si>
    <t>27;28;29</t>
  </si>
  <si>
    <t>30;31;32;33;34;22</t>
  </si>
  <si>
    <t>36;37</t>
  </si>
  <si>
    <t>39;40</t>
  </si>
  <si>
    <t>43;44</t>
  </si>
  <si>
    <t>region</t>
  </si>
  <si>
    <t>38;45</t>
  </si>
  <si>
    <t>Ñuble;Maule;O'Higgins;Metropolitana</t>
  </si>
  <si>
    <t>Biobio</t>
  </si>
  <si>
    <t>Nacional</t>
  </si>
  <si>
    <t>O'Higgins;Metropolitana</t>
  </si>
  <si>
    <t>O'Higgins</t>
  </si>
  <si>
    <t>47;48;49;50;51;52</t>
  </si>
  <si>
    <t>42;53</t>
  </si>
  <si>
    <t>23;9;54</t>
  </si>
  <si>
    <t>56;53</t>
  </si>
  <si>
    <t>57;58</t>
  </si>
  <si>
    <t>4;5;6;7;8;9;10;11;12;13;14;15;16;17;18;19;20;21;22;46;59;60</t>
  </si>
  <si>
    <t>55;11;14;15;16;17;18;19;20;21;22;46;60</t>
  </si>
  <si>
    <t>El proyecto de extensión ferroviaria desde Limache a Quillota, La Cruz, La Calera, representa la inversión ferroviaria más importante en la Región de Valparaíso, con una inversión estimada de 811 millones de dólares. El trazado contempla 26 kilómetros de vías -doble vía exclusiva para de pasajeros y una vía para carga-, 7 estaciones en total (actual estación Limache, 5 estaciones nuevas y recuperación de la antigua Estación La Calera) , pasos vehiculares y peatonales desnivelados, así como la adquisición de 15 nuevos trenes. Todas las estaciones consideran estándares de accesibilidad universal y eficiencia energética. El desarrollo de esta infraestructura permitirá extender las ventajas en conectividad del tren a una población beneficiaria de 1.118.449 personas. En concreto, la operación del servicio permitirá importantes ahorros en tiempos de viaje y mayor seguridad en los desplazamientos de los pasajeros. Al mismo tiempo reportará impactos positivos para toda la comunidad gracias a la reducción de emisiones contaminantes, mejoramiento de la seguridad de los cruces vehiculares y peatonales, y disminución de la congestión vial, entre otros factores que contribuyen a tener mejores ciudades para las personas.</t>
  </si>
  <si>
    <t>El proyecto, que considera una inversión que alcanza los 40 millones de dólares, incluye cuatro áreas de trabajo: adquisición de nuevos buscarriles; construcción de un nuevo centro de mantenimiento para el material rodante; rehabilitación de la vía y reparación y recuperación de estaciones y paraderos, ámbito en el que EFE Trenes de Chile cuenta con el apoyo del Gobierno regional del Maule. </t>
  </si>
  <si>
    <t>El proyecto consideró la construcción de un viaducto de 1,8 kilómetroscondos vías electrificadas para uso mixto de trenes de carga y pasajeros. La estructura se fundó sobre pilotes de entre 28 y 46 metros de profundidad e incorpora sistemas de evacuación de aguas lluvia, iluminación, confinamiento de la faja vía y diseño arquitectónico. También incluye pantallas acústicas a la salida del túnel, mejoras paisajísticas y el rediseño del patio de maniobras de la boca sur. Asimismo, se construyó un nuevo túnel en el Cerro Chepe, excavado en roca, de 325 metros de longitud y con dos vías férreas, que además contempla obras de paisajismo en sus accesos.</t>
  </si>
  <si>
    <t>El Tren Santiago – Batuco es una de las iniciativas más emblemáticas del Plan Nacional de Desarrollo Ferroviario, con una inversión total estimada de US$ 950 millones, que busca mejorar la conectividad del transporte público en el norponiente de la Región Metropolitana. El proyecto permitirá fortalecer la movilidad entre las comunas de Lampa, Quilicura, Renca, Quinta Normal y Santiago, beneficiando directamente a cerca de un millón de habitantes y contribuyendo al desarrollo de un sistema de transporte público moderno, seguro y sustentable. De las ocho estaciones contempladas, seis se construyen en superficie, las que estarán ubicadas en las comunas de Renca, Quilicura y Lampa, cumpliendo con altos estándares de accesibilidad universal y seguridad. La conectividad que ofrece el proyecto permitirá una importante integración con el sistema de transporte público de Santiago, conectando los servicios con las líneas 3, 5 y 7 del Metro de Santiago.
La ejecución del proyecto destaca, además, la construcción de 7 puentes ferroviarios, incluido el Puente Mapocho, 12 pasos peatonales desnivelados, asegurando cruces seguros; además de pasos vehiculares desnivelados (3 superiores y 2 inferiores).</t>
  </si>
  <si>
    <t>La iniciativa, que permitirá ahorros de hasta más de 2 horas diarias de tiempo de viaje, considera 11 estaciones en un trayecto de 61 kilómetros de extensión, con tres vías hasta Malloco (dos de pasajeros y una de carga) y dos hasta Melipilla (una de pasajeros y una de carga), junto con conexión con líneas 1 y 6 de Metro. Se estima que el nuevo trazado tendrá una demanda aproximada de 57 millones de pasajeros por año para un área de influencia de más de un millón 100 mil habitantes</t>
  </si>
  <si>
    <t xml:space="preserve">El tren Llanquihue – Puerto Montt, inaugurado el 29 de abril del 2025 es un proyecto de cercanías 30/30, que tiene como objetivo habilitar un servicio ferroviario piloto con la infraestructura existente y abarca una longitud de 27 kilómetros y que une a tres comunas de la Región de Los Lagos, beneficiando a 308.000 habitantes. El proyecto contempla la utilización de dos trenes regulares y cuatro detenciones, en las localidades de Llanquihue, Puerto Varas, Alerce y La Paloma, permitiendo realizar el trayecto de punta a punta en tan sólo 40 minutos. A su vez, contempla intermodalidad que permite llegar hasta el centro cívico de Puerto Montt a través de una tarifa integrada.
</t>
  </si>
  <si>
    <t>EFE Sur</t>
  </si>
  <si>
    <t>EFE Central</t>
  </si>
  <si>
    <t>EFE Valparaíso</t>
  </si>
  <si>
    <t>Filial</t>
  </si>
  <si>
    <t>El proyecto contemplaba la construcción y operación de un puente sobre el canal Chacao que conectara la isla de Chiloé con Chile continental. El contrato se extinguió anticipadamente en 2007 tras dos años de vigencia, no llegando a materializarse la obra. En la actualidad se encuentra en construcción el nuevo proyecto del Puente Chacao, a cargo de la Dirección de Vialidad del Ministerio de Obras Públicas.</t>
  </si>
  <si>
    <t>El proyecto considera la construcción y operación de una Planta Desaladora de agua de mar ubicada en el sector del Panul, junto con sus respectivas obras de conducción de agua para la Región de Coquimbo, la cual tiene por objetivo el abastecimiento de agua potable para el consumo humano de las comunas de Coquimbo y La Serena, con potencial expansión hacia otros sistemas. La iniciativa plantea un servicio de desalinización de agua de mar mediante el sistema de osmósis inversa, con una capacidad de producción estimada de 1.200 litros/segundo, incluyendo además las obras del sistema de captación para la alimentación de la planta, emisario de descarga de salmuera, sistemas de prefiltración así como las obras para el sistema de conducción y bombeo a un estanque de distribución de agua potable de 8.000 m3, preliminarmente ubicado a cerca de 21 km de la planta. La obra beneficiará a una población estimada de 460.000 habitantes de las comunas de Coquimbo y La Serena.</t>
  </si>
  <si>
    <t>SACYR AGUA S.L.</t>
  </si>
  <si>
    <t>El proyecto corresponde al desarrollo de una vía alternativa a la actual Ruta 160, en el tramo entre las comunas de San Pedro de la Paz y Coronel, el que ha experimentado un gran crecimiento en los últimos años. La obra considera un trazado por el borde de los cerros, al oriente de la Ruta 160, que conectará por el norte con la Concesión Vial Puente Industrial, que se encuentra en etapa de construcción, y por el sur con la Concesión Ruta 160, Tramo Coronel – Tres Pinos. Entre los beneficios de la iniciativa destaca el mejoramiento de la conectividad en la Región del Biobío, gracias a la construcción de una ruta de alto estándar, con sistema de pórticos de telepeaje y una velocidad de desplazamiento prevista en 120 km/hora.</t>
  </si>
  <si>
    <t xml:space="preserve">SACYR CONCESIONES SPA </t>
  </si>
  <si>
    <t>La obra corresponde al mejoramiento de la Ruta 5 en la provincia de Chiloé en una extensión de 126 km y con un trazado que cruza por las comunas de Ancud, Dalcahue, Castro y Chonchi. El proyecto comienza en el acceso sur del futuro puente sobre el Canal de Chacao y concluye en la bifurcación del acceso norte a Chonchi, considerando además la operación y mantención de aproximadamente 16 kilómetros de camino con perfil de una calzada bidireccional, correspondientes al Bypass Castro. Entre los beneficios de la obra se encuentra disminuir los tiempos de viaje y aumentar la seguridad en el trazado, con ello se prevé que se favorecerá el intercambio comercial, productivo y de servicios en la zona.</t>
  </si>
  <si>
    <t>GRUPO COSTANERA SPA</t>
  </si>
  <si>
    <t>El proyecto corresponde al mejoramiento de la Ruta 5 entre las comunas de Río Bueno y Puerto Montt, con una longitud de 129,8 km aproximadamente. Se proyectan nuevas obras como terceras pistas en algunos sectores, nuevos enlaces y mejoramientos de los existentes, nuevos retornos y atraviesos, reemplazo de puentes existentes que alcanzaron su vida útil, rectificaciones geométricas del trazado, nuevas calles de servicio y ciclovías, reemplazo y nuevas pasarelas con sus respectivos paraderos y circuitos peatonales, iluminación, obras de seguridad vial con el remplazo de todas las barreras de contención para cumplir con las exigencias de la actual normativa, entre otras. La iniciativa considera también la rehabilitación de los pavimentos existentes y el reemplazo de los peajes manuales, para dar paso a un sistema de cobro del tipo telepeaje.</t>
  </si>
  <si>
    <t>INTERVIAL CHILE S.A.</t>
  </si>
  <si>
    <t>https://www.google.com/maps/embed?pb=!4v1786064085044!6m8!1m7!1s4STbpFzicvyp9eKxL-chnA!2m2!1d-27.63178747937239!2d-70.46071631954857!3f186.63886624916177!4f-2.7210265584033095!5f0.7820865974627469</t>
  </si>
  <si>
    <t>XXX_RTCC1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</si>
</sst>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164" formatCode="#,##0.0"/>
    <numFmt numFmtId="165" formatCode="0.0%"/>
  </numFmts>
  <fonts count="18" x14ac:knownFonts="1">
    <font>
      <sz val="11"/>
      <color theme="1"/>
      <name val="Aptos Narrow"/>
      <family val="2"/>
      <scheme val="minor"/>
    </font>
    <font>
      <sz val="11"/>
      <color theme="1"/>
      <name val="Aptos Narrow"/>
      <family val="2"/>
      <scheme val="minor"/>
    </font>
    <font>
      <sz val="11"/>
      <color rgb="FFFF0000"/>
      <name val="Aptos Narrow"/>
      <family val="2"/>
      <scheme val="minor"/>
    </font>
    <font>
      <u/>
      <sz val="11"/>
      <color theme="10"/>
      <name val="Aptos Narrow"/>
      <family val="2"/>
      <scheme val="minor"/>
    </font>
    <font>
      <sz val="10"/>
      <color indexed="8"/>
      <name val="Arial"/>
      <family val="2"/>
    </font>
    <font>
      <b/>
      <sz val="11"/>
      <name val="Calibri"/>
      <family val="2"/>
    </font>
    <font>
      <sz val="11"/>
      <name val="Aptos Narrow"/>
      <family val="2"/>
      <scheme val="minor"/>
    </font>
    <font>
      <u/>
      <sz val="11"/>
      <name val="Aptos Narrow"/>
      <family val="2"/>
      <scheme val="minor"/>
    </font>
    <font>
      <sz val="11"/>
      <name val="Calibri"/>
      <family val="2"/>
    </font>
    <font>
      <sz val="11"/>
      <color rgb="FFFF0000"/>
      <name val="Calibri"/>
      <family val="2"/>
    </font>
    <font>
      <sz val="11"/>
      <name val="Arial"/>
      <family val="2"/>
    </font>
    <font>
      <sz val="11"/>
      <color indexed="8"/>
      <name val="Calibri"/>
      <family val="2"/>
    </font>
    <font>
      <b/>
      <sz val="11"/>
      <color theme="1"/>
      <name val="Aptos Narrow"/>
      <family val="2"/>
      <scheme val="minor"/>
    </font>
    <font>
      <b/>
      <sz val="11"/>
      <name val="Aptos Narrow"/>
      <family val="2"/>
      <scheme val="minor"/>
    </font>
    <font>
      <sz val="11"/>
      <color rgb="FF000000"/>
      <name val="Aptos Narrow"/>
      <family val="2"/>
      <scheme val="minor"/>
    </font>
    <font>
      <sz val="10"/>
      <name val="Arial"/>
      <family val="2"/>
    </font>
    <font>
      <sz val="10"/>
      <color rgb="FF525252"/>
      <name val="Arial"/>
      <family val="2"/>
    </font>
    <font>
      <sz val="10"/>
      <color theme="0"/>
      <name val="Arial"/>
      <family val="2"/>
    </font>
  </fonts>
  <fills count="11">
    <fill>
      <patternFill patternType="none"/>
    </fill>
    <fill>
      <patternFill patternType="gray125"/>
    </fill>
    <fill>
      <patternFill patternType="solid">
        <fgColor theme="0" tint="-0.14999847407452621"/>
        <bgColor indexed="0"/>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bgColor indexed="64"/>
      </patternFill>
    </fill>
    <fill>
      <patternFill patternType="solid">
        <fgColor theme="4" tint="0.79998168889431442"/>
        <bgColor indexed="64"/>
      </patternFill>
    </fill>
  </fills>
  <borders count="9">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8"/>
      </left>
      <right style="thin">
        <color indexed="8"/>
      </right>
      <top/>
      <bottom style="thin">
        <color indexed="8"/>
      </bottom>
      <diagonal/>
    </border>
    <border>
      <left/>
      <right/>
      <top/>
      <bottom style="thin">
        <color theme="4" tint="0.39997558519241921"/>
      </bottom>
      <diagonal/>
    </border>
    <border>
      <left/>
      <right/>
      <top style="thin">
        <color theme="4" tint="0.39997558519241921"/>
      </top>
      <bottom/>
      <diagonal/>
    </border>
    <border>
      <left style="thin">
        <color indexed="22"/>
      </left>
      <right style="thin">
        <color indexed="22"/>
      </right>
      <top style="thin">
        <color indexed="22"/>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10">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41" fontId="1" fillId="0" borderId="0" applyFont="0" applyFill="0" applyBorder="0" applyAlignment="0" applyProtection="0"/>
  </cellStyleXfs>
  <cellXfs count="90">
    <xf numFmtId="0" fontId="0" fillId="0" borderId="0" xfId="0"/>
    <xf numFmtId="0" fontId="6" fillId="0" borderId="0" xfId="0" applyFont="1" applyAlignment="1">
      <alignment wrapText="1"/>
    </xf>
    <xf numFmtId="14" fontId="6" fillId="0" borderId="0" xfId="0" applyNumberFormat="1" applyFont="1" applyAlignment="1">
      <alignment wrapText="1"/>
    </xf>
    <xf numFmtId="3" fontId="6" fillId="0" borderId="0" xfId="0" applyNumberFormat="1" applyFont="1" applyAlignment="1">
      <alignment wrapText="1"/>
    </xf>
    <xf numFmtId="0" fontId="7" fillId="0" borderId="0" xfId="2" applyFont="1" applyFill="1" applyAlignment="1">
      <alignment wrapText="1"/>
    </xf>
    <xf numFmtId="3" fontId="8" fillId="0" borderId="1" xfId="3" applyNumberFormat="1" applyFont="1" applyBorder="1" applyAlignment="1">
      <alignment horizontal="right" wrapText="1"/>
    </xf>
    <xf numFmtId="9" fontId="8" fillId="0" borderId="1" xfId="1" applyFont="1" applyFill="1" applyBorder="1" applyAlignment="1">
      <alignment horizontal="right" wrapText="1"/>
    </xf>
    <xf numFmtId="3" fontId="7" fillId="0" borderId="0" xfId="2" applyNumberFormat="1" applyFont="1" applyFill="1" applyAlignment="1">
      <alignment wrapText="1"/>
    </xf>
    <xf numFmtId="3" fontId="9" fillId="0" borderId="1" xfId="3" applyNumberFormat="1" applyFont="1" applyBorder="1" applyAlignment="1">
      <alignment horizontal="right" wrapText="1"/>
    </xf>
    <xf numFmtId="164" fontId="9" fillId="0" borderId="1" xfId="3" applyNumberFormat="1" applyFont="1" applyBorder="1" applyAlignment="1">
      <alignment horizontal="right" wrapText="1"/>
    </xf>
    <xf numFmtId="0" fontId="7" fillId="0" borderId="0" xfId="2" applyFont="1" applyFill="1"/>
    <xf numFmtId="0" fontId="2" fillId="0" borderId="0" xfId="0" applyFont="1" applyAlignment="1">
      <alignment wrapText="1"/>
    </xf>
    <xf numFmtId="164" fontId="8" fillId="0" borderId="1" xfId="3" applyNumberFormat="1" applyFont="1" applyBorder="1" applyAlignment="1">
      <alignment horizontal="right" wrapText="1"/>
    </xf>
    <xf numFmtId="10" fontId="8" fillId="0" borderId="1" xfId="1" applyNumberFormat="1" applyFont="1" applyFill="1" applyBorder="1" applyAlignment="1">
      <alignment horizontal="right" wrapText="1"/>
    </xf>
    <xf numFmtId="4" fontId="9" fillId="0" borderId="1" xfId="3" applyNumberFormat="1" applyFont="1" applyBorder="1" applyAlignment="1">
      <alignment horizontal="right" wrapText="1"/>
    </xf>
    <xf numFmtId="165" fontId="8" fillId="0" borderId="1" xfId="1" applyNumberFormat="1" applyFont="1" applyFill="1" applyBorder="1" applyAlignment="1">
      <alignment horizontal="right" wrapText="1"/>
    </xf>
    <xf numFmtId="9" fontId="6" fillId="0" borderId="1" xfId="1" applyFont="1" applyFill="1" applyBorder="1" applyAlignment="1">
      <alignment wrapText="1"/>
    </xf>
    <xf numFmtId="9" fontId="8" fillId="0" borderId="0" xfId="1" applyFont="1" applyFill="1" applyBorder="1" applyAlignment="1">
      <alignment horizontal="right" wrapText="1"/>
    </xf>
    <xf numFmtId="0" fontId="10" fillId="0" borderId="0" xfId="0" applyFont="1" applyAlignment="1">
      <alignment wrapText="1"/>
    </xf>
    <xf numFmtId="0" fontId="8" fillId="0" borderId="0" xfId="4" applyFont="1" applyAlignment="1">
      <alignment wrapText="1"/>
    </xf>
    <xf numFmtId="0" fontId="8" fillId="0" borderId="0" xfId="3" applyFont="1" applyAlignment="1">
      <alignment wrapText="1"/>
    </xf>
    <xf numFmtId="0" fontId="6" fillId="0" borderId="1" xfId="0" applyFont="1" applyBorder="1" applyAlignment="1">
      <alignment wrapText="1"/>
    </xf>
    <xf numFmtId="3" fontId="6" fillId="0" borderId="1" xfId="0" applyNumberFormat="1" applyFont="1" applyBorder="1" applyAlignment="1">
      <alignment wrapText="1"/>
    </xf>
    <xf numFmtId="165" fontId="6" fillId="0" borderId="1" xfId="1" applyNumberFormat="1" applyFont="1" applyFill="1" applyBorder="1" applyAlignment="1">
      <alignment wrapText="1"/>
    </xf>
    <xf numFmtId="4" fontId="6" fillId="0" borderId="0" xfId="0" applyNumberFormat="1" applyFont="1" applyAlignment="1">
      <alignment wrapText="1"/>
    </xf>
    <xf numFmtId="0" fontId="10" fillId="0" borderId="0" xfId="0" applyFont="1"/>
    <xf numFmtId="3" fontId="10" fillId="0" borderId="0" xfId="0" applyNumberFormat="1" applyFont="1"/>
    <xf numFmtId="0" fontId="6" fillId="0" borderId="0" xfId="0" applyFont="1"/>
    <xf numFmtId="0" fontId="5" fillId="2" borderId="3" xfId="3" applyFont="1" applyFill="1" applyBorder="1" applyAlignment="1">
      <alignment horizontal="center" wrapText="1"/>
    </xf>
    <xf numFmtId="0" fontId="5" fillId="3" borderId="3" xfId="3" applyFont="1" applyFill="1" applyBorder="1" applyAlignment="1">
      <alignment horizontal="center" wrapText="1"/>
    </xf>
    <xf numFmtId="164" fontId="5" fillId="2" borderId="3" xfId="3" applyNumberFormat="1" applyFont="1" applyFill="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12" fillId="4" borderId="0" xfId="0" applyFont="1" applyFill="1"/>
    <xf numFmtId="0" fontId="12" fillId="4" borderId="0" xfId="0" applyFont="1" applyFill="1" applyAlignment="1">
      <alignment wrapText="1"/>
    </xf>
    <xf numFmtId="0" fontId="13" fillId="4" borderId="0" xfId="0" applyFont="1" applyFill="1"/>
    <xf numFmtId="0" fontId="0" fillId="0" borderId="0" xfId="0" applyAlignment="1">
      <alignment wrapText="1"/>
    </xf>
    <xf numFmtId="0" fontId="14" fillId="0" borderId="0" xfId="0" applyFont="1" applyAlignment="1">
      <alignment horizontal="left" vertical="center" wrapText="1"/>
    </xf>
    <xf numFmtId="0" fontId="0" fillId="0" borderId="0" xfId="0" applyAlignment="1">
      <alignment horizontal="left" vertical="center"/>
    </xf>
    <xf numFmtId="0" fontId="11" fillId="0" borderId="0" xfId="7" applyFont="1" applyAlignment="1">
      <alignment wrapText="1"/>
    </xf>
    <xf numFmtId="0" fontId="11" fillId="0" borderId="0" xfId="8" applyFont="1" applyAlignment="1">
      <alignment wrapText="1"/>
    </xf>
    <xf numFmtId="0" fontId="11" fillId="0" borderId="1" xfId="3" applyFont="1" applyBorder="1" applyAlignment="1">
      <alignment wrapText="1"/>
    </xf>
    <xf numFmtId="0" fontId="0" fillId="0" borderId="1" xfId="0" applyBorder="1" applyAlignment="1">
      <alignment wrapText="1"/>
    </xf>
    <xf numFmtId="0" fontId="11" fillId="0" borderId="0" xfId="6" applyFont="1" applyBorder="1" applyAlignment="1">
      <alignment wrapText="1"/>
    </xf>
    <xf numFmtId="0" fontId="8" fillId="0" borderId="0" xfId="6" applyFont="1" applyBorder="1" applyAlignment="1">
      <alignment wrapText="1"/>
    </xf>
    <xf numFmtId="3" fontId="8" fillId="0" borderId="0" xfId="3" applyNumberFormat="1" applyFont="1" applyBorder="1" applyAlignment="1">
      <alignment horizontal="right" wrapText="1"/>
    </xf>
    <xf numFmtId="4" fontId="0" fillId="0" borderId="1" xfId="0" applyNumberFormat="1" applyBorder="1"/>
    <xf numFmtId="3" fontId="3" fillId="0" borderId="0" xfId="2" applyNumberFormat="1" applyAlignment="1">
      <alignment wrapText="1"/>
    </xf>
    <xf numFmtId="0" fontId="12" fillId="5" borderId="4" xfId="0" applyFont="1" applyFill="1" applyBorder="1"/>
    <xf numFmtId="0" fontId="0" fillId="0" borderId="0" xfId="0" applyAlignment="1">
      <alignment horizontal="left" indent="1"/>
    </xf>
    <xf numFmtId="0" fontId="12" fillId="5" borderId="5" xfId="0" applyNumberFormat="1" applyFont="1" applyFill="1" applyBorder="1"/>
    <xf numFmtId="0" fontId="0" fillId="6" borderId="0" xfId="0" applyFill="1"/>
    <xf numFmtId="0" fontId="12" fillId="6" borderId="4" xfId="0" applyNumberFormat="1" applyFont="1" applyFill="1" applyBorder="1"/>
    <xf numFmtId="0" fontId="0" fillId="6" borderId="0" xfId="0" applyNumberFormat="1" applyFill="1"/>
    <xf numFmtId="0" fontId="0" fillId="7" borderId="0" xfId="0" applyFill="1"/>
    <xf numFmtId="0" fontId="0" fillId="0" borderId="0" xfId="0" applyBorder="1"/>
    <xf numFmtId="0" fontId="6" fillId="0" borderId="0" xfId="0" applyFont="1" applyBorder="1" applyAlignment="1">
      <alignment wrapText="1"/>
    </xf>
    <xf numFmtId="14" fontId="6" fillId="0" borderId="0" xfId="0" applyNumberFormat="1" applyFont="1" applyBorder="1" applyAlignment="1">
      <alignment wrapText="1"/>
    </xf>
    <xf numFmtId="3" fontId="6" fillId="0" borderId="0" xfId="0" applyNumberFormat="1" applyFont="1" applyBorder="1" applyAlignment="1">
      <alignment wrapText="1"/>
    </xf>
    <xf numFmtId="0" fontId="8" fillId="0" borderId="0" xfId="6" applyFont="1" applyFill="1" applyBorder="1" applyAlignment="1">
      <alignment wrapText="1"/>
    </xf>
    <xf numFmtId="0" fontId="6" fillId="0" borderId="6" xfId="0" applyFont="1" applyBorder="1" applyAlignment="1">
      <alignment wrapText="1"/>
    </xf>
    <xf numFmtId="0" fontId="3" fillId="0" borderId="0" xfId="2" applyBorder="1" applyAlignment="1">
      <alignment wrapText="1"/>
    </xf>
    <xf numFmtId="0" fontId="11" fillId="0" borderId="0" xfId="5" applyFont="1" applyBorder="1" applyAlignment="1">
      <alignment wrapText="1"/>
    </xf>
    <xf numFmtId="3" fontId="10" fillId="0" borderId="1" xfId="0" applyNumberFormat="1" applyFont="1" applyBorder="1"/>
    <xf numFmtId="3" fontId="9" fillId="0" borderId="0" xfId="3" applyNumberFormat="1" applyFont="1" applyBorder="1" applyAlignment="1">
      <alignment horizontal="right" wrapText="1"/>
    </xf>
    <xf numFmtId="4" fontId="9" fillId="0" borderId="1" xfId="0" applyNumberFormat="1" applyFont="1" applyBorder="1"/>
    <xf numFmtId="3" fontId="9" fillId="0" borderId="2" xfId="3" applyNumberFormat="1" applyFont="1" applyBorder="1" applyAlignment="1">
      <alignment horizontal="right" wrapText="1"/>
    </xf>
    <xf numFmtId="164" fontId="9" fillId="0" borderId="0" xfId="3" applyNumberFormat="1" applyFont="1" applyBorder="1" applyAlignment="1">
      <alignment horizontal="right" wrapText="1"/>
    </xf>
    <xf numFmtId="0" fontId="6" fillId="8" borderId="0" xfId="0" applyFont="1" applyFill="1" applyAlignment="1">
      <alignment wrapText="1"/>
    </xf>
    <xf numFmtId="0" fontId="6" fillId="7" borderId="0" xfId="0" applyFont="1" applyFill="1" applyAlignment="1">
      <alignment wrapText="1"/>
    </xf>
    <xf numFmtId="0" fontId="0" fillId="0" borderId="0" xfId="0" applyFill="1" applyBorder="1"/>
    <xf numFmtId="0" fontId="0" fillId="0" borderId="0" xfId="0" applyBorder="1" applyAlignment="1">
      <alignment wrapText="1"/>
    </xf>
    <xf numFmtId="0" fontId="0" fillId="5" borderId="7" xfId="0" applyFont="1" applyFill="1" applyBorder="1"/>
    <xf numFmtId="0" fontId="15" fillId="0" borderId="0" xfId="0" applyFont="1" applyAlignment="1">
      <alignment wrapText="1"/>
    </xf>
    <xf numFmtId="0" fontId="3" fillId="0" borderId="0" xfId="2" applyAlignment="1">
      <alignment wrapText="1"/>
    </xf>
    <xf numFmtId="41" fontId="0" fillId="0" borderId="0" xfId="9" applyFont="1"/>
    <xf numFmtId="3" fontId="0" fillId="0" borderId="0" xfId="0" applyNumberFormat="1"/>
    <xf numFmtId="0" fontId="16" fillId="0" borderId="0" xfId="0" applyFont="1"/>
    <xf numFmtId="0" fontId="16" fillId="0" borderId="0" xfId="0" applyFont="1" applyAlignment="1">
      <alignment horizontal="left" vertical="center"/>
    </xf>
    <xf numFmtId="0" fontId="15" fillId="0" borderId="0" xfId="0" applyFont="1"/>
    <xf numFmtId="0" fontId="6" fillId="5" borderId="8" xfId="0" applyFont="1" applyFill="1" applyBorder="1" applyAlignment="1">
      <alignment wrapText="1"/>
    </xf>
    <xf numFmtId="0" fontId="6" fillId="0" borderId="8" xfId="0" applyFont="1" applyFill="1" applyBorder="1" applyAlignment="1">
      <alignment wrapText="1"/>
    </xf>
    <xf numFmtId="0" fontId="0" fillId="0" borderId="7" xfId="0" applyFont="1" applyFill="1" applyBorder="1"/>
    <xf numFmtId="0" fontId="0" fillId="9" borderId="0" xfId="0" applyFill="1"/>
    <xf numFmtId="0" fontId="17" fillId="9" borderId="0" xfId="0" applyFont="1" applyFill="1"/>
    <xf numFmtId="46" fontId="0" fillId="0" borderId="0" xfId="0" applyNumberFormat="1"/>
    <xf numFmtId="0" fontId="16" fillId="0" borderId="0" xfId="0" applyFont="1" applyAlignment="1"/>
    <xf numFmtId="0" fontId="0" fillId="0" borderId="0" xfId="0" applyFill="1"/>
    <xf numFmtId="0" fontId="0" fillId="10" borderId="0" xfId="0" applyFill="1"/>
  </cellXfs>
  <cellStyles count="10">
    <cellStyle name="Hipervínculo" xfId="2" builtinId="8"/>
    <cellStyle name="Millares [0]" xfId="9" builtinId="6"/>
    <cellStyle name="Normal" xfId="0" builtinId="0"/>
    <cellStyle name="Normal_Acc_indirectos_20231213" xfId="4" xr:uid="{6B6BC0B8-E100-4969-803B-2B212E7EB7B4}"/>
    <cellStyle name="Normal_Accionista_directo_20231213" xfId="5" xr:uid="{0562E2F8-AB85-4619-8291-99E2ACAF39DA}"/>
    <cellStyle name="Normal_Compara" xfId="8" xr:uid="{D3A3FCCE-E237-4FD3-B761-F19E0ECF2828}"/>
    <cellStyle name="Normal_GENE_00" xfId="7" xr:uid="{CDD801E8-305A-4142-BB81-22AC50CBF080}"/>
    <cellStyle name="Normal_Hoja1" xfId="3" xr:uid="{943576B2-ADC2-42FF-B2A9-2ACE4337BDFD}"/>
    <cellStyle name="Normal_Hoja4" xfId="6" xr:uid="{84239E63-E84F-41D3-AB64-BCC2124F9300}"/>
    <cellStyle name="Porcentaje" xfId="1" builtinId="5"/>
  </cellStyles>
  <dxfs count="50">
    <dxf>
      <font>
        <b val="0"/>
        <i val="0"/>
        <strike val="0"/>
        <condense val="0"/>
        <extend val="0"/>
        <outline val="0"/>
        <shadow val="0"/>
        <u val="none"/>
        <vertAlign val="baseline"/>
        <sz val="10"/>
        <color rgb="FF525252"/>
        <name val="Arial"/>
        <family val="2"/>
        <scheme val="none"/>
      </font>
    </dxf>
    <dxf>
      <numFmt numFmtId="3" formatCode="#,##0"/>
    </dxf>
    <dxf>
      <numFmt numFmtId="3" formatCode="#,##0"/>
    </dxf>
    <dxf>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Aptos Narrow"/>
        <family val="2"/>
        <scheme val="minor"/>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indexed="64"/>
          <bgColor theme="7" tint="0.79998168889431442"/>
        </patternFill>
      </fill>
    </dxf>
    <dxf>
      <font>
        <b val="0"/>
        <i val="0"/>
        <strike val="0"/>
        <condense val="0"/>
        <extend val="0"/>
        <outline val="0"/>
        <shadow val="0"/>
        <u val="none"/>
        <vertAlign val="baseline"/>
        <sz val="11"/>
        <color auto="1"/>
        <name val="Aptos Narrow"/>
        <family val="2"/>
        <scheme val="minor"/>
      </font>
    </dxf>
    <dxf>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numFmt numFmtId="0" formatCode="General"/>
    </dxf>
    <dxf>
      <font>
        <b val="0"/>
        <i val="0"/>
        <strike val="0"/>
        <condense val="0"/>
        <extend val="0"/>
        <outline val="0"/>
        <shadow val="0"/>
        <u val="none"/>
        <vertAlign val="baseline"/>
        <sz val="11"/>
        <color auto="1"/>
        <name val="Aptos Narrow"/>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alignment horizontal="general" vertical="bottom" textRotation="0" wrapText="1" indent="0" justifyLastLine="0" shrinkToFit="0" readingOrder="0"/>
    </dxf>
    <dxf>
      <border outline="0">
        <top style="thin">
          <color indexed="8"/>
        </top>
      </border>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border outline="0">
        <bottom style="thin">
          <color indexed="8"/>
        </bottom>
      </border>
    </dxf>
    <dxf>
      <font>
        <b/>
        <i val="0"/>
        <strike val="0"/>
        <condense val="0"/>
        <extend val="0"/>
        <outline val="0"/>
        <shadow val="0"/>
        <u val="none"/>
        <vertAlign val="baseline"/>
        <sz val="11"/>
        <color auto="1"/>
        <name val="Calibri"/>
        <family val="2"/>
        <scheme val="none"/>
      </font>
      <fill>
        <patternFill patternType="solid">
          <fgColor indexed="0"/>
          <bgColor theme="0" tint="-0.14999847407452621"/>
        </patternFill>
      </fill>
      <alignment horizontal="center" vertical="bottom" textRotation="0" wrapText="1" indent="0" justifyLastLine="0" shrinkToFit="0" readingOrder="0"/>
      <border diagonalUp="0" diagonalDown="0" outline="0">
        <left style="thin">
          <color indexed="8"/>
        </left>
        <right style="thin">
          <color indexed="8"/>
        </right>
        <top/>
        <bottom/>
      </border>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son" refreshedDate="46221.725929398148" createdVersion="8" refreshedVersion="8" minRefreshableVersion="3" recordCount="127" xr:uid="{FC6B73AC-715E-43AB-AD41-6F594B15BB07}">
  <cacheSource type="worksheet">
    <worksheetSource name="Tabla1"/>
  </cacheSource>
  <cacheFields count="32">
    <cacheField name="Código proyecto" numFmtId="0">
      <sharedItems/>
    </cacheField>
    <cacheField name="Nombre de la Concesión " numFmtId="0">
      <sharedItems containsBlank="1"/>
    </cacheField>
    <cacheField name="NUM_Lic" numFmtId="0">
      <sharedItems containsString="0" containsBlank="1" containsNumber="1" containsInteger="1" minValue="1" maxValue="4"/>
    </cacheField>
    <cacheField name="Nombre de uso común" numFmtId="0">
      <sharedItems containsBlank="1"/>
    </cacheField>
    <cacheField name="Descripción " numFmtId="0">
      <sharedItems containsBlank="1" containsMixedTypes="1" containsNumber="1" containsInteger="1" minValue="0" maxValue="0" longText="1"/>
    </cacheField>
    <cacheField name="Sector del proyecto" numFmtId="0">
      <sharedItems count="7">
        <s v="Vial interurbana"/>
        <s v="Aeroportuaria"/>
        <s v="Vial urbana"/>
        <s v="Soluciones hídricas"/>
        <s v="Penitenciaria"/>
        <s v="Edificación pública y equipamiento urbano"/>
        <s v="Hospitalaria"/>
      </sharedItems>
    </cacheField>
    <cacheField name="Región geográfica" numFmtId="0">
      <sharedItems containsBlank="1"/>
    </cacheField>
    <cacheField name="Link a mapa página web" numFmtId="0">
      <sharedItems containsBlank="1"/>
    </cacheField>
    <cacheField name="Origen" numFmtId="0">
      <sharedItems containsBlank="1"/>
    </cacheField>
    <cacheField name="Fecha resolución declaración interes público" numFmtId="14">
      <sharedItems containsDate="1" containsBlank="1" containsMixedTypes="1" minDate="1998-11-20T00:00:00" maxDate="2016-06-11T00:00:00"/>
    </cacheField>
    <cacheField name="Presupuesto oficial estimado" numFmtId="3">
      <sharedItems containsString="0" containsBlank="1" containsNumber="1" minValue="70800" maxValue="35970000"/>
    </cacheField>
    <cacheField name="Moneda" numFmtId="0">
      <sharedItems containsBlank="1"/>
    </cacheField>
    <cacheField name="Link pagina web concesiones" numFmtId="0">
      <sharedItems containsBlank="1"/>
    </cacheField>
    <cacheField name="ESTADO" numFmtId="0">
      <sharedItems count="4">
        <s v="Finalizado"/>
        <s v="Construcción y Operación"/>
        <s v="Operación"/>
        <s v="Construcción"/>
      </sharedItems>
    </cacheField>
    <cacheField name="Metodo de licitación" numFmtId="0">
      <sharedItems containsBlank="1"/>
    </cacheField>
    <cacheField name="Variable(s) de licitación" numFmtId="0">
      <sharedItems containsBlank="1"/>
    </cacheField>
    <cacheField name="Fecha llamado a licitación" numFmtId="14">
      <sharedItems containsNonDate="0" containsDate="1" containsString="0" containsBlank="1" minDate="1992-11-01T00:00:00" maxDate="2024-11-22T00:00:00"/>
    </cacheField>
    <cacheField name="Fecha recepción ofertas" numFmtId="14">
      <sharedItems containsNonDate="0" containsDate="1" containsString="0" containsBlank="1" minDate="1992-12-29T00:00:00" maxDate="2025-07-30T00:00:00"/>
    </cacheField>
    <cacheField name="Fecha apertura económica" numFmtId="14">
      <sharedItems containsNonDate="0" containsDate="1" containsString="0" containsBlank="1" minDate="1993-02-12T00:00:00" maxDate="2025-08-21T00:00:00"/>
    </cacheField>
    <cacheField name="Fecha decreto adjudicación" numFmtId="14">
      <sharedItems containsNonDate="0" containsDate="1" containsString="0" containsBlank="1" minDate="1993-04-08T00:00:00" maxDate="2025-10-24T00:00:00"/>
    </cacheField>
    <cacheField name="Fecha publicación decreto adjudicación" numFmtId="14">
      <sharedItems containsNonDate="0" containsDate="1" containsString="0" containsBlank="1" minDate="1993-06-22T00:00:00" maxDate="2026-06-06T00:00:00"/>
    </cacheField>
    <cacheField name="Rut sociedad Concesionaria" numFmtId="0">
      <sharedItems containsBlank="1"/>
    </cacheField>
    <cacheField name="Nombre sociedad concesionaria" numFmtId="0">
      <sharedItems containsBlank="1"/>
    </cacheField>
    <cacheField name="Link a CMF de SC" numFmtId="0">
      <sharedItems containsBlank="1"/>
    </cacheField>
    <cacheField name="Fecha inicio del contrato de concesión" numFmtId="14">
      <sharedItems containsNonDate="0" containsDate="1" containsString="0" containsBlank="1" minDate="1993-09-13T00:00:00" maxDate="2026-01-06T00:00:00"/>
    </cacheField>
    <cacheField name="Fecha término de la concesión" numFmtId="14">
      <sharedItems containsNonDate="0" containsDate="1" containsString="0" containsBlank="1" minDate="2005-12-13T00:00:00" maxDate="2070-06-05T00:00:00"/>
    </cacheField>
    <cacheField name="Plazo fijo / variable " numFmtId="0">
      <sharedItems containsBlank="1"/>
    </cacheField>
    <cacheField name="Fecha inicio de obras" numFmtId="0">
      <sharedItems containsDate="1" containsBlank="1" containsMixedTypes="1" minDate="2001-12-03T00:00:00" maxDate="2025-11-12T00:00:00"/>
    </cacheField>
    <cacheField name="Fecha puesta servicio provisorio" numFmtId="0">
      <sharedItems containsDate="1" containsBlank="1" containsMixedTypes="1" minDate="1995-09-13T00:00:00" maxDate="2025-12-31T00:00:00"/>
    </cacheField>
    <cacheField name="Fecha puesta servicio definitivo" numFmtId="0">
      <sharedItems containsDate="1" containsBlank="1" containsMixedTypes="1" minDate="1996-07-02T00:00:00" maxDate="2024-08-18T00:00:00"/>
    </cacheField>
    <cacheField name="Inversión Materializada estimada" numFmtId="0">
      <sharedItems containsString="0" containsBlank="1" containsNumber="1" minValue="7780.25" maxValue="35970000"/>
    </cacheField>
    <cacheField name="% Avance obras físicas" numFmtId="0">
      <sharedItems containsBlank="1" containsMixedTypes="1"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s v="001_TEME1"/>
    <s v="Túnel El Melón"/>
    <n v="1"/>
    <s v="Primera concesión Túnel El Melón"/>
    <s v="Este contrato, que finalizó en 2016, corresponde al primer proyecto desarrollado bajo el Sistema de Concesiones de Obras Públicas. La obra fue adjudicada en 1993 y consideró la construcción y operación de un túnel de 5,19 km de extensión, de los cuales 2,52 km corresponden a la estructura bajo la Cuesta El Melón y el resto a la vialidad de acceso a la estructura. El proyecto generó un ahorro significativo en los tiempos de traslados de autos y vehículos pesados que se dirigían a la zona norte del país, ya que previamente los usuarios tenían como única alternativa de tránsito la cuesta (del mismo nombre del túnel), ubicada entre los kilómetros 127,54 y 132,73 de la Ruta 5 Norte. Esta obra entregó mejores condiciones de seguridad y los tiempos de traslado por la Ruta 5, eje estructurante deconectividad del país, beneficiando a las localidades de las provincias de Quillota y Petorca y el tránsito de un importante flujo de vehículos que circula hacia y desde el norte por fines comerciales o turísticos. La obra fue relicitada y en la actualidad está vigente la segunda concesión."/>
    <x v="0"/>
    <s v="Valparaíso"/>
    <s v="Sitio en construcción"/>
    <s v="Público"/>
    <s v=""/>
    <n v="587208.35782083974"/>
    <s v="UF"/>
    <s v="https://concesiones.mop.gob.cl/project/primera-concesion-tunel-el-melon/"/>
    <x v="0"/>
    <s v="Sólo licitación pública"/>
    <s v="Nivel y estructura de tarifa; Plazo; menor Subsidio o mayor Pagos; Ingresos garantizados; Riesgo oferente; Fórmula reajuste tarifa; Calificación de servicios adicionales."/>
    <d v="1992-11-01T00:00:00"/>
    <d v="1992-12-29T00:00:00"/>
    <d v="1993-02-12T00:00:00"/>
    <d v="1993-04-08T00:00:00"/>
    <d v="1993-06-22T00:00:00"/>
    <s v="96671360-7"/>
    <s v="TÚNEL EL MELÓN SA"/>
    <s v="SIN"/>
    <d v="1993-09-13T00:00:00"/>
    <d v="2016-06-29T00:00:00"/>
    <s v="Fijo"/>
    <s v="SD"/>
    <d v="1995-09-13T00:00:00"/>
    <d v="1996-07-02T00:00:00"/>
    <n v="1602634.08"/>
    <n v="1"/>
  </r>
  <r>
    <s v="002_CDMA1"/>
    <s v="Camino de la Madera"/>
    <n v="1"/>
    <s v="Primera concesión Camino de la Madera"/>
    <s v="Esta concesión comenzó en 1994 y terminó anticipadamente el 13 de julio de 2012, a través del Convenio de Extinción del Contrato. El proyecto consideró el mejoramiento de una vialidad de 108,7 km de extensión, cuyo eje vial principal conectó a las comunas de San Pedro de la Paz y Concepción con las de Santa Juana, Nacimiento y Coihue (al sur oriente de la capital penquista), como también con los puertos de la Región de Bío Bío._x000a__x000a_La iniciativa incluyó también el mejoramiento de los caminos existentes y nuevas obras como enlaces y retornos, entre otros."/>
    <x v="0"/>
    <s v="Biobío"/>
    <s v="Sitio en construcción"/>
    <s v="Público"/>
    <s v=""/>
    <n v="600000"/>
    <s v="UF"/>
    <s v="https://concesiones.mop.gob.cl/project/camino-de-la-madera/"/>
    <x v="0"/>
    <s v="Sólo licitación pública"/>
    <s v="Nivel y estructura de tarifa; Plazo; menor Subsidio o mayor  Pagos; Ingresos garantizados; Riesgo oferente; Fórmula reajuste tarifa; Calificación de servicios adicionales."/>
    <d v="1993-06-02T00:00:00"/>
    <d v="1994-03-22T00:00:00"/>
    <d v="1994-04-21T00:00:00"/>
    <d v="1994-04-29T00:00:00"/>
    <d v="1994-07-04T00:00:00"/>
    <s v="96704590-K"/>
    <s v="CAMINO DE LA MADERA SOCIEDAD CONCESIONARIA S.A."/>
    <s v="https://www.cmfchile.cl/institucional/mercados/entidad.php?auth=&amp;send=&amp;mercado=O&amp;rut=96704590&amp;grupo=&amp;tipoentidad=RGEIN&amp;vig=NV&amp;row=AAAwy2ACTAAAAWcAAb&amp;control=svs&amp;pestania=1"/>
    <d v="1994-06-24T00:00:00"/>
    <d v="2012-12-31T00:00:00"/>
    <s v="Fijo"/>
    <s v="SD"/>
    <d v="1996-11-22T00:00:00"/>
    <d v="1996-07-02T00:00:00"/>
    <n v="1090333.0000000002"/>
    <n v="1"/>
  </r>
  <r>
    <s v="125_ARNO1"/>
    <s v="Red Aeroportuaria Norte"/>
    <n v="1"/>
    <s v="Primera concesión Red Aeroportuaria Norte (2° concesión A. Regional de Atacama y 3° concesión A. Andrés Sabella)"/>
    <s v="El proyecto considera la ampliación, reparación, conservación y reposición de la infraestructura, equipamiento e instalaciones preexistentes del Aeropuerto Desierto de Atacama y del Aeropuerto Andrés Sabella, de la región de Antofagasta con todas las obras civiles e instalaciones necesarias para dar a las líneas aéreas, pasajeros y demás usuarios, las condiciones de servicio, confort y seguridad, acordes a las de un aeropuerto internacional. En el caso del Aeropuerto Desierto de Atacama, ubicado en la comunca de Caldera, corresponde a la segunda concesión que considera la ampliación y mejoramiento del Edificio Terminal de Pasajeros, pasando desde los 2.952 m2 actuales a más de 18.000 m2 y el desarrollo de cuatro puentes de embarque, entre otras obras. Por su parte, el Aeropuerto Andrés Sabella corresponderá a la tercera concesión y se ubica a 25 km al norte de la ciudad de Antofagasta, en la región del mismo nombre, y donde considera la ampliación y mejoramiento del edificio terminal de pasajeros de los actuales  10.126 m2 actuales a más de 30.000 m2 y el desarrollo de cinco puentes de embarque, nere otras obras"/>
    <x v="1"/>
    <s v="Antofagasta;  Atacama"/>
    <s v="Sitio en construcción"/>
    <s v="Público"/>
    <m/>
    <n v="7012000"/>
    <s v="UF"/>
    <s v="https://concesiones.mop.gob.cl/project/red-aeroportuaria-norte-andres-sabella-3a-y-desierto-de-atacama-2-a/"/>
    <x v="1"/>
    <s v="Sólo licitación pública"/>
    <s v="Ingresos totales de la concesión."/>
    <d v="2023-12-29T00:00:00"/>
    <d v="2024-07-10T00:00:00"/>
    <d v="2024-08-02T00:00:00"/>
    <d v="2024-10-04T00:00:00"/>
    <d v="2024-11-13T00:00:00"/>
    <s v="77996929-0"/>
    <s v="Sociedad Concesionaria Aeropuerto del Norte S.A."/>
    <s v="https://www.cmfchile.cl/institucional/mercados/entidad.php?auth=&amp;send=&amp;mercado=O&amp;rut=77996929&amp;grupo=&amp;tipoentidad=RGEIN&amp;vig=VI&amp;row=AAAwy2ACTAAACiqAAG&amp;control=svs&amp;pestania=1"/>
    <d v="2024-11-13T00:00:00"/>
    <d v="2050-11-13T00:00:00"/>
    <s v="Variable"/>
    <s v="sin inicio"/>
    <s v="En fase de construcción"/>
    <s v="En fase de construcción"/>
    <n v="7012000"/>
    <n v="0"/>
  </r>
  <r>
    <s v="122_NARA2"/>
    <s v="Aeropuerto de la Región de La Araucanía"/>
    <n v="2"/>
    <s v="Segunda Concesión Aeropuerto Región de la Araucanía"/>
    <s v="El proyecto consiste principalmente en la ampliación, reparación, conservación y reposición de la infraestructura, equipamiento e instalaciones existentes en el aeropuerto dentro del área de concesión, con todas las obras civiles e instalaciones necesarias para dar a las líneas aéreas, pasajeros y demás usuarios del aeropuerto las condiciones de servicio, confort y seguridad, acordes para enfrentar la demanda futura en el próximo periodo de concesión. La concesión incluye el mantenimiento de todas las obras preexistentes y nuevas que debe ejecutar el concesionario dentro del área de concesión._x000a_Las obras permitirán que se cuadruplique la superficie del actual aeropuerto, creciendo de 5.570 m2 a 22.276 m2 y una ampliación a 508 estacionamientos vehiculares (hoy son 356), seis estacionamientos para aeronaves comerciales (hoy son cuatro) y 42.994 m2 de superficie de plataforma de aeronaves comerciales (hoy son 22.770 m2). "/>
    <x v="1"/>
    <s v="Araucanía"/>
    <s v="Sitio en construcción"/>
    <s v="Público"/>
    <m/>
    <n v="3070000"/>
    <s v="UF"/>
    <s v="https://concesiones.mop.gob.cl/project/segunda-concesion-aeropuerto-de-la-region-de-la-araucania/"/>
    <x v="1"/>
    <s v="Sólo licitación pública"/>
    <s v="Subsidio fijo a la construción ó Ingresos totales por pasajero embarcado"/>
    <d v="2023-11-03T00:00:00"/>
    <d v="2023-11-22T00:00:00"/>
    <d v="2024-12-20T00:00:00"/>
    <d v="2025-03-21T00:00:00"/>
    <d v="2025-08-19T00:00:00"/>
    <s v="78.159.936-0"/>
    <s v="Sociedad concesionaria nuevo aeropuerto Araucanía SA"/>
    <s v="https://www.cmfchile.cl/institucional/mercados/entidad.php?mercado=O&amp;rut=78159936&amp;tipoentidad=RGEIN&amp;vig=VI&amp;control=svs&amp;pestania=1"/>
    <d v="2025-08-19T00:00:00"/>
    <d v="2051-08-19T00:00:00"/>
    <s v="Variable"/>
    <s v="sin inicio"/>
    <s v="En fase de construcción"/>
    <s v="En fase de construcción"/>
    <n v="3070000"/>
    <n v="0"/>
  </r>
  <r>
    <s v="005_ANCO1"/>
    <s v="Acceso Norte a Concepción"/>
    <n v="1"/>
    <s v="Primera concesión Ruta del Itata"/>
    <s v="Autopista de doble calzada que se extiende por 75 km, desde el km 413,2 de la Ruta 5 Sur (aproximadamente 11 km al sur de Chillán) hasta su empalme con la Ruta 150 CH que une a Penco con Concepción, en la Región del Bío Bío._x000a__x000a_Esta incluye un ramal colector en calzada simple, con estándar de carretera primaria, de 14 km, que se prolonga hacia el norponiente desde las localidades de Agua Amarilla a Rafael. Permite un acceso directo desde la Ruta Los Conquistadores, que se inicia en San Javier, en km 275 de la Ruta 5 Sur y serpentea hacia el sur entre ésta última y el mar, atravesando Cauquenes, Quirihue y Coelemu hasta llegar a Rafael._x000a__x000a_También presenta cinco enlaces, un puente sobre el Río Itata, dos pasos sobre la línea férrea y 73 pasos desnivelados, mejorando la conectividad de la región con el resto del país."/>
    <x v="0"/>
    <s v="Ñuble; Biobío"/>
    <s v="Sitio en construcción"/>
    <s v="Público"/>
    <s v=""/>
    <n v="3403643"/>
    <s v="UF"/>
    <s v="https://concesiones.mop.gob.cl/project/ruta-del-itata-concesion-acceso-norte-a-concepcion/"/>
    <x v="0"/>
    <s v="Sólo licitación pública"/>
    <s v="Nivel de tarifa; Subsidio."/>
    <d v="1994-11-07T00:00:00"/>
    <d v="1994-11-15T00:00:00"/>
    <d v="1994-12-30T00:00:00"/>
    <d v="1995-01-06T00:00:00"/>
    <d v="1995-04-05T00:00:00"/>
    <s v="96751030-0"/>
    <s v="SOC CONCESIONARIA AUTOPISTA DEL ITATA S A"/>
    <s v="https://www.cmfchile.cl/institucional/mercados/entidad.php?auth=&amp;send=&amp;mercado=O&amp;rut=96751030&amp;grupo=&amp;tipoentidad=RGEIN&amp;vig=VI&amp;row=AAAwy2ACTAAABy3AAY&amp;control=svs&amp;pestania=1"/>
    <d v="1995-04-12T00:00:00"/>
    <d v="2025-03-31T00:00:00"/>
    <s v="Fijo"/>
    <s v="SD"/>
    <d v="1998-07-23T00:00:00"/>
    <d v="1998-12-31T00:00:00"/>
    <n v="7091175.5760826981"/>
    <n v="1"/>
  </r>
  <r>
    <s v="006_SASA1"/>
    <s v="Autopista Santiago - San Antonio, Ruta 78"/>
    <n v="1"/>
    <s v="Primera concesión Autopista Santiago - San Antonio, Ruta 78"/>
    <s v="Esta concesión finalizó el 21 de marzo de 2022 y consideró la construcción y operación de la Autopista Santiago-San Antonio, también conocida como Ruta 78 y Autopista del Sol, de 131,4 km de extensión._x000a__x000a_La Ruta 78 abarca las regiones Metropolitana y de Valparaíso, beneficiando a las provincias de Santiago, Talagante, Melipilla y San Antonio. La vía es fundamental para el transporte de carga entre Santiago y el puerto de San Antonio, así como los viajes a las zonas turísticas costeras. La obra fue relicitada y en la actualidad está vigente la segunda concesión._x000a__x000a_La obra fue relicitada y en la actualidad está vigente la segunda concesión."/>
    <x v="0"/>
    <s v="Valparaíso; Metropolitana de Santiago"/>
    <s v="Sitio en construcción"/>
    <s v="Público"/>
    <s v=""/>
    <n v="3654770"/>
    <s v="UF"/>
    <s v="https://concesiones.mop.gob.cl/project/primera-concesion-autopista-santiago-san-antonio-ruta-78/"/>
    <x v="0"/>
    <s v="Sólo licitación pública"/>
    <s v="Nivel de tarifa; Subsidio; Otros (i)"/>
    <d v="1994-12-23T00:00:00"/>
    <d v="1995-04-12T00:00:00"/>
    <d v="1995-05-31T00:00:00"/>
    <d v="1995-06-16T00:00:00"/>
    <d v="1995-08-24T00:00:00"/>
    <s v="96762780-1"/>
    <s v="SOC CONCESIONARIA AUTOPISTA DEL SOL S A"/>
    <s v="ttps://www.cmfchile.cl/institucional/mercados/entidad.php?auth=&amp;send=&amp;mercado=O&amp;rut=96762780&amp;grupo=&amp;tipoentidad=RGEIN&amp;vig=VI&amp;row=AAAwy2ACTAAAAWfAAK&amp;control=svs&amp;pestania=1"/>
    <d v="1995-09-21T00:00:00"/>
    <d v="2022-03-21T00:00:00"/>
    <s v="Fijo"/>
    <s v="SD"/>
    <d v="1999-08-21T00:00:00"/>
    <d v="2001-06-08T00:00:00"/>
    <n v="7424103.2967182985"/>
    <n v="1"/>
  </r>
  <r>
    <s v="007_CNPU1"/>
    <s v="Camino Nogales - Puchuncaví"/>
    <n v="1"/>
    <s v="Primera concesión Camino Nogales - Puchuncaví"/>
    <s v="Esta concesión finalizó en 2016 y consideró el mejoramiento de 27,1 km de la Ruta F20,  con una calzada bidireccional de 7 metros de ancho. El proyecto consideró laconstrucción del Puente Nogales, la ampliación a terceras pistas en la zona de cuesta, nuevos enlaces y mejoramiento de obras de seguridad vial, señalización y demarcación en toda la extensión de la ruta e implementación de postes SOS para emergencias y atención a usuarios en la ruta. Con el desarrollo de esta obra se buscó mejorar el estándar de la infraestructura vial que conecta la Región deValparaíso con el norte y centro del país gracias a su conexión con la Ruta 5 norte._x000a__x000a_La obra fue relicitada y en la actualidad está vigente la segunda concesión."/>
    <x v="0"/>
    <s v="Valparaíso"/>
    <s v="Sitio en construcción"/>
    <s v="Público"/>
    <s v=""/>
    <n v="298000"/>
    <s v="UF"/>
    <s v="https://concesiones.mop.gob.cl/project/primera-concesion-camino-nogales-puchuncavi/"/>
    <x v="0"/>
    <s v="Sólo licitación pública"/>
    <s v="Nivel de tarifa; Subsidio."/>
    <d v="1995-02-28T00:00:00"/>
    <d v="1995-06-01T00:00:00"/>
    <d v="1995-07-04T00:00:00"/>
    <d v="1995-07-28T00:00:00"/>
    <d v="1995-11-03T00:00:00"/>
    <s v="96771870-k"/>
    <s v="SOCIEDAD CONCESIONARIA CAMINO NOGALES PUCHUNCAVI S.A."/>
    <s v="https://www.cmfchile.cl/institucional/mercados/entidad.php?mercado=O&amp;rut=96771870&amp;grupo=&amp;tipoentidad=RGEIN&amp;row=AAAwy2ACTAAAAWcAAS&amp;vig=NV&amp;control=svs&amp;pestania=5"/>
    <d v="1995-11-08T00:00:00"/>
    <d v="2016-08-31T00:00:00"/>
    <s v="Variable"/>
    <s v="SD"/>
    <d v="1997-03-15T00:00:00"/>
    <d v="1997-10-29T00:00:00"/>
    <n v="430872.77"/>
    <n v="1"/>
  </r>
  <r>
    <s v="008_AVAM1"/>
    <s v="Acceso Vial Aeropuerto Arturo Merino Benítez"/>
    <n v="1"/>
    <s v="Primera concesión Acceso Vial Aeropuerto Arturo Merino Benítez"/>
    <s v="Esta concesión finalizó en septiembre de 2008 y consideró la construcción y operación de una ruta de doble calzada de 2,2 km de extensión, que une la Avenida Américo Vespucio con el Aeropuerto Arturo Merino Benítez._x000a__x000a_El proyecto, además de la construcción y operación de la nueva vialidad, incluyó el desarrollo de enlaces y señalética de seguridad, entre otros._x000a__x000a_La obra fue relicitada y en la actualidad está vigente la segunda concesión."/>
    <x v="2"/>
    <s v="Metropolitana de Santiago"/>
    <s v="Sitio en construcción"/>
    <s v="Privado"/>
    <s v=""/>
    <n v="279990"/>
    <s v="UF"/>
    <s v="https://concesiones.mop.gob.cl/project/primera-concesion-acceso-vial-aeropuerto-arturo-merino-benitez/"/>
    <x v="0"/>
    <s v="Sólo licitación pública"/>
    <s v="Nivel de tarifa."/>
    <d v="1995-07-01T00:00:00"/>
    <d v="1995-09-12T00:00:00"/>
    <d v="1995-10-27T00:00:00"/>
    <d v="1996-01-12T00:00:00"/>
    <d v="1996-03-08T00:00:00"/>
    <s v="96784130-7"/>
    <s v="SOCIEDAD CONCESIONARIA AEROVIAS S.A."/>
    <s v="https://www.cmfchile.cl/institucional/mercados/entidad.php?auth=&amp;send=&amp;mercado=V&amp;rut=96784130&amp;grupo=&amp;tipoentidad=RVEMI&amp;vig=NV&amp;row=AAAwy2ACTAAABzAAAo&amp;control=svs&amp;pestania=1"/>
    <d v="1996-04-04T00:00:00"/>
    <d v="2008-10-21T00:00:00"/>
    <s v="Fijo"/>
    <s v="SD"/>
    <s v="SD"/>
    <s v="SD"/>
    <n v="349331.12000000005"/>
    <n v="1"/>
  </r>
  <r>
    <s v="009_TACH1"/>
    <s v="Concesión Ruta 5 Tramo Talca - Chillán"/>
    <n v="1"/>
    <s v="Primera concesión Concesión Ruta 5 Tramo Talca - Chillán"/>
    <s v="Esta concesión finalizó en marzo de 2021 y consideró la construcción y operación de una autopista de doble calzada de 193,3 km de longitud que corresponde al tramo Talca-Chillán de la Ruta 5 Sur que se emplaza entre las regiones del Maule y Ñuble._x000a__x000a_La obra consideró el desarrollo de intersecciones a desnivel, además del mejoramiento de las calzadas existentes lo que permite garantizar velocidades de diseño de 120 km/hr._x000a__x000a_También se construyeron nuevos puentes y se mejoraron los existentes. El principal beneficio de esta autopista es el estándar de doble calzada que permite mejorar los tiempos de desplazamiento y la conectividad._x000a__x000a_La obra fue relicitada y en la actualidad está vigente la segunda concesión."/>
    <x v="0"/>
    <s v="Maule; Ñuble"/>
    <s v="Sitio en construcción"/>
    <s v="Público"/>
    <s v=""/>
    <n v="4500000"/>
    <s v="UF"/>
    <s v="https://concesiones.mop.gob.cl/project/primera-concesion-ruta-5-tramo-talca-chillan/"/>
    <x v="0"/>
    <s v="Licitación pública con preselección"/>
    <s v="Nivel de tarifa; Plazo."/>
    <d v="1995-11-01T00:00:00"/>
    <d v="1995-12-11T00:00:00"/>
    <d v="1995-12-27T00:00:00"/>
    <d v="1996-01-12T00:00:00"/>
    <d v="1996-03-13T00:00:00"/>
    <s v="96787910-K"/>
    <s v="RUTA DEL MAULE SOCIEDAD CONCESIONARIA S.A."/>
    <s v="https://www.cmfchile.cl/institucional/mercados/entidad.php?auth=&amp;send=&amp;mercado=O&amp;rut=96787910&amp;grupo=&amp;tipoentidad=RGEIN&amp;vig=VI&amp;row=AAAwy2ACTAAABywAAA&amp;control=svs&amp;pestania=1"/>
    <d v="1996-03-13T00:00:00"/>
    <d v="2021-03-31T00:00:00"/>
    <s v="Variable"/>
    <s v="SD"/>
    <d v="1999-10-11T00:00:00"/>
    <d v="2000-04-24T00:00:00"/>
    <n v="8790422.5669340007"/>
    <n v="1"/>
  </r>
  <r>
    <s v="010_SCLA1"/>
    <s v="Camino Santiago - Colina - Los Andes"/>
    <n v="1"/>
    <s v="Primera concesión Camino Santiago - Colina - Los Andes"/>
    <s v="Autopista de 116 km de extensión que conecta la capital y el corredor Bioceánico Cristo Redentor y así como Valparaíso con el Paso Los Libertadores (frontera con Argentina), es por ello que esta ruta constituye un eje fundamental para el transporte terrestre._x000a__x000a_Está conformada por el Camino Santiago Colina Los Andes, el que se inicia en la intersección de la Circunvalación Américo Vespucio con la Ruta G-15 y continúa por esta ruta hasta Colina, con bypass por dicha localidad. Sigue en dirección a Casas de Chacabuco, donde la ruta se denomina Ruta 57 CH, continúa hasta la bifurcación San Felipe-Los Andes, a partir de la cual continúa por Calle Larga por aproximadamente 2 km para seguir en dirección nororiente a través de bypass a la ciudad de Los Andes hasta llegar a la intersección con el Camino Internacional Ruta 60 CH._x000a__x000a_La ruta recorre las comunas de Los Andes, Rinconada y Calle Larga, en la Región de Valparaíso y Quilicura, Huechuraba y Colina, en la Región Metropolitana."/>
    <x v="0"/>
    <s v="Valparaíso; Metropolitana de Santiago"/>
    <s v="Sitio en construcción"/>
    <s v="Privado"/>
    <s v=""/>
    <n v="3700000"/>
    <s v="UF"/>
    <s v="https://concesiones.mop.gob.cl/project/concesion-ruta-57-santiago-colina-los-andes/"/>
    <x v="2"/>
    <s v="Licitación pública con preselección"/>
    <s v="Nivel de tarifa:Plazo; Pagos."/>
    <d v="1996-04-25T00:00:00"/>
    <d v="1996-10-04T00:00:00"/>
    <d v="1996-10-25T00:00:00"/>
    <d v="1996-12-19T00:00:00"/>
    <d v="1997-02-12T00:00:00"/>
    <s v="96818910-7"/>
    <s v="SOC CONCESIONARIA AUTOPISTA LOS LIBERTADORES S A"/>
    <s v="https://www.cmfchile.cl/institucional/mercados/entidad.php?auth=&amp;send=&amp;mercado=O&amp;rut=96818910&amp;grupo=&amp;tipoentidad=RGEIN&amp;vig=VI&amp;row=AAAwy2ACTAAAAWfAAA&amp;control=svs&amp;pestania=1"/>
    <d v="1997-10-08T00:00:00"/>
    <d v="2027-01-08T00:00:00"/>
    <s v="Fijo"/>
    <s v="SD"/>
    <d v="2000-09-26T00:00:00"/>
    <d v="2001-12-07T00:00:00"/>
    <n v="5454253.2500000009"/>
    <n v="1"/>
  </r>
  <r>
    <s v="011_SALV1"/>
    <s v="Concesión Ruta 5 Tramo Santiago - Los Vilos"/>
    <n v="1"/>
    <s v="Primera concesión Concesión Ruta 5 Tramo Santiago - Los Vilos"/>
    <s v="Corresponde a la ejecución, conservación y explotación de una autopista de 218,24 kms. de longitud en la Ruta 5 Norte, que se extiende entre los km. 10,8, en Quilicura, y el km. 229,1 en Los Vilos._x000a__x000a_Durante las obras se desarrollaron 154,4 kms. de segundas calzadas, 114 kms. de calles de servicio, además del desarrollo de la Variante Los Vilos, con 4,5 kms. La obra también contempla doble calzada y 14,14 kms. de terceras pistas en ambas calzadas a la salida norte de Santiago, entre Quilicura y Batuco._x000a__x000a_En materia de seguridad vial consideró la instalación de defensas camineras en la mediana y en la berma, protección de elementos duros e instalación de defensas camineras triple onda en el sector de la Cuesta El Manzano. También incluyó elementos como asistencia de camiones grúa, vehículos de patrullaje y apoyo mecánico, personal paramédico, ambulancias y primeros auxilios y citófonos de emergencia dispuestos en ruta._x000a__x000a_La obra cuenta con nueva señalización, demarcación del pavimento, Iluminación y paisajismo en las intersecciones desniveladas, mantenimiento y conservación de calzadas existentes, nueva capa asfáltica en la Cuesta El Melón, mantenimiento y reparación de 19 puentes y pasos de ferrocarril existentes y mantención y mejoramiento de los sistemas de drenaje._x000a__x000a_También dentro de esta obra se consideró los trabajos del denominado Tramo Urbano que corresponde a la zona entre Enlace Quilicura y Lampa que consideró el desarrollo de una autopista de 15 km de extensión de cuatro pistas por sentido, entre Américo Vespucio y Buenaventura y de tres pistas por sentido hasta Lampa. A ello se suman calles laterales, y sin cobro, de 3 pistas por sentido, ubicadas entre Américo Vespucio y Buenaventura, y luego de dos pistas por sentido, hasta Lampa._x000a__x000a_Esta obra consideró además la modernización de la plaza de peajes de Lampa que cuenta con pórtico de telepeaje y casetas manuales a los costados. La ruta otorga como principal beneficio favorecer el transporte en las regiones Metropolitana, Valparaíso y Coquimbo, conectando a las comunas de Quilicura, Colina, Lampa, Til-Til, Llay-Llay, Hijuelas, La Calera, Nogales, Zapallar, La Ligua, Papudo y Los Vilos, beneficiando así a una zona con actividad frutícola, industrial, minera y turística._x000a__x000a_También es importante destacar que comunica con la Ruta de Los Libertadores (Santiago-Colina-Los Andes), que empalma con el paso internacional de Cristo Redentor (Región de Valparaíso), en la frontera con Argentina, a través del cual existe gran intercambio de productos con los distintos países del Mercosur."/>
    <x v="0"/>
    <s v="Coquimbo; Valparaíso; Metropolitana de Santiago"/>
    <s v="Sitio en construcción"/>
    <s v="Público"/>
    <s v=""/>
    <n v="8200000"/>
    <s v="UF"/>
    <s v="https://concesiones.mop.gob.cl/project/concesion-ruta-5-tramo-santiago-los-vilos/"/>
    <x v="0"/>
    <s v="Licitación pública con preselección"/>
    <s v="Nivel de tarifa; Plazo; Pagos."/>
    <d v="1996-05-30T00:00:00"/>
    <d v="1996-06-28T00:00:00"/>
    <d v="1996-07-17T00:00:00"/>
    <d v="1996-10-14T00:00:00"/>
    <d v="1997-03-03T00:00:00"/>
    <s v="96820630-3"/>
    <s v="SOC CONCESIONARIA AUTOPISTA DEL ACONCAGUA S A"/>
    <s v="https://www.cmfchile.cl/institucional/mercados/entidad.php?auth=&amp;send=&amp;mercado=O&amp;rut=96820630&amp;grupo=&amp;tipoentidad=RGEIN&amp;vig=VI&amp;row=AAAwy2ACTAAABy3AAa&amp;control=svs&amp;pestania=1"/>
    <d v="1997-03-03T00:00:00"/>
    <d v="2025-03-31T00:00:00"/>
    <s v="Fijo"/>
    <s v="SD"/>
    <d v="2001-12-31T00:00:00"/>
    <d v="2002-12-24T00:00:00"/>
    <n v="20847627.600917093"/>
    <n v="1"/>
  </r>
  <r>
    <s v="012_ISVV1"/>
    <s v="Interconexión Vial Santiago - Valparaíso - Viña del Mar"/>
    <n v="1"/>
    <s v="Primera concesión Interconexión Vial Santiago - Valparaíso - Viña del Mar"/>
    <s v="Esta interconexión vial comprende un total de 141,3 km compuestos por 109,6 km de la Ruta 68; 21,0 km de la Ruta 62 (Troncal Sur) y 10,7 km de la Ruta 60-CH (Vía Las Palmas). Esta vía constituye la principal ruta que conecta las regiones Metropolitana y de Valparaíso._x000a__x000a_Cuenta con cuatro túneles, 16 puentes, 22 enlaces y catorce atraviesos, a ello se suma 40,2 km de calles de servicio urbanas, 19,6 km de calles de servicio rural y quince pasarelas peatonales, entre otros._x000a__x000a_Esta vía favorece el transporte fluido y seguro de carga y de pasajeros. Su trazado permite un fácil acceso al puerto de Valparaíso, Viña del Mar, Quilpué y a otras ciudades interiores, a través del Troncal Sur y del Camino Las Palmas. La ruta también mejora la accesibilidad poniente al Gran Santiago, a la circunvalación Américo Vespucio y al sector industrial de Quilicura."/>
    <x v="0"/>
    <s v="Valparaíso; Metropolitana de Santiago"/>
    <s v="Sitio en construcción"/>
    <s v="Público"/>
    <s v=""/>
    <n v="12090000"/>
    <s v="UF"/>
    <s v="https://concesiones.mop.gob.cl/project/concesion-interconexion-vial-santiago-valparaiso-vina-del-mar-ruta-68/"/>
    <x v="0"/>
    <s v="Licitación pública con preselección"/>
    <s v="Ingresos totales de la concesión."/>
    <d v="1996-06-03T00:00:00"/>
    <d v="1998-02-02T00:00:00"/>
    <d v="1998-02-19T00:00:00"/>
    <d v="1998-05-29T00:00:00"/>
    <d v="1998-08-31T00:00:00"/>
    <s v="96873140-8"/>
    <s v="SOC CONCESIONARIA RUTAS DEL PACIFICO S A"/>
    <s v="https://www.cmfchile.cl/institucional/mercados/entidad.php?auth=&amp;send=&amp;mercado=O&amp;rut=96873140&amp;grupo=&amp;tipoentidad=RGEIN&amp;vig=VI&amp;row=AAAwy2ACTAAABy+AAI&amp;control=svs&amp;pestania=1"/>
    <d v="1999-08-10T00:00:00"/>
    <d v="2025-06-30T00:00:00"/>
    <s v="Fijo"/>
    <s v="SD"/>
    <d v="2003-07-17T00:00:00"/>
    <d v="2004-04-13T00:00:00"/>
    <n v="15427175.559999999"/>
    <n v="1"/>
  </r>
  <r>
    <s v="013_CHCO1"/>
    <s v="Concesión Internacional Ruta 5 Tramo Chillán - Collipulli"/>
    <n v="1"/>
    <s v="Primera concesión Internacional Ruta 5 Tramo Chillán - Collipulli"/>
    <s v="Autopista de doble calzada que corresponde al tramo de la Ruta 5 Sur ubicado en la Región del Bío Bío. Cuenta con una extensión de 160,2 km._x000a__x000a_En su trazado contempla 30 puentes de hormigón armado, 36 enlaces y atraviesos, 17 pasarelas peatonales, calles de servicio, pasos de maquinaria agrícola y ganado, ciclovías y paraderos de buses. Tiene dos plazas de peajes troncales en Santa Clara y Las Maicas, doce peajes laterales y una plaza de pesaje en ambos sentidos de la ruta._x000a__x000a_Cuenta con vigilancia caminera las 24 horas, 166 citófonos de emergencia cada dos kilómetros a ambos lados de la ruta, estacionamientos para camiones, auxilio mecánico con grúa, ambulancia y primeros auxilios, servicios de control, demarcación, señalética, tres áreas de servicios generales con iluminación, espacios de recreo, agua potable y servicios higiénicos._x000a__x000a_Este tramo de la ruta Ruta da conectividad a centros productivos con mercados locales, empalmando puertos y pasos fronterizos, fortaleciendo así la actividad comercial del sur del país."/>
    <x v="0"/>
    <s v="Ñuble; Biobío; La Araucanía"/>
    <s v="Sitio en construcción"/>
    <s v="Público"/>
    <s v=""/>
    <n v="6640000"/>
    <s v="UF"/>
    <s v="https://concesiones.mop.gob.cl/project/primera-concesion-ruta-5-tramo-chillan-collipulli/"/>
    <x v="0"/>
    <s v="Licitación pública con preselección"/>
    <s v="Nivel de tarifa; Plazo."/>
    <d v="1996-11-01T00:00:00"/>
    <d v="1997-03-04T00:00:00"/>
    <d v="1997-03-17T00:00:00"/>
    <d v="1997-06-30T00:00:00"/>
    <d v="1997-10-14T00:00:00"/>
    <s v="96843170-6"/>
    <s v="RUTA DEL BOSQUE SOCIEDAD CONCECIONARIA S.A."/>
    <s v="https://www.cmfchile.cl/institucional/mercados/entidad.php?auth=&amp;send=&amp;mercado=V&amp;rut=96843170&amp;grupo=&amp;tipoentidad=RVEMI&amp;vig=VI&amp;row=AAAwy2ACTAAABy9AAC&amp;control=svs&amp;pestania=1"/>
    <d v="1998-06-10T00:00:00"/>
    <d v="2023-02-14T00:00:00"/>
    <s v="Fijo"/>
    <s v="SD"/>
    <d v="2002-07-15T00:00:00"/>
    <d v="2003-07-10T00:00:00"/>
    <n v="9603667.0933703333"/>
    <n v="1"/>
  </r>
  <r>
    <s v="014_TERB1"/>
    <s v="Concesión Internacional Ruta 5 Tramo Temuco - Río Bueno"/>
    <n v="1"/>
    <s v="Primera concesión Internacional Ruta 5 Tramo Temuco - Río Bueno"/>
    <s v="Autopista de 171,7 km de longitud, ubicada en los km 718,3 y 890 de la ruta 5 Sur que cruza las comunas de Gorbea y Loncoche, en la Región de la Araucanía, y a las de Lanco, San José de la Mariquina, Máfil, Los Lagos, Paillaco, La Unión y Río Bueno, en la Región de Los Lagos._x000a__x000a_Esta autopista tiene 52 puentes, destacando el Paso Superior Loncoche Poniente, Puente Negro Poniente y Puente Río Bueno Oriente. Además, cuenta con 21 enlaces, 20 pasarelas peatonales, 915 alcantarillas, 78 paraderos de buses, calles de servicios, atraviesos y pasos de maquinaria y ganado._x000a__x000a_El principal beneficio de esta ruta es mejorar la conectividad en la zona y dotar de mayor seguridad para los usuarios y a los habitantes de zonas aledañas a la vía."/>
    <x v="0"/>
    <s v="La Araucanía; Los Ríos"/>
    <s v="Sitio en construcción"/>
    <s v="Público"/>
    <s v=""/>
    <n v="6105000"/>
    <s v="UF"/>
    <s v="https://concesiones.mop.gob.cl/project/concesion-ruta-5-tramo-temuco-rio-bueno/"/>
    <x v="0"/>
    <s v="Licitación pública con preselección"/>
    <s v="Nivel de tarifa; Subsidio."/>
    <d v="1996-11-01T00:00:00"/>
    <d v="1997-04-28T00:00:00"/>
    <d v="1997-05-12T00:00:00"/>
    <d v="1997-08-14T00:00:00"/>
    <d v="1997-10-28T00:00:00"/>
    <s v="96848050-2"/>
    <s v="RUTA DE LOS RIOS SOCIEDAD CONCESIONARIA S A"/>
    <s v="https://www.cmfchile.cl/institucional/mercados/entidad.php?auth=&amp;send=&amp;mercado=O&amp;rut=96848050&amp;grupo=&amp;tipoentidad=RGEIN&amp;vig=VI&amp;row=AAAwy2ACTAAAAWbAAD&amp;control=svs&amp;pestania=1"/>
    <d v="1998-06-30T00:00:00"/>
    <d v="2026-03-30T00:00:00"/>
    <s v="Fijo"/>
    <s v="SD"/>
    <d v="2001-09-14T00:00:00"/>
    <d v="2003-08-01T00:00:00"/>
    <n v="9358918.5"/>
    <n v="1"/>
  </r>
  <r>
    <s v="015_LVLS1"/>
    <s v="Concesión Internacional Ruta 5 Tramo Los Vilos - La Serena"/>
    <n v="1"/>
    <s v="Primera concesión Internacional Ruta 5 Tramo Los Vilos - La Serena"/>
    <s v="Autopista de doble calzada con 229 km de extensión que continua el trazado de la Ruta 5 Norte entre el norte de Los Vilos hasta La Herradura en Coquimbo._x000a__x000a_El tramo tiene cuatro áreas con estacionamientos, cafeterías y servicios higiénicos, dos áreas de control policial y dos áreas de estacionamientos para camiones._x000a__x000a_Esta nueva infraestructura vial ha permitido impulsar la industria del pisco de los valles de Elqui y Limarí, así como el transporte de carga nacional y de exportación a través del puerto de Coquimbo."/>
    <x v="0"/>
    <s v="Coquimbo"/>
    <s v="Sitio en construcción"/>
    <s v="Público"/>
    <s v=""/>
    <n v="7986345"/>
    <s v="UF"/>
    <s v="https://concesiones.mop.gob.cl/project/primera-concesion-ruta-5-tramo-los-vilos-la-serena/"/>
    <x v="0"/>
    <s v="Licitación pública con preselección"/>
    <s v="Nivel de tarifa; Plazo."/>
    <d v="1996-11-10T00:00:00"/>
    <d v="1996-12-23T00:00:00"/>
    <d v="1996-12-31T00:00:00"/>
    <d v="1997-02-20T00:00:00"/>
    <d v="1997-04-23T00:00:00"/>
    <s v="96826380-3"/>
    <s v="SOC CONCESIONARIA DEL ELQUI S A"/>
    <s v="https://www.cmfchile.cl/institucional/mercados/entidad.php?auth=&amp;send=&amp;mercado=O&amp;rut=96826380&amp;grupo=&amp;tipoentidad=RGEIN&amp;vig=VI&amp;row=AAAwy2ACTAAAByxAAB&amp;control=svs&amp;pestania=1"/>
    <d v="1997-12-16T00:00:00"/>
    <d v="2022-12-15T00:00:00"/>
    <s v="Fijo"/>
    <s v="SD"/>
    <d v="2000-10-19T00:00:00"/>
    <d v="2002-03-11T00:00:00"/>
    <n v="8862210.7300000004"/>
    <n v="1"/>
  </r>
  <r>
    <s v="112_ALOA3"/>
    <s v="Aeropuerto El Loa de Calama"/>
    <n v="3"/>
    <s v="Tercera concesión aeropuerto El Loa de Calama"/>
    <s v="El Aeropuerto se ubica en la Región de Antofagasta, provincia de El Loa, zona de desarrollo minero. Actualmente atiende sobre los 100 mil pasajeros mensuales.  El diseño del nuevo recinto considera una capacidad de 8 millones de pasajeros anuales. Para ello, junto con ampliar el metraje disponible, incrementa los equipos de chequeo automático de 5 a 10, y los mesones tradicionales de chequeo de 16 a 28. Para favorecer la accesibilidad de un mayor volumen de personas al recinto, el diseño contempla expandir de 512 a 995 los estacionamientos para automóviles. _x000a_Junto con ello amplia de 6 a 11 los estacionamientos de aeronaves. También considera reubicar y ampliar la planta de tratamiento de aguas servidas, nuevas instalaciones eléctricas, reemplazo total de la señalética preexistente e incorporación de señalética en las nuevas áreas, paisajismo, riego y cerco de seguridad del aeropuerto, entre otras.  La concesión incluye el mantenimiento de todas las obras preexistentes y nuevas que debe ejecutar el concesionario dentro del Área de Concesión_x000a_"/>
    <x v="1"/>
    <s v="Antofagasta"/>
    <s v="Sitio en construcción"/>
    <s v="Público"/>
    <s v=""/>
    <n v="2650000"/>
    <s v="UF"/>
    <s v="https://concesiones.mop.gob.cl/project/tercera-concesion-aeropuerto-el-loa-de-calama/"/>
    <x v="2"/>
    <s v="Sólo licitación pública"/>
    <s v="Ingresos totales de la concesión."/>
    <d v="2021-08-23T00:00:00"/>
    <d v="2023-04-14T00:00:00"/>
    <d v="2023-05-12T00:00:00"/>
    <d v="2023-08-01T00:00:00"/>
    <d v="2023-09-28T00:00:00"/>
    <s v="76703718-K"/>
    <s v="SOCIEDAD CONCESIONARIA AEROPUERTO EL LOA S.A."/>
    <s v="https://www.cmfchile.cl/institucional/mercados/entidad.php?auth=&amp;send=&amp;mercado=O&amp;rut=76703718&amp;grupo=&amp;tipoentidad=RGEIN&amp;vig=VI&amp;row=AAAwy2ACTAAAGD0AAc&amp;control=svs&amp;pestania=1"/>
    <d v="2023-10-28T00:00:00"/>
    <d v="2049-09-28T00:00:00"/>
    <s v="Variable"/>
    <s v="sin inicio"/>
    <s v="Sin inicio de fase de construcción"/>
    <s v="Sin otorgar"/>
    <n v="2650000"/>
    <n v="0"/>
  </r>
  <r>
    <s v="102_ALFS3"/>
    <s v="Tercera Concesión Aeropuerto La Florida de la Serena"/>
    <n v="3"/>
    <s v="Tercera concesión Tercera Concesión Aeropuerto La Florida de la Serena"/>
    <s v="La obra incluye la ampliación, mantención y reposición de la infraestructura, equipamiento e instalaciones existentes en el área de concesión dentro del aeropuerto._x000a__x000a_Considera aumentar la capacidad del Edificio Terminal de Pasajeros que en la segunda concesión tiene un volumen de 4.360 m² para llegar a 13.550 m² aproximadamente._x000a__x000a_La Tercera concesión considera también desarrollar dos nuevos puentes de embarque (en la actualidad no existen), tres cintas de retiro de equipaje, cuatro máquinas de Revisión (AVSEC) y 16 counters para las aerolíneas. A lo anterior se suman 175 nuevos estacionamientos públicos (pasando de 231 a 406); estacionamientos para taxis, buses, minibuses, custodia, rent a car, servicios públicos, sociedad concesionaria, carga y DGAC; nuevas vías de acceso al aeropuerto, incluyendo cruce semaforizado, paraderos de buses y sus refugios; reemplazo de la señalética existente y desarrollo de zonas de paisajismo y áreas verdes._x000a__x000a_Entre los beneficios previstos para esta obra se encuentra fortalecer la integración económica de la región y ampliar la oferta área con un mejor estándar."/>
    <x v="1"/>
    <s v="Coquimbo"/>
    <s v="Sitio en construcción"/>
    <s v="Público"/>
    <s v=""/>
    <n v="1415000"/>
    <s v="UF"/>
    <s v="https://concesiones.mop.gob.cl/project/tercera-concesion-aeropuerto-la-florida-de-la-serena/"/>
    <x v="1"/>
    <s v="Sólo licitación pública"/>
    <s v="Ingresos totales de la concesión."/>
    <d v="2019-11-27T00:00:00"/>
    <d v="2021-01-29T00:00:00"/>
    <d v="2021-03-05T00:00:00"/>
    <d v="2021-04-30T00:00:00"/>
    <d v="2021-08-11T00:00:00"/>
    <s v="77442927 - 1 "/>
    <s v="AEROPUERTO LA FLORIDA SOCIEDAD CONCESIONARIA S.A."/>
    <s v="https://www.cmfchile.cl/institucional/mercados/entidad.php?auth=&amp;send=&amp;mercado=O&amp;rut=77442927&amp;grupo=&amp;tipoentidad=RGEIN&amp;vig=VI&amp;row=AAAwy2ACTAAACuHAAn&amp;control=svs&amp;pestania=1"/>
    <d v="2021-08-11T00:00:00"/>
    <d v="2033-04-10T00:00:00"/>
    <s v="Variable"/>
    <d v="2024-08-29T00:00:00"/>
    <s v="En fase de construcción"/>
    <s v="En fase de construcción"/>
    <n v="1415000"/>
    <n v="0.13500000000000001"/>
  </r>
  <r>
    <s v="018_RBPM1"/>
    <s v="Concesión Internacional Ruta 5 Tramo Río Bueno - Puerto Montt"/>
    <n v="1"/>
    <s v="Primera concesión Internacional Ruta 5 Tramo Río Bueno - Puerto Montt"/>
    <s v="Autopista de doble calzada de 134 km de longitud que corresponde al tramo Río Bueno-Puerto Montt de la Ruta 5 Sur, que cruza las provincias de Valdivia, Osorno y Llanquihue y a las comunas de Río Bueno, San Pablo, Osorno, Río Negro, Purranque, Frutillar, Llanquihue, Puerto Varas y Puerto Montt._x000a__x000a_Entre las obras desarrolladas se encuentran catorce puentes, entre los que se destacan Pilmaiquén Poniente, Rahue Poniente y Maullín Poniente. Además de 79 km de calles de servicio con 62 km pavimentados, 21 enlaces a desnivel con conexión a la Ruta 5 y ocho sin conexión a ésta, 26 pasarelas peatonales, catorce atraviesos de ganado, nueve cruces de maquinaria, 266 alcantarillas, 81 paraderos de buses y rehabilitación de otras tres estructuras._x000a__x000a_La autopista permite una mayor actividad comercial gracias a la cercanía con puertos, aeropuertos y pasos fronterizos."/>
    <x v="0"/>
    <s v="Los Ríos; Los Lagos"/>
    <s v="Sitio en construcción"/>
    <s v="Público"/>
    <s v=""/>
    <n v="5782000"/>
    <s v="UF"/>
    <s v="https://concesiones.mop.gob.cl/project/concesion-ruta-5-tramo-rio-bueno-puerto-montt/"/>
    <x v="2"/>
    <s v="Licitación pública con preselección"/>
    <s v="Nivel de tarifa; Pagos."/>
    <d v="1997-06-12T00:00:00"/>
    <d v="1997-07-15T00:00:00"/>
    <d v="1997-08-05T00:00:00"/>
    <d v="1997-11-14T00:00:00"/>
    <d v="1998-01-13T00:00:00"/>
    <s v="96854510-8"/>
    <s v="SOC CONCESIONARIA DE LOS LAGOS S A"/>
    <s v="https://www.cmfchile.cl/institucional/mercados/entidad.php?auth=&amp;send=&amp;mercado=O&amp;rut=96854510&amp;grupo=&amp;tipoentidad=RGEIN&amp;vig=VI&amp;row=AAAwy2ACTAAAAWcAAI&amp;control=svs&amp;pestania=1"/>
    <d v="1998-09-20T00:00:00"/>
    <d v="2026-06-30T00:00:00"/>
    <s v="Fijo"/>
    <s v="SD"/>
    <d v="2001-10-30T00:00:00"/>
    <d v="2002-09-23T00:00:00"/>
    <n v="9212080.3000000007"/>
    <n v="1"/>
  </r>
  <r>
    <s v="100_RAUS1"/>
    <s v="Concesión Red Aeroportuaria Austral"/>
    <n v="1"/>
    <s v="Primera concesión Red Aeroportuaria Austral (3° concesión A. P. Carlos Ibañez del Campo y 1° concesión A. de Balmaceda)"/>
    <s v="El proyecto consiste en la ampliación, reparación, conservación y reposición de la infraestructura, equipamiento e instalaciones existentes del Aeropuerto Presidente Carlos Ibáñez del Campo y del Aeródromo de Balmaceda, con todas las obras civiles e instalaciones necesarias para dar a las líneas aéreas, pasajeros y demás usuarios del Aeropuerto, las condiciones de servicio, confort y seguridad, acordes a las delos aeropuertos regionales con carácter internacional._x000a__x000a_El Aeropuerto Presidente Carlos Ibáñez del Campo está ubicado a 19 km al noroeste de la ciudad de Punta Arenas, en la Región de Magallanes y corresponde a su tercera concesión. Por su parte, el Aeródromo Balmaceda se encuentra ubicado a 55 km. al sureste de la capital regional Coyhaique, en la Región de Aysén y corresponde a su primera concesión._x000a__x000a_En el caso del Aeropuerto de Punta Arenas considera ampliar desde 6.471 m2 a 16.014 m2. Lo anterior representa un 138% de aumento de capacidad, lo que permitirá atender a 2,1 millones de pasajeros por año._x000a__x000a_El mejoramiento del aeropuerto también contempla nuevos estacionamientos para vehículos, que aumentarán de 441 a 578 plazas. En tanto, el estacionamiento para aeronaves duplicará su capacidad de cinco a diez posiciones, y el espacio para aviación general crecerá de dos a ocho estacionamientos._x000a__x000a_Por su parte, la primera concesión del Aeródromo de Balmaceda incluye la ampliación del terminal desde 2.400 m2 a 12.391 m2 y de los estacionamientos de vehículos, a los que suman 99 nuevas plazas (en la actualidad cuenta con 173). También se duplica el número de estacionamiento para aeronaves comerciales, pasando de tres a seis, y se dispondrá de trece nuevos estacionamientos para aviación general."/>
    <x v="1"/>
    <s v="Aysén del General Carlos Ibáñez del Campo; Magallanes y de la Antártica Chilena"/>
    <s v="Sitio en construcción"/>
    <s v="Público"/>
    <s v=""/>
    <n v="3965000"/>
    <s v="UF"/>
    <s v="https://concesiones.mop.gob.cl/project/concesion-red-aeroportuaria-austral/"/>
    <x v="1"/>
    <s v="Sólo licitación pública"/>
    <s v="Ingresos totales de la concesión."/>
    <d v="2019-08-17T00:00:00"/>
    <d v="2020-11-20T00:00:00"/>
    <d v="2020-12-22T00:00:00"/>
    <d v="2021-01-22T00:00:00"/>
    <d v="2021-03-22T00:00:00"/>
    <s v="77342125-0"/>
    <s v="RED AEROPORTUARIA AUSTRAL SOCIEDAD CONCESIONARIA SOCIEDAD ANONIMA"/>
    <s v="https://www.cmfchile.cl/institucional/mercados/entidad.php?auth=&amp;send=&amp;mercado=O&amp;rut=77342125&amp;grupo=&amp;tipoentidad=RGEIN&amp;vig=VI&amp;row=AAAwy2ACTAAAGDzAAl&amp;control=svs&amp;pestania=1"/>
    <d v="2021-03-22T00:00:00"/>
    <d v="2053-03-22T00:00:00"/>
    <s v="Variable"/>
    <d v="2023-05-26T00:00:00"/>
    <s v="En fase de construcción"/>
    <s v="En fase de construcción"/>
    <n v="3965000"/>
    <s v="Balmaceda: 68,72%; C.Ibáñez del Campo:0,0%"/>
  </r>
  <r>
    <s v="020_COTE1"/>
    <s v="Concesión Internacional Ruta 5 Tramo Collipulli - Temuco"/>
    <n v="1"/>
    <s v="Primera concesión Internacional Ruta 5 Tramo Collipulli - Temuco"/>
    <s v="Autopista de 144 km de extensión que da continuidad a la ruta 5 Sur, emplazándose en la Región de la Araucanía._x000a__x000a_La obra incluye la ampliación a segundas calzadas en todo el tramo, el desarrollo de 17 nuevos puentes y la mantención de los ya existentes, así como la construcción de los bypass de Temuco y Gorbea, además de quince intersecciones a desnivel conectadas a la ruta y de 16 sin conexión a ésta._x000a__x000a_También considera el desarrollo de calles de servicio, 22 pasarelas peatonales, un paso peatonal bajo nivel, un paso bajo línea férrea, cinco pasos superiores, 31 atraviesos, 260 alcantarillas y 66 paraderos de buses._x000a__x000a_Este tramo de la Ruta beneficia directamente a los sectores agropecuarios, lechero y maderero de la zona, así como al transporte terrestre de productos de toda La Araucanía, que movilizan su carga a regiones próximas."/>
    <x v="0"/>
    <s v="La Araucanía"/>
    <s v="Sitio en construcción"/>
    <s v="Público"/>
    <s v=""/>
    <n v="7131000"/>
    <s v="UF"/>
    <s v="https://concesiones.mop.gob.cl/project/concesion-ruta-5-tramo-collipulli-temuco/"/>
    <x v="2"/>
    <s v="Licitación pública con preselección"/>
    <s v="Nivel de tarifa; Pagos."/>
    <d v="1997-10-04T00:00:00"/>
    <d v="1997-11-14T00:00:00"/>
    <d v="1997-12-05T00:00:00"/>
    <d v="1998-04-20T00:00:00"/>
    <d v="1998-07-08T00:00:00"/>
    <s v="96869650-5"/>
    <s v="RUTA DE LA ARAUCANIA SOCIEDAD CONCESIONARIA S A"/>
    <s v="https://www.cmfchile.cl/institucional/mercados/entidad.php?auth=&amp;send=&amp;mercado=O&amp;rut=96869650&amp;grupo=&amp;tipoentidad=RGEIN&amp;vig=VI&amp;row=AAAwy2ACTAAABy8AAO&amp;control=svs&amp;pestania=1"/>
    <d v="1999-03-17T00:00:00"/>
    <d v="2026-10-31T00:00:00"/>
    <s v="Fijo"/>
    <s v="SD"/>
    <d v="2002-12-30T00:00:00"/>
    <d v="2003-10-20T00:00:00"/>
    <n v="13949740.699999999"/>
    <n v="1"/>
  </r>
  <r>
    <s v="021_SATA1"/>
    <s v="Concesión Internacional Ruta 5 Tramo Santiago - Talca y Acceso Sur a Santiago"/>
    <n v="1"/>
    <s v="Primera concesión Internacional Ruta 5 Tramo Santiago - Talca y Acceso Sur a Santiago"/>
    <s v="Autopista de doble calzada de 266 km, que corresponde al tramo Santiago-Talca de la Ruta 5 Sur y además al Acceso Sur a Santiago. Cuenta en todo su trazado con accesos controlados, sistema de seguridad y emergencia, intersecciones principales desniveladas y mejoramiento de la señalización y demarcación existentes._x000a__x000a_El Acceso Sur a Santiago potencia dos sectores industriales definidos en el Plan Regulador Metropolitano para las comunas de La Pintana y Puente Alto. Entre sus beneficios destaca facilitar el transporte de carga internacional e interregional, en particular en las regiones del Libertador General Bernardo O’Higgins, Maule, Metropolitana y la conexión con los puertos de embarque de la Región de Valparaíso._x000a__x000a_Esta obra destaca también la realización de terceras pistas en el sector de Angostura de la Ruta 5 Sur y la nueva plaza de peajes, ambas iniciativas mejoran los tiempos de desplazamiento de un sector altamente demandado."/>
    <x v="0"/>
    <s v="Metropolitana de Santiago; Libertador General Bernardo O'Higgins; Maule"/>
    <s v="Sitio en construcción"/>
    <s v="Público"/>
    <s v=""/>
    <n v="20639400"/>
    <s v="UF"/>
    <s v="https://concesiones.mop.gob.cl/project/concesion-ruta-5-tramo-santiago-talca-y-acceso-sur-a-santiago/"/>
    <x v="2"/>
    <s v="Licitación pública con preselección"/>
    <s v="Nivel de tarifa; Pagos; Otros (iii)"/>
    <d v="1998-04-21T00:00:00"/>
    <d v="1998-04-27T00:00:00"/>
    <d v="1998-05-12T00:00:00"/>
    <d v="1998-06-30T00:00:00"/>
    <d v="1998-08-31T00:00:00"/>
    <s v="96875230-8"/>
    <s v="RUTA DEL MAIPO SOCIEDAD CONCESIONARIA S.A."/>
    <s v="https://www.cmfchile.cl/institucional/mercados/entidad.php?auth=&amp;send=&amp;mercado=V&amp;rut=96875230&amp;grupo=&amp;tipoentidad=RVEMI&amp;vig=VI&amp;row=AAAwy2ACTAAAAWeAAL&amp;control=svs&amp;pestania=2"/>
    <d v="1999-09-12T00:00:00"/>
    <d v="2034-12-27T00:00:00"/>
    <s v="Variable"/>
    <s v="SD"/>
    <d v="2010-04-01T00:00:00"/>
    <d v="2010-04-30T00:00:00"/>
    <n v="35268695.5"/>
    <n v="1"/>
  </r>
  <r>
    <s v="099_ACHA2"/>
    <s v="Segunda Concesión Aeropuerto Chacalluta de Arica"/>
    <n v="2"/>
    <s v="Segunda concesión Aeropuerto Chacalluta de Arica"/>
    <s v="El proyecto considera la ampliación, reparación, conservación y reposición de la infraestructura, equipamiento e instalaciones existentes del Aeropuerto Chacalluta de Arica._x000a__x000a_Entre las obras a desarrollar destaca la ampliación y mejoramiento del edificio terminal de pasajeros que alcanzará una superficie de 11.600 m2 (aproximadamente). Junto a ello se construirá instalaciones aeronáuticas (DGAC), torre de control, edificio administrativo, edificio logístico, edificio SSEI, subestación eléctrica, Edificio Casino, Puntos de Control de Acceso, Instalación Combustible terrestre, Estación Transmisores y receptores, entre otras obras de instalaciones._x000a__x000a_La obra incluye también el mejoramiento de los accesos viales y el incremento de estacionamientos vehiculares._x000a__x000a_Con estos trabajos se fortalecerá el recinto para el transporte de carga y pasajeros integrando en mayor grado a la región y con el resto del país."/>
    <x v="1"/>
    <s v="Arica y Parinacota"/>
    <s v="Sitio en construcción"/>
    <s v="Público"/>
    <s v=""/>
    <n v="2031000"/>
    <s v="UF"/>
    <s v="https://concesiones.mop.gob.cl/project/segunda-concesion-aeropuerto-chacalluta-de-arica/"/>
    <x v="1"/>
    <s v="Sólo licitación pública"/>
    <s v="Nivel de tarifa; Plazo."/>
    <d v="2018-09-21T00:00:00"/>
    <d v="2018-12-21T00:00:00"/>
    <d v="2019-01-16T00:00:00"/>
    <d v="2019-02-04T00:00:00"/>
    <d v="2019-03-20T00:00:00"/>
    <s v="77011942-1"/>
    <s v="SOCIEDAD CONCESIONARIA AEROPUERTO DE ARICA S.A."/>
    <s v="https://www.cmfchile.cl/institucional/mercados/entidad.php?auth=&amp;send=&amp;mercado=O&amp;rut=77011942&amp;grupo=&amp;tipoentidad=RGEIN&amp;vig=VI&amp;row=AAAwy2ACTAAACuBAAN&amp;control=svs&amp;pestania=1"/>
    <d v="2019-03-20T00:00:00"/>
    <d v="2034-04-01T00:00:00"/>
    <s v="Fijo"/>
    <d v="2020-10-23T00:00:00"/>
    <s v="En fase de construcción"/>
    <s v="En fase de construcción"/>
    <n v="2031000"/>
    <n v="1"/>
  </r>
  <r>
    <s v="095_ATEP4"/>
    <s v="Aeropuerto El Tepual de Puerto Montt"/>
    <n v="4"/>
    <s v="Cuarta concesión Aeropuerto El Tepual de Puerto Montt"/>
    <s v="La nueva concesión considera remodelar y ampliar el área Terminal de Pasajeros del Aeropuerto El Tepual de Puerto Montt, con todas las obras civiles e instalaciones necesarias para dar a las líneas aéreas, pasajeros y demás usuarios del aeropuerto, las condiciones de servicio, confort y seguridad, acordes a las de un aeropuerto regional con carácter internacional._x000a__x000a_Se aumentará la capacidad para llegar a recibir 3 millones de pasajeros, pasando de cinco a seis puentes de embarque._x000a__x000a_Considera también facilitar el transporte de carga y pasajeros, integrando en mayor grado a la región y sus habitantes con el resto del país."/>
    <x v="1"/>
    <s v="Los Lagos"/>
    <s v="Sitio en construcción"/>
    <s v="Público"/>
    <s v=""/>
    <n v="810000"/>
    <s v="UF"/>
    <s v="https://concesiones.mop.gob.cl/project/cuarta-concesion-aeropuerto-el-tepual-de-puerto-montt/"/>
    <x v="2"/>
    <s v="Sólo licitación pública"/>
    <s v="Nivel de tarifa."/>
    <d v="2017-10-25T00:00:00"/>
    <d v="2018-01-26T00:00:00"/>
    <d v="2018-02-15T00:00:00"/>
    <d v="2018-03-01T00:00:00"/>
    <d v="2018-04-03T00:00:00"/>
    <s v="76866184-7"/>
    <s v="SOCIEDAD CONCESIONARIA AEROPUERTO DEL SUR S.A."/>
    <s v="https://www.cmfchile.cl/institucional/mercados/entidad.php?auth=&amp;send=&amp;mercado=O&amp;rut=76866184&amp;grupo=&amp;tipoentidad=RGEIN&amp;vig=VI&amp;row=AAAwy2ACTAAAAQiAAU&amp;control=svs&amp;pestania=1"/>
    <d v="2018-05-01T00:00:00"/>
    <d v="2026-11-01T00:00:00"/>
    <s v="Fijo"/>
    <d v="2021-08-13T00:00:00"/>
    <d v="2022-10-14T00:00:00"/>
    <d v="2024-08-17T00:00:00"/>
    <n v="1306596.7"/>
    <n v="1"/>
  </r>
  <r>
    <s v="024_SOPN1"/>
    <s v="Concesión Internacional Sistema Oriente - Poniente"/>
    <n v="1"/>
    <s v="Primera concesión Internacional Sistema Oriente - Poniente"/>
    <s v="Autopista urbana de 42,8 km de extensión distribuida en dos ejes viales de alto estándar. Por un lado, el Eje Costanera Norte, con una longitud de 35,4 km cuyo recorrido va desde el Puente La Dehesa hasta la Ruta 68 y, por otro lado, el Eje Kennedy, con una longitud aproximada de 7,4 km el que se extiende desde Avenida Tabancura (Nudo Estoril) hasta el Puente Lo Saldes, sobre el río Mapocho._x000a__x000a_La obra conecta once comunas de la Región Metropolitana, Lo Barnechea, Vitacura, Las Condes, Providencia, Santiago, Recoleta, Independencia, Quinta Normal, Cerro Navia, Renca y Pudahuel._x000a__x000a_La autopista permite además comunicar de manera rápida la ruta 68 y el Aeropuerto Internacional de Santiago, mejorando así la conectividad de la región._x000a__x000a_La autopista cuenta con sistema de telepeaje."/>
    <x v="2"/>
    <s v="Metropolitana de Santiago"/>
    <s v="Sitio en construcción"/>
    <s v="Público"/>
    <s v=""/>
    <n v="9482776"/>
    <s v="UF"/>
    <s v="https://concesiones.mop.gob.cl/project/concesion-sistema-oriente-poniente-costanera-norte/"/>
    <x v="2"/>
    <s v="Licitación pública con preselección"/>
    <s v="Subsidio; Pagos; Riesgo oferente."/>
    <d v="1999-07-02T00:00:00"/>
    <d v="1999-11-16T00:00:00"/>
    <d v="1999-12-06T00:00:00"/>
    <d v="2000-02-24T00:00:00"/>
    <d v="2000-04-19T00:00:00"/>
    <s v="76496130-7"/>
    <s v="SOCIEDAD CONCESIONARIA COSTANERA NORTE S A"/>
    <s v="https://www.cmfchile.cl/institucional/mercados/entidad.php?auth=&amp;send=&amp;mercado=V&amp;rut=76496130&amp;grupo=&amp;tipoentidad=RVEMI&amp;vig=VI&amp;row=AAAwy2ACTAAABy3AAA&amp;control=svs&amp;pestania=2"/>
    <d v="2003-07-01T00:00:00"/>
    <d v="2036-06-30T00:00:00"/>
    <s v="Variable"/>
    <s v="SD"/>
    <d v="2007-10-04T00:00:00"/>
    <d v="2008-06-08T00:00:00"/>
    <n v="30132097.319999997"/>
    <n v="1"/>
  </r>
  <r>
    <s v="087_ADAI4"/>
    <s v="Aeropuerto Diego Aracena de Iquique"/>
    <n v="4"/>
    <s v="Cuarta concesión Aeropuerto Diego Aracena de Iquique"/>
    <s v="La nueva concesión del Aeropuerto Diego Aracena de Iquique consiste en la ampliación y remodelación del Terminal de Pasajeros, además de la puesta en servicio de 2 puentes de embarques, nuevas obras para favorecer la vialidad interior y exterior, ampliación de estacionamientos, nuevas Instalaciones Aeronáuticas y la ampliación de la losa de estacionamiento para aeronaves._x000a__x000a_El objetivo de estas obras es satisfacer las demandas propias de un Aeropuerto Internacional, dadas las proyecciones que ha realizado el MOP y que se traducen en un aumento de demanda de pasajeros en los próximos años. Actualmente, su pista tiene 3.350 metros de largo y 45 metros de ancho, lo que lo convierte en el segundo aeropuerto del país, sólo superado por el Aeropuerto Internacional Comodoro Arturo Merino Benítez de Santiago._x000a__x000a_La ampliación del terminal de pasajeros considera parte de las instalaciones existentes en el recinto y la reposición y construcción de nuevas dependencias, que incluye ampliación de los 4 puentes de embarque actuales, para llegar un total de 6. También considera nuevos sectores en el área de movimiento y nuevas instalaciones DGAC, entre otras obras, las cuales se desarrollan en su totalidad en terrenos del Aeropuerto. Además, fueron incluidas obras destinadas a satisfacer la demanda y mejorar la calidad del servicio como el Edificio SSEI, Ampliación de Edificio Logístico, Edificio Casino - Auditorio de la DGAC, Subestación Eléctrica DGAC, y una nueva Planta de Tratamiento de Aguas Servidas."/>
    <x v="1"/>
    <s v="Tarapacá"/>
    <s v="Sitio en construcción"/>
    <s v="Público"/>
    <s v=""/>
    <n v="1420000"/>
    <s v="UF"/>
    <s v="https://concesiones.mop.gob.cl/project/cuarta-concesion-aeropuerto-diego-aracena-de-iquique/"/>
    <x v="2"/>
    <s v="Licitación pública con preselección"/>
    <s v="Ingresos totales de la concesión."/>
    <d v="2016-03-23T00:00:00"/>
    <d v="2017-04-18T00:00:00"/>
    <d v="2017-05-18T00:00:00"/>
    <d v="2017-07-24T00:00:00"/>
    <d v="2017-10-12T00:00:00"/>
    <s v="76822899-K"/>
    <s v="SOCIEDAD CONCESIONARIA AEROPUERTO DIEGO ARACENA S.A."/>
    <s v="https://www.cmfchile.cl/institucional/mercados/entidad.php?auth=&amp;send=&amp;mercado=O&amp;rut=76822899&amp;grupo=&amp;tipoentidad=RGEIN&amp;vig=VI&amp;row=AAAwy2ACTAAAB4CAAN&amp;control=svs&amp;pestania=1"/>
    <d v="2017-10-12T00:00:00"/>
    <d v="2042-10-11T00:00:00"/>
    <s v="Variable"/>
    <d v="2019-08-09T00:00:00"/>
    <d v="2024-08-26T00:00:00"/>
    <s v="Sin otorgar"/>
    <n v="2122435.1"/>
    <n v="1"/>
  </r>
  <r>
    <s v="026_EEBA1"/>
    <s v="Concesión Internacional Embalse Illapel"/>
    <n v="1"/>
    <s v="Primera concesión Internacional Embalse Illapel"/>
    <n v="0"/>
    <x v="3"/>
    <s v="Coquimbo"/>
    <s v="Sitio en construcción"/>
    <s v="Público"/>
    <s v=""/>
    <n v="1319600"/>
    <s v="UF"/>
    <s v="no hay disponible"/>
    <x v="0"/>
    <s v="Licitación pública con preselección"/>
    <s v="Plazo; Subsidio."/>
    <d v="1999-08-29T00:00:00"/>
    <d v="2001-03-29T00:00:00"/>
    <d v="2001-04-27T00:00:00"/>
    <d v="2001-07-09T00:00:00"/>
    <d v="2001-10-08T00:00:00"/>
    <s v="96971160-5"/>
    <s v="SOCIEDAD CONCESIONARIA EMBALSE ILLAPEL S.A."/>
    <s v="https://www.cmfchile.cl/institucional/mercados/entidad.php?auth=&amp;send=&amp;mercado=V&amp;rut=96971160&amp;grupo=&amp;tipoentidad=RVEMI&amp;vig=NV&amp;row=AAAwy2ACTAAABzAAAd&amp;control=svs&amp;pestania=2"/>
    <d v="2001-09-30T00:00:00"/>
    <d v="2005-12-13T00:00:00"/>
    <s v="Fijo"/>
    <s v="No aplica"/>
    <s v="No aplica"/>
    <s v="No aplica"/>
    <n v="232211.22"/>
    <n v="0"/>
  </r>
  <r>
    <s v="027_SNSS1"/>
    <s v="Sistema Norte - Sur"/>
    <n v="1"/>
    <s v="Primera concesión Sistema Norte - Sur"/>
    <s v="Autopista urbana de 60 km de longitud dividida en dos ejes. El primero Norte-Sur con una extensión de 39,5 km, se extiende desde la ribera norte del Río Maipo por el sur hasta la circunvalación Américo Vespucio por el norte, en el sector de Quilicura. El otro corresponde a General Velásquez con 21 km de vía que nace en la Ruta 5 Sur (Las Acacias) por el sur hasta su empalme con la Ruta 5 Norte._x000a__x000a_La ruta cuenta con obras adicionales como el enlace Balmaceda y el enlace General Velásquez._x000a__x000a_La Autopista Central fue inaugurada en diciembre de 2004, siendo la primera autopista urbana construida bajo el sistema de Concesiones._x000a__x000a_La autopista cuenta con sistema de telepeaje."/>
    <x v="2"/>
    <s v="Metropolitana de Santiago"/>
    <s v="Sitio en construcción"/>
    <s v="Público"/>
    <s v=""/>
    <n v="15190000"/>
    <s v="UF"/>
    <s v="https://concesiones.mop.gob.cl/project/concesion-sistema-norte-sur-autopista-central/"/>
    <x v="2"/>
    <s v="Licitación pública con preselección"/>
    <s v="Pagos; Riesgo oferente."/>
    <d v="1999-11-17T00:00:00"/>
    <d v="2000-07-31T00:00:00"/>
    <d v="2000-08-21T00:00:00"/>
    <d v="2000-09-14T00:00:00"/>
    <d v="2001-01-04T00:00:00"/>
    <s v="96945440-8"/>
    <s v="SOC CONCESIONARIA AUTOPISTA CENTRAL S A"/>
    <s v="https://www.cmfchile.cl/institucional/mercados/entidad.php?auth=&amp;send=&amp;mercado=V&amp;rut=96945440&amp;grupo=&amp;tipoentidad=RVEMI&amp;vig=VI&amp;row=AAAwy2ACTAAABy+AAF&amp;control=svs&amp;pestania=2"/>
    <d v="2001-07-03T00:00:00"/>
    <d v="2034-08-31T00:00:00"/>
    <s v="Variable"/>
    <s v="SD"/>
    <d v="2006-05-08T00:00:00"/>
    <d v="2007-04-11T00:00:00"/>
    <n v="31119620.699999999"/>
    <n v="1"/>
  </r>
  <r>
    <s v="028_RVLC1"/>
    <s v="Red Vial Litoral Central"/>
    <n v="1"/>
    <s v="Primera concesión Red Vial Litoral Central"/>
    <s v="Red vial de 77 km de longitud que se extiende por el litoral desde Cartagena hasta Algarrobo, en la Región de Valparaíso._x000a__x000a_La iniciativa considera conexión al camino Santiago-Valparaíso-Viña del Mar, en el sector de Casablanca, y al camino Santiago-San Antonio, en el sector de Aguas Buenas._x000a__x000a_La obra consiste en cuatro sectores: Nuevo camino Costero Cartagena-Algarrobo, Camino Algarrobo-Casablanca (Ruta F-90), Camino Costero Interior y Algarrobo-Mirasol._x000a__x000a_Esta obra beneficia a los habitantes de la región y turistas que cuentan con un mejoramiento vial que permite mejorar los flujos de tránsito, así como favorecer el comercio local."/>
    <x v="0"/>
    <s v="Valparaíso"/>
    <s v="Sitio en construcción"/>
    <s v="Público"/>
    <s v=""/>
    <n v="2383470"/>
    <s v="UF"/>
    <s v="https://concesiones.mop.gob.cl/project/concesion-red-vial-litoral-central/"/>
    <x v="2"/>
    <s v="Licitación pública con preselección"/>
    <s v="Nivel de tarifa; Subsidio."/>
    <d v="1999-12-06T00:00:00"/>
    <d v="2000-06-15T00:00:00"/>
    <d v="2000-06-30T00:00:00"/>
    <d v="2000-08-18T00:00:00"/>
    <d v="2000-11-11T00:00:00"/>
    <s v="96943620-5"/>
    <s v="SOC CONCESIONARIA LITORAL CENTRAL S A"/>
    <s v="https://www.cmfchile.cl/institucional/mercados/entidad.php?auth=&amp;send=&amp;mercado=O&amp;rut=96943620&amp;grupo=&amp;tipoentidad=RGEIN&amp;vig=VI&amp;row=AAAwy2ACTAAAByxAAF&amp;control=svs&amp;pestania=1"/>
    <d v="2001-11-16T00:00:00"/>
    <d v="2031-11-11T00:00:00"/>
    <s v="Fijo"/>
    <d v="2001-12-03T00:00:00"/>
    <d v="2004-02-18T00:00:00"/>
    <d v="2004-12-28T00:00:00"/>
    <n v="3715501.1199999996"/>
    <n v="1"/>
  </r>
  <r>
    <s v="029_AVES1"/>
    <s v="Sistema Américo Vespucio Sur, Ruta 78 - Av. Grecia"/>
    <n v="1"/>
    <s v="Primera concesión Sistema Américo Vespucio Sur, Ruta 78 - Av. Grecia"/>
    <s v="Autopista que corresponde al anillo sur de la Circunvalación Américo Vespucio, que constituye uno de los ejes estructurantes del Plan Regulador Metropolitano._x000a__x000a_Tiene una longitud de 23,5 km y se extiende desde la Ruta 78 “Autopista del Sol” a la Rotonda de Avenida Grecia. La ruta cruza nueve comunas: Macul, Peñalolén, La Florida, La Granja, San Ramón, La Cisterna, Lo Espejo, Cerrillos y Maipú._x000a__x000a_La obra consta de dobles calzadas de tres pistas por sentido y calles locales a los costados destinadas a la locomoción colectiva y particular. La autopista cuenta con sistema de telepeaje."/>
    <x v="2"/>
    <s v="Metropolitana de Santiago"/>
    <s v="Sitio en construcción"/>
    <s v="Privado"/>
    <s v=""/>
    <n v="10350000"/>
    <s v="UF"/>
    <s v="https://concesiones.mop.gob.cl/project/concesion-sistema-americo-vespucio-sur-ruta-78-av-grecia/"/>
    <x v="2"/>
    <s v="Licitación pública con preselección"/>
    <s v="Subsidio;  Pagos."/>
    <d v="2000-09-12T00:00:00"/>
    <d v="2001-06-28T00:00:00"/>
    <d v="2001-07-24T00:00:00"/>
    <d v="2001-08-20T00:00:00"/>
    <d v="2001-10-06T00:00:00"/>
    <s v="76052927-3"/>
    <s v="SOCIEDAD CONCESIONARIA AUTOPISTA NUEVA VESPUCIO SUR S.A."/>
    <s v="https://www.cmfchile.cl/institucional/mercados/entidad.php?auth=&amp;send=&amp;mercado=V&amp;rut=76052927&amp;grupo=&amp;tipoentidad=RVEMI&amp;vig=VI&amp;row=AAAwy2ACTAAABzPAAA&amp;control=svs&amp;pestania=2"/>
    <d v="2002-12-06T00:00:00"/>
    <d v="2032-12-05T00:00:00"/>
    <s v="Variable"/>
    <s v="SD"/>
    <d v="2006-04-27T00:00:00"/>
    <d v="2006-08-30T00:00:00"/>
    <n v="21176669.43"/>
    <n v="1"/>
  </r>
  <r>
    <s v="030_VAME1"/>
    <s v="Variante Melipilla"/>
    <n v="1"/>
    <s v="Primera concesión Variante Melipilla"/>
    <s v="Vía de 8,15 km para el tránsito de vehículos con dirección a Rapel o bien a la zona costera norte de la Región del Libertador General Bernardo O’Higgins desde la Ruta 78, que surge como alternativa para evitar cruzar el área urbana de la comuna de Melipilla._x000a__x000a_La variante se conecta con la Ruta 78 mediante el Enlace Rapel, a la altura del km 63 de la Ruta 78, y concluye en la Ruta G-60. En su trazado incluye un nuevo puente sobre el río Maipo._x000a__x000a_La obra permitió agilizar la circulación de vehículos en una zona con flujos elevados y ha mejorado el nivel de servicio en el sector formado por la Ruta G-60, Camino Melipilla-Crucero Las Arañas-Rapel, en el tramo Melipilla-Puente Ingeniero Marambio."/>
    <x v="0"/>
    <s v="Metropolitana de Santiago"/>
    <s v="Sitio en construcción"/>
    <s v="Privado"/>
    <s v=""/>
    <n v="669100"/>
    <s v="UF"/>
    <s v="https://concesiones.mop.gob.cl/project/concesion-variante-melipilla/"/>
    <x v="2"/>
    <s v="Sólo licitación pública"/>
    <s v="Subsidio."/>
    <d v="2000-12-14T00:00:00"/>
    <d v="2001-06-04T00:00:00"/>
    <d v="2001-06-26T00:00:00"/>
    <d v="2001-08-17T00:00:00"/>
    <d v="2001-10-29T00:00:00"/>
    <s v="96972220-8"/>
    <s v="SOC CONCESIONARIA MELIPILLA S A"/>
    <s v="https://www.cmfchile.cl/institucional/mercados/entidad.php?auth=&amp;send=&amp;mercado=V&amp;rut=96972220&amp;grupo=&amp;tipoentidad=RVEMI&amp;vig=VI&amp;row=AAAwy2ACTAAABywAAL&amp;control=svs&amp;pestania=2"/>
    <d v="2003-04-29T00:00:00"/>
    <d v="2033-04-28T00:00:00"/>
    <s v="Fijo"/>
    <s v="SD"/>
    <d v="2004-04-27T00:00:00"/>
    <d v="2005-12-23T00:00:00"/>
    <n v="907495.36"/>
    <n v="1"/>
  </r>
  <r>
    <s v="031_PP1G1"/>
    <s v="Programa de Concesiones de Infraestructura Penitenciaria, Grupo 1"/>
    <n v="1"/>
    <s v="Primera concesión Programa de Concesiones de Infraestructura Penitenciaria, Grupo 1"/>
    <s v="En La Serena se ubica el penal de mediana seguridad, mientras que en Alto Hospicio y Rancagua se emplazan los de alta seguridad que forman parte de este programa Penitenciario._x000a__x000a_Los recintos cuentan con medidas de seguridad, segmentación de la población penal así como servicios como alimentación, lavandería, entre otros._x000a__x000a_En el caso de La Serena tiene una capacidad para 2.318 detenidos, el Alto Hospicio de 2.351 y el de Rancagua de 2.365._x000a__x000a_Cuenta con un Programa de Reinserción Social cuyo foco está en modificar las conductas que lo motivaron a delinquir."/>
    <x v="4"/>
    <s v="Tarapacá; Coquimbo; Libertador General Bernardo O'Higgins"/>
    <s v="Sitio en construcción"/>
    <s v="Público"/>
    <s v=""/>
    <n v="2800000"/>
    <s v="UF"/>
    <s v="https://concesiones.mop.gob.cl/project/concesion-programa-penitenciario-grupo-1-iquique-la-serena-rancagua/"/>
    <x v="2"/>
    <s v="Licitación pública con preselección"/>
    <s v="Subsidio; Otros (iv)"/>
    <d v="2001-03-25T00:00:00"/>
    <d v="2001-10-17T00:00:00"/>
    <d v="2001-12-04T00:00:00"/>
    <d v="2002-03-28T00:00:00"/>
    <d v="2002-06-15T00:00:00"/>
    <s v="96994390-5"/>
    <s v="SOC CONCESIONARIA BAS S A"/>
    <s v="https://www.cmfchile.cl/institucional/mercados/entidad.php?auth=&amp;send=&amp;mercado=O&amp;rut=96994390&amp;grupo=&amp;tipoentidad=RGEIN&amp;vig=VI&amp;row=AAAwy2ACTAAAByxAAO&amp;control=svs&amp;pestania=1"/>
    <d v="2002-06-15T00:00:00"/>
    <d v="2027-12-31T00:00:00"/>
    <s v="Fijo"/>
    <s v="SD"/>
    <d v="2005-10-12T00:00:00"/>
    <d v="2006-01-24T00:00:00"/>
    <n v="5723554.5199999996"/>
    <n v="1"/>
  </r>
  <r>
    <s v="032_AVNP1"/>
    <s v="Sistema Américo Vespucio Nor-Poniente, Av. El Salto-Ruta 78"/>
    <n v="1"/>
    <s v="Primera concesión Sistema Américo Vespucio Nor-Poniente, Av. El Salto-Ruta 78"/>
    <s v="Autopista que corresponde al anillo norte de la Circunvalación Américo Vespucio, que constituye uno de los ejes estructurantes del Plan Regulador Metropolitano de Santiago._x000a__x000a_La autopista, que cuenta con telepeaje, se extiende entre Av. El Salto por el oriente, y la Ruta 78, por el poniente, cruzando las comunas de Huechuraba, Recoleta, Conchalí, Quilicura, Renca, Cerro Navia, Pudahuel y Maipú._x000a__x000a_La ruta interactúa con vías expresas de importancia, como Ruta 5 Norte, Ruta 57-CH, autopista Costanera Norte, Ruta 68, Ruta 78 y autopista Vespucio Sur._x000a__x000a_De igual forma se conecta con el centro de la capital a través del Túnel San Cristóbal, el cual se unirá con la Avenida Kennedy, el eje vial más importante del sector oriente de Santiago."/>
    <x v="2"/>
    <s v="Metropolitana de Santiago"/>
    <s v="Sitio en construcción"/>
    <s v="Privado"/>
    <s v=""/>
    <n v="10100000"/>
    <s v="UF"/>
    <s v="https://concesiones.mop.gob.cl/project/concesion-sistema-americo-vespucio-norponiente-av-el-salto-ruta-78/"/>
    <x v="2"/>
    <s v="Licitación pública con preselección"/>
    <s v="Pagos; Riesgo oferente."/>
    <d v="2001-07-05T00:00:00"/>
    <d v="2001-11-29T00:00:00"/>
    <d v="2001-12-21T00:00:00"/>
    <d v="2002-03-05T00:00:00"/>
    <d v="2002-05-23T00:00:00"/>
    <s v="96992030-1"/>
    <s v="SOC CONCESIONARIA VESPUCIO NORTE EXPRESS S A"/>
    <s v="https://www.cmfchile.cl/institucional/mercados/consulta_busqueda.php?entidad_web=G&amp;valor=96992030&amp;boton_busqueda="/>
    <d v="2003-04-23T00:00:00"/>
    <d v="2033-04-23T00:00:00"/>
    <s v="Variable"/>
    <s v="SD"/>
    <d v="2006-01-04T00:00:00"/>
    <d v="2016-08-22T00:00:00"/>
    <n v="21794859.77"/>
    <n v="1"/>
  </r>
  <r>
    <s v="033_RITP1"/>
    <s v="Ruta Interportuaria Talcahuano - Penco por Isla Rocuant"/>
    <n v="1"/>
    <s v="Primera concesión Ruta Interportuaria Talcahuano - Penco por Isla Rocuant"/>
    <s v="Autopista de calzada bidireccional de alto estándar, conformada por el Troncal Penco-Talcahuano, de 11,1 km, y el Ramal Alessandri, que se conecta al Troncal en enlace Rocuant, con longitud de 3,4 km. La extensión total de esta ruta es de 14,5 km._x000a__x000a_La vía implica una disminución considerable de los tiempos de viaje en el traslado de Penco a Talcahuano, favoreciendo el desarrollo turístico de la Región del Bío Bío al mejorar el acceso a los puertos de Lirquén, Penco, Talcahuano y San Vicente y al Aeropuerto Carriel Sur._x000a__x000a_Asimismo, promueve la conexión con el litoral costero desde Penco a Dichato y, por el interior, a todos los flujos que concentra la Autopista del Itata hacia la Ruta 5 Sur._x000a__x000a_Los impactos más relevantes para Concepción han sido la sustancial reducción del tránsito de camiones por sus calles y el mejoramiento de la vialidad de su área metropolitana."/>
    <x v="0"/>
    <s v="Biobío"/>
    <s v="Sitio en construcción"/>
    <s v="Privado"/>
    <s v=""/>
    <n v="648250"/>
    <s v="UF"/>
    <s v="https://concesiones.mop.gob.cl/project/concesion-ruta-interportuaria-talcahuano-penco/"/>
    <x v="2"/>
    <s v="Sólo licitación pública"/>
    <s v="Ingresos totales de la concesión; Subsidio; Otros (iii)"/>
    <d v="2001-08-17T00:00:00"/>
    <d v="2001-12-06T00:00:00"/>
    <d v="2001-12-28T00:00:00"/>
    <d v="2002-01-31T00:00:00"/>
    <d v="2002-04-20T00:00:00"/>
    <s v="96989050-K"/>
    <s v="SOC CONCESIONARIA AUTOPISTA INTERPORTUARIA S A"/>
    <s v="https://www.cmfchile.cl/institucional/mercados/entidad.php?auth=&amp;send=&amp;mercado=V&amp;rut=96989050&amp;grupo=&amp;tipoentidad=RVEMI&amp;vig=VI&amp;row=AAAwy2ACTAAABywAAd&amp;control=svs&amp;pestania=2"/>
    <d v="2002-04-20T00:00:00"/>
    <d v="2033-10-19T00:00:00"/>
    <s v="Fijo"/>
    <s v="SD"/>
    <d v="2005-05-27T00:00:00"/>
    <d v="2005-12-26T00:00:00"/>
    <n v="946633.08000000007"/>
    <n v="1"/>
  </r>
  <r>
    <s v="034_60RU1"/>
    <s v="Camino Internacional Ruta 60 Ch"/>
    <n v="1"/>
    <s v="Primera concesión Camino Internacional Ruta 60 Ch"/>
    <s v="La Ruta Internacional 60 Ch atraviesa transversalmente el territorio nacional, cruzando la Quinta Región de Valparaíso en sentido oriente-poniente._x000a__x000a_El proyecto se inicia antes del empalme de la Ruta 57 Ch con la actual Ruta 60, al oriente de la ciudad de Los Andes, a 6,5 Km. al poniente del Puente Las Vizcachas, y termina en el enlace Peñablanca, donde empalmará con el punto inicial del Troncal Sur._x000a__x000a_El proyecto tiene una longitud efectiva de 90,5 km y está dividido en dos sectores: Sector 1, Los Andes - Ruta 5 Norte, y Sector 2, Ruta 5 Norte - Enlace Peñablanca."/>
    <x v="0"/>
    <s v="Valparaíso"/>
    <s v="Sitio en construcción"/>
    <s v="Público"/>
    <s v=""/>
    <n v="6680000"/>
    <s v="UF"/>
    <s v="https://concesiones.mop.gob.cl/project/concesion-camino-internacional-ruta-60-ch/"/>
    <x v="2"/>
    <s v="Licitación pública con preselección"/>
    <s v="Subsidio; Pagos; Riesgo oferente."/>
    <d v="2001-09-07T00:00:00"/>
    <d v="2002-01-30T00:00:00"/>
    <d v="2002-03-12T00:00:00"/>
    <d v="2002-10-22T00:00:00"/>
    <d v="2003-01-27T00:00:00"/>
    <s v="99516880-4"/>
    <s v="SOC CONCESIONARIA AUTOPISTA DE LOS ANDES S A"/>
    <s v="https://www.cmfchile.cl/institucional/mercados/entidad.php?auth=&amp;send=&amp;mercado=O&amp;rut=99516880&amp;grupo=&amp;tipoentidad=RGEIN&amp;vig=VI&amp;row=AAAwy2ACTAAAByzAAI&amp;control=svs&amp;pestania=1"/>
    <d v="2003-01-27T00:00:00"/>
    <d v="2036-07-21T00:00:00"/>
    <s v="Fijo"/>
    <d v="2005-01-27T00:00:00"/>
    <d v="2019-01-24T00:00:00"/>
    <d v="2019-08-08T00:00:00"/>
    <n v="12335209.380517498"/>
    <n v="1"/>
  </r>
  <r>
    <s v="086_ACSU2"/>
    <s v="Aeropuerto Carriel Sur de Concepción"/>
    <n v="2"/>
    <s v="Segunda concesión Aeropuerto Carriel Sur de Concepción"/>
    <s v="Esta obra en operaciones consideró la ampliación y mejoramiento de diferentes instalaciones del Aeropuerto Carriel Sur que se ubica a 5 km al noroeste de la ciudad de Concepción._x000a__x000a_Durante la etapa de construcción se realizó la remodelación y ampliación del Edificio Terminal de Pasajeros, instalación de dos nuevos puentes de embarque, construcción de nuevas instalaciones para la DGAC (casino, centro de control, subcentro zonal de mantenimiento, edificio administrativo, torre de control, edificio logístico, abastecimiento de combustible y control de acceso), ampliación y redistribución del área de estacionamientos públicos, ampliación de la vialidad vehicular de circulación interior del Aeropuerto, ampliación de la Plataforma de Estacionamiento de Aviación Comercial denominada “Papa” hacia el sur. Incluye la provisión e instalación de nuevas torres de iluminación, construcción de la Plataforma de Aviación General denominada “Quebec”, entre otros._x000a__x000a_Entre los beneficios de la obra destaca dotar a la región del Biobío y a la macro región sur del país, de un aeropuerto con gran capacidad para atender más de dos millones de pasajeros nacionales e internacionales al año, además de fortalecer la oferta de vuelos desde y hacia la Región del Biobío, mediante la operación sin restricciones de este Aeropuerto en cuanto a su capacidad de atención, entre otros aspectos."/>
    <x v="1"/>
    <s v="Biobío"/>
    <s v="Sitio en construcción"/>
    <s v="Público"/>
    <s v=""/>
    <n v="770000"/>
    <s v="UF"/>
    <s v="https://concesiones.mop.gob.cl/project/segunda-concesion-aeropuerto-carriel-sur-de-concepcion/"/>
    <x v="2"/>
    <s v="Licitación pública con preselección"/>
    <s v="Otros (v)."/>
    <d v="2015-12-14T00:00:00"/>
    <d v="2016-04-28T00:00:00"/>
    <d v="2016-05-26T00:00:00"/>
    <d v="2016-07-01T00:00:00"/>
    <d v="2016-08-19T00:00:00"/>
    <s v="76592495-2"/>
    <s v="SOCIEDAD CONCESIONARIA AEROPUERTO CARRIEL SUR S.A."/>
    <s v="https://www.cmfchile.cl/institucional/mercados/entidad.php?auth=&amp;send=&amp;mercado=O&amp;rut=76592495&amp;grupo=&amp;tipoentidad=RGEIN&amp;vig=VI&amp;row=AAAwy2ACTAAABz/AAh&amp;control=svs&amp;pestania=1"/>
    <d v="2016-08-19T00:00:00"/>
    <d v="2031-08-24T00:00:00"/>
    <s v="Fijo"/>
    <s v="SD"/>
    <d v="2020-10-06T00:00:00"/>
    <d v="2022-12-26T00:00:00"/>
    <n v="1206656.6000000001"/>
    <n v="1"/>
  </r>
  <r>
    <s v="036_PP2G1"/>
    <s v="Programa de Concesiones de Infraestructura Penitenciaria, Grupo 2"/>
    <n v="1"/>
    <s v="Primera concesión Programa de Concesiones de Infraestructura Penitenciaria, Grupo 2"/>
    <s v="No hay disponible"/>
    <x v="4"/>
    <s v="Antofagasta; Biobío"/>
    <s v="Sitio en construcción"/>
    <s v="Público"/>
    <s v=""/>
    <n v="1800000"/>
    <s v="UF"/>
    <s v="no hay disponible"/>
    <x v="0"/>
    <s v="Licitación pública con preselección"/>
    <s v="Subsidio; Otros (iv)"/>
    <d v="2001-10-21T00:00:00"/>
    <d v="2002-06-18T00:00:00"/>
    <d v="2002-07-31T00:00:00"/>
    <d v="2002-12-06T00:00:00"/>
    <d v="2003-03-06T00:00:00"/>
    <s v="99520560-2"/>
    <s v="SOCIEDAD CONCESIONARIA BAS DOS S.A."/>
    <s v="https://www.cmfchile.cl/institucional/mercados/entidad.php?mercado=V&amp;rut=99520560&amp;grupo=&amp;tipoentidad=RVEMI&amp;row=AAAwy2ACTAAABzHAAp&amp;vig=NV&amp;control=svs&amp;pestania=2"/>
    <d v="2003-03-06T00:00:00"/>
    <d v="2006-08-31T00:00:00"/>
    <s v="Fijo"/>
    <s v="No aplica"/>
    <s v="No aplica"/>
    <s v="No aplica"/>
    <n v="1328957.22"/>
    <n v="0"/>
  </r>
  <r>
    <s v="037_ACNO1"/>
    <s v="Acceso Nor - Oriente a Santiago"/>
    <n v="1"/>
    <s v="Primera concesión Acceso Nor - Oriente a Santiago"/>
    <s v="Autopista de 21,5 km de extensión que se inicia en el Enlace Centenario en el límite de las comunas de Vitacura y Huechuraba, conectando con Costanera Norte y Av. Américo Vespucio. Continúa hacia el norte a través de un sistema de viaductos y túneles para cruzar los cerros La Pirámide, Manquehue y Montegordo hasta llegar a la zona del valle de la comuna de Colina, donde el trazado toma dirección en sentido poniente, cruzando la Ruta 57 CH hasta conectarse con la Ruta 5 Norte._x000a__x000a_La autopista está dividida en dos áreas el sector oriente que se extiende desde Enlace Centenario a Enlace Av. Del Valle y el sector poniente desde el Enlace Av. Del Valle a la Ruta 5 Norte._x000a__x000a_La autopista cuenta con sistema de telepeaje."/>
    <x v="2"/>
    <s v="Metropolitana de Santiago"/>
    <s v="Sitio en construcción"/>
    <s v="Privado"/>
    <s v=""/>
    <n v="5468000"/>
    <s v="UF"/>
    <s v="https://concesiones.mop.gob.cl/project/concesion-acceso-nororiente-a-santiago/"/>
    <x v="2"/>
    <s v="Sólo licitación pública"/>
    <s v="Ingresos totales de la concesión."/>
    <d v="2002-01-08T00:00:00"/>
    <d v="2003-08-07T00:00:00"/>
    <d v="2003-08-29T00:00:00"/>
    <d v="2003-10-30T00:00:00"/>
    <d v="2004-01-07T00:00:00"/>
    <s v="99548570-2"/>
    <s v="SOC CONCESIONARIA AUTOPISTA NORORIENTE S A"/>
    <s v="https://www.cmfchile.cl/institucional/mercados/entidad.php?auth=&amp;send=&amp;mercado=O&amp;rut=99548570&amp;grupo=&amp;tipoentidad=RGEIN&amp;vig=VI&amp;row=AAAwy2ACTAAABy0AAM&amp;control=svs&amp;pestania=1"/>
    <d v="2004-01-07T00:00:00"/>
    <d v="2044-11-07T00:00:00"/>
    <s v="Variable"/>
    <s v="SD"/>
    <d v="2008-02-06T00:00:00"/>
    <d v="2017-12-31T00:00:00"/>
    <n v="8769723.2791693248"/>
    <n v="1"/>
  </r>
  <r>
    <s v="038_PBCH1"/>
    <s v="Puente Bicentenario de Chiloé"/>
    <n v="1"/>
    <s v="Primera concesión Puente Bicentenario de Chiloé"/>
    <n v="0"/>
    <x v="0"/>
    <s v="Los Lagos"/>
    <s v="Sitio en construcción"/>
    <s v="Público"/>
    <s v=""/>
    <n v="14150000"/>
    <s v="UF"/>
    <s v="no hay disponible"/>
    <x v="0"/>
    <s v="Licitación pública con preselección"/>
    <s v="Otros (v)"/>
    <d v="2002-02-04T00:00:00"/>
    <d v="2004-12-22T00:00:00"/>
    <d v="2005-01-14T00:00:00"/>
    <d v="2005-04-27T00:00:00"/>
    <d v="2005-07-15T00:00:00"/>
    <s v="_x000a_76333190-3"/>
    <s v="SOCIEDAD CONCESIONARIA PUENTE CHILOE S.A."/>
    <s v="https://www.cmfchile.cl/institucional/mercados/entidad.php?mercado=V&amp;rut=76333190&amp;grupo=&amp;tipoentidad=RVEMI&amp;row=AAAwy2ACTAAABzJAAJ&amp;vig=NV&amp;control=svs&amp;pestania=50"/>
    <d v="2005-07-15T00:00:00"/>
    <d v="2007-01-24T00:00:00"/>
    <s v="Fijo"/>
    <s v="No aplica"/>
    <s v="No aplica"/>
    <s v="No aplica"/>
    <n v="344061.75"/>
    <n v="0"/>
  </r>
  <r>
    <s v="039_PP3G1"/>
    <s v="Programa de Concesiones de Infraestructura Penitenciaria, Grupo N° 3"/>
    <n v="1"/>
    <s v="Primera concesión Programa de Concesiones de Infraestructura Penitenciaria, Grupo N° 3"/>
    <s v="Recintos penitenciarios de mediana seguridad ubicados en Valdivia y Puerto Montt y de alta seguridad en Santiago que fueron diseñados, construidos y están en operación._x000a__x000a_Los nuevos recintos cuentan con sistema de separación de la población penal por grado de peligrosidad, sistema de vigilancia electrónica y de seguridad. También poseen nuevo equipamiento, servicios de alimentación, lavandería y atención de salud para la población detenida._x000a__x000a_El Establecimiento Penitenciario Valdivia tiene una capacidad de 1.747 internos, el de Puerto Montt de 1.743 internos y el de Santiago de 4.000 detenidos._x000a__x000a_Este programa cuenta con un Servicio de Reinserción Social que en el caso de los recintos de Valdivia y Puerto Montt tiene por objetivo la reincorporación del interno al ámbito social, mediante capacitación, intervención social, sicológica y formación de hábitos, entre otros. En el caso del recinto de Santiago los esfuerzos se destinan a minimizar el deterioro de la salud mental de los detenidos."/>
    <x v="4"/>
    <s v="Metropolitana de Santiago; Los Ríos"/>
    <s v="Sitio en construcción"/>
    <s v="Público"/>
    <s v=""/>
    <n v="2750000"/>
    <s v="UF"/>
    <s v="https://concesiones.mop.gob.cl/project/concesion-programa-penitenciario-grupo-3-santiago-valdivia-puerto-montt/"/>
    <x v="2"/>
    <s v="Licitación pública con preselección"/>
    <s v="Subsidio; Otros (iv)"/>
    <d v="2003-01-11T00:00:00"/>
    <d v="2003-12-18T00:00:00"/>
    <d v="2003-12-30T00:00:00"/>
    <d v="2004-02-06T00:00:00"/>
    <d v="2004-04-02T00:00:00"/>
    <s v="99554510-1"/>
    <s v="SOC CONCESIONARIA INFRAESTRUCTURA PENITENCIARIA GRUPO TRES S A"/>
    <s v="https://www.cmfchile.cl/institucional/mercados/entidad.php?auth=&amp;send=&amp;mercado=O&amp;rut=99554510&amp;grupo=&amp;tipoentidad=RGEIN&amp;vig=VI&amp;row=AAAwy2ACTAAABy0AAW&amp;control=svs&amp;pestania=1"/>
    <d v="2004-04-02T00:00:00"/>
    <d v="2027-11-08T00:00:00"/>
    <s v="Fijo"/>
    <s v="SD"/>
    <s v="Santiago 20-01-2007; Valdivia 22-04-2007;Puerto Montt 27-05-2007"/>
    <d v="2007-11-08T00:00:00"/>
    <n v="4410508.8400000008"/>
    <n v="1"/>
  </r>
  <r>
    <s v="040_EIMQ1"/>
    <s v="Estación de Intercambio Modal Quinta Normal"/>
    <n v="1"/>
    <s v="Primera concesión Estación de Intercambio Modal Quinta Normal"/>
    <s v="Esta concesión consideraba el desarrollo de una estación de transferencia intermodal en Quinta Normal._x000a__x000a_La iniciativa sólo tuvo una fase de construcción preliminar y debido ajustes posteriores este finalmente no se materializó."/>
    <x v="5"/>
    <s v="Metropolitana de Santiago"/>
    <s v="Sitio en construcción"/>
    <s v="Público"/>
    <s v=""/>
    <n v="800000"/>
    <s v="UF"/>
    <s v="https://concesiones.mop.gob.cl/project/estacion-intermodal-quinta-normal/"/>
    <x v="0"/>
    <s v="Licitación pública con preselección"/>
    <s v="Nivel de tarifa; Pagos."/>
    <d v="2003-06-01T00:00:00"/>
    <d v="2003-12-31T00:00:00"/>
    <d v="2004-01-27T00:00:00"/>
    <d v="2004-03-26T00:00:00"/>
    <d v="2004-05-13T00:00:00"/>
    <s v="99561490-1"/>
    <s v="SOCIEDAD CONCESIONARIA INTERMODAL QUINTA NORMAL S.A. "/>
    <s v="https://www.cmfchile.cl/institucional/mercados/entidad.php?auth=&amp;send=&amp;mercado=V&amp;rut=99561490&amp;grupo=&amp;tipoentidad=RVEMI&amp;vig=NV&amp;row=AAAwy2ACTAAABzHAAh&amp;control=svs&amp;pestania=2"/>
    <d v="2004-05-13T00:00:00"/>
    <d v="2006-12-28T00:00:00"/>
    <s v="Fijo"/>
    <s v="SD"/>
    <d v="2007-05-26T00:00:00"/>
    <d v="2008-01-23T00:00:00"/>
    <n v="294554.44999999995"/>
    <n v="0"/>
  </r>
  <r>
    <s v="041_EIMC1"/>
    <s v="Estación de Intercambio Modal La Cisterna"/>
    <n v="1"/>
    <s v="Primera concesión Estación de Intercambio Modal La Cisterna"/>
    <s v="Se trata de una Plataforma de Transporte, localizada en el costado oriente de la Estación de Metro La Cisterna, punto terminal de las líneas 2 y 4 A. La estación se encuentra ubicada en la esquina Sur Oriente de Américo Vespucio y Gran Avenida José Miguel Carrera, comuna de la Cisterna._x000a__x000a_La Estación forma parte del Programa de Concesiones de Estaciones de Intercambio Modal, el cual se inserta dentro del Plan de Modernización del Transporte Público en Santiago, impulsado por el Gobierno de Chile._x000a__x000a_La infraestructura asociada a la estación busca facilitar el intercambio de pasajeros entre diversos modos de transporte, permitiendo una circulación cómoda, expedita y rápida en las operaciones de transbordo de los usuarios de Metro con otros sistemas de transporte como buses urbanos e interurbanos y vehículos particulares, entre otros._x000a__x000a_La Estación consta de 28 andenes subterráneos para la operación de buses urbanos, 16 andenes en superficie destinados a buses interurbanos. Se estima que beneficiará a más de 30 millones de pasajeros que utilizan cada año esta infraestructura."/>
    <x v="5"/>
    <s v="Metropolitana de Santiago"/>
    <s v="Sitio en construcción"/>
    <s v="Público"/>
    <s v=""/>
    <n v="1150000"/>
    <s v="UF"/>
    <s v="https://concesiones.mop.gob.cl/project/concesion-estacion-de-intercambio-modal-la-cisterna/"/>
    <x v="2"/>
    <s v="Licitación pública con preselección"/>
    <s v="Nivel de tarifa; Pagos."/>
    <d v="2003-06-01T00:00:00"/>
    <d v="2003-12-31T00:00:00"/>
    <d v="2004-01-29T00:00:00"/>
    <d v="2004-03-26T00:00:00"/>
    <d v="2004-05-31T00:00:00"/>
    <s v="99563430-9"/>
    <s v="SOC CONCESIONARIA INTERMODAL LA CISTERNA  S A"/>
    <s v="https://www.cmfchile.cl/institucional/mercados/entidad.php?auth=&amp;send=&amp;mercado=O&amp;rut=99563430&amp;grupo=&amp;tipoentidad=RGEIN&amp;vig=VI&amp;row=AAAwy2ACTAAABy0AAb&amp;control=svs&amp;pestania=1"/>
    <d v="2004-05-31T00:00:00"/>
    <d v="2027-05-25T00:00:00"/>
    <s v="Fijo"/>
    <s v="SD"/>
    <d v="2007-05-25T00:00:00"/>
    <d v="2008-01-23T00:00:00"/>
    <n v="2009130.69"/>
    <n v="1"/>
  </r>
  <r>
    <s v="082_AAMB2"/>
    <s v="Aeropuerto Internacional Arturo Merino Benítez de Santiago"/>
    <n v="2"/>
    <s v="Segunda concesión Aeropuerto Internacional Arturo Merino Benítez de Santiago"/>
    <s v="El proyecto considera una mejora considerable del principal aeropuerto del país gracias a la construcción de un nuevo Edificio Terminal Internacional de Pasajeros de aproximadamente 249.500 m2 y la remodelación y ampliación del Edificio Terminal existente, dejándolo para uso exclusivo de tráfico nacional._x000a__x000a_La obra también considera el aumento de estacionamientos vehiculares de 3.700 a 5.800 plazas públicas, incluyendo dos edificios de tres pisos cada uno, instalación de 70 nuevos módulos de autochequeo para los pasajeros, nuevos puentes de embarque, para pasar desde los 18 actuales a un total de 67 puentes de embarque, nuevos ascensores, escaleras mecánicas e incorporación de veredas rodantes, además de la implementación de sistemas de manejo de equipaje y chequeo de pasajeros de última generación que mejorarán la calidad de servicio del aeropuerto._x000a__x000a_Se incluye también la ampliación de planta de agua potable, planta de tratamiento de aguas servidas, subestaciones eléctricas, central térmica; ampliación de plataforma para estacionamiento de aeronaves, en sector oriente y poniente, incluyendo calles de rodaje, túnel de conexión oriente-poniente, y camino aeronáutico de servicio, entre otras instalaciones._x000a__x000a_Con estas obras se espera atender a la creciente demanda de pasajeros y mejorar el estándar de la principal puerta de entrada al país."/>
    <x v="1"/>
    <s v="Metropolitana de Santiago"/>
    <s v="Sitio en construcción"/>
    <s v="Público"/>
    <s v=""/>
    <n v="14980000"/>
    <s v="UF"/>
    <s v="https://concesiones.mop.gob.cl/project/segunda-concesion-aeropuerto-arturo-merino-benitez/"/>
    <x v="2"/>
    <s v="Licitación pública con preselección"/>
    <s v="Otros (v)."/>
    <d v="2014-06-20T00:00:00"/>
    <d v="2014-12-30T00:00:00"/>
    <d v="2015-02-04T00:00:00"/>
    <d v="2015-03-12T00:00:00"/>
    <d v="2015-04-21T00:00:00"/>
    <s v="76466068-4"/>
    <s v="SOCIEDAD CONCESIONARIA NUEVO PUDAHUEL S.A."/>
    <s v="https://www.cmfchile.cl/institucional/mercados/entidad.php?auth=&amp;send=&amp;mercado=O&amp;rut=76466068&amp;grupo=&amp;tipoentidad=RGEIN&amp;vig=VI&amp;row=AAAwy2ACTAAABz1AAE&amp;control=svs&amp;pestania=1"/>
    <d v="2015-04-21T00:00:00"/>
    <d v="2035-10-01T00:00:00"/>
    <s v="Fijo"/>
    <d v="2016-11-04T00:00:00"/>
    <d v="2025-12-30T00:00:00"/>
    <s v="Sin otorgar"/>
    <n v="28944329.199999999"/>
    <n v="0.99839999999999995"/>
  </r>
  <r>
    <s v="043_CSJS1"/>
    <s v="Centro de Justicia de Santiago"/>
    <n v="1"/>
    <s v="Primera concesión Centro de Justicia de Santiago"/>
    <s v="Se trata de un conjunto de edificios ubicados en la comuna de Santiago, destinados al funcionamiento del Ministerio Público, la Defensoría Penal Pública, Juzgados de Garantía y Tribunales de Juicio Oral en lo Penal, construidos en el marco de la Reforma Procesal Penal._x000a__x000a_El Centro de Justicia se ubica en terrenos de la ex Famae, en el polígono compuesto por Pedro Montt, Autopista Central (Eje Norte-Sur), Nueva Avenida Centenario y el Centro de Detención Preventiva de Santiago Sur y tiene una superficie de 115.000 mt2 dentro de un terreno de 4,5 hectáreas._x000a__x000a_También considera una plaza central, que organiza la circulación interna del Centro de manera de facilitar la independencia de flujos de los peatones en los recintos."/>
    <x v="5"/>
    <s v="Metropolitana de Santiago"/>
    <s v="Sitio en construcción"/>
    <s v="Público"/>
    <s v=""/>
    <n v="2354000"/>
    <s v="UF"/>
    <s v="https://concesiones.mop.gob.cl/project/concesion-centro-de-justicia-de-santiago/"/>
    <x v="2"/>
    <s v="Licitación pública con preselección"/>
    <s v="Subsidio."/>
    <d v="2003-07-29T00:00:00"/>
    <d v="2004-03-04T00:00:00"/>
    <d v="2004-03-19T00:00:00"/>
    <d v="2004-03-26T00:00:00"/>
    <d v="2004-05-04T00:00:00"/>
    <s v="99557380-6"/>
    <s v="SOC CONCESIONARIA CENTRO DE JUSTICIA DE SANTIAGO S A"/>
    <s v="https://www.cmfchile.cl/institucional/mercados/entidad.php?auth=&amp;send=&amp;mercado=O&amp;rut=99557380&amp;grupo=&amp;tipoentidad=RGEIN&amp;vig=VI&amp;row=AAAwy2ACTAAAAWcAAN&amp;control=svs&amp;pestania=1"/>
    <d v="2004-05-04T00:00:00"/>
    <d v="2028-06-30T00:00:00"/>
    <s v="Fijo"/>
    <s v="SD"/>
    <d v="2007-06-21T00:00:00"/>
    <d v="2008-01-11T00:00:00"/>
    <n v="4551832.1300000008"/>
    <n v="1"/>
  </r>
  <r>
    <s v="044_PCIS1"/>
    <s v="Plaza de la Ciudadanía, Etapa I"/>
    <n v="1"/>
    <s v="Primera concesión Plaza de la Ciudadanía, Etapa I"/>
    <s v="Ubicada al sur del Palacio de La Moneda, esta obra incluyó la construcción, mantención y actual operación de la explanada, plaza, espejos de agua y áreas verdes, así como estacionamientos subterráneos, además de la construcción del Centro Internacional de las Culturas (conocido como Centro Cultural de La Moneda)._x000a__x000a_La explanada tiene una extensión de 10.565 m², el estacionamiento de 17.440 m² distribuido en cuatro niveles y el Centro Cultural con 7.250 m², en 3 niveles._x000a__x000a_La obra busca generar un espacio continuo en el centro cívico, cuyo trayecto se inicia en la Plaza de la Constitución, atraviesa el Palacio de La Moneda, la Plaza de la Ciudadanía y finaliza en el Parque Almagro."/>
    <x v="5"/>
    <s v="Metropolitana de Santiago"/>
    <s v="Sitio en construcción"/>
    <s v="Público"/>
    <s v=""/>
    <n v="520628"/>
    <s v="UF"/>
    <s v="https://concesiones.mop.gob.cl/project/concesion-plaza-de-la-ciudadania-etapa-1/"/>
    <x v="2"/>
    <s v="Sólo licitación pública"/>
    <s v="Subsidio."/>
    <d v="2003-10-09T00:00:00"/>
    <d v="2004-03-02T00:00:00"/>
    <d v="2004-03-25T00:00:00"/>
    <d v="2004-04-19T00:00:00"/>
    <d v="2004-05-19T00:00:00"/>
    <s v="99561160-0"/>
    <s v="SOC CONCESIONARIA PLAZA DE LA CIUDADANIA S A"/>
    <s v="https://www.cmfchile.cl/institucional/mercados/entidad.php?auth=&amp;send=&amp;mercado=O&amp;rut=99561160&amp;grupo=&amp;tipoentidad=RGEIN&amp;vig=VI&amp;row=AAAwy2ACTAAAByxAAb&amp;control=svs&amp;pestania=1"/>
    <d v="2004-05-19T00:00:00"/>
    <d v="2034-05-18T00:00:00"/>
    <s v="Fijo"/>
    <s v="SD"/>
    <d v="2005-11-18T00:00:00"/>
    <d v="2005-12-27T00:00:00"/>
    <n v="591239.70000000007"/>
    <n v="1"/>
  </r>
  <r>
    <s v="045_ETPO1"/>
    <s v="Estadio Techado Parque O’Higgins"/>
    <n v="1"/>
    <s v="Primera concesión Estadio Techado Parque O’Higgins"/>
    <s v="Conocido como Arena Santiago o Movistar Arena, este Estadio Techado se encuentra emplazado en el Parque O’Higgins, entre la elipse y el Campo de Marte con una extensión de 44.000 m²._x000a__x000a_Los trabajos consideraron el desarrollo de la infraestructura y la provisión de la totalidad del equipamiento para la completa y adecuada habilitación y operación comercial del recinto._x000a__x000a_La arena central dispone de tribunas con una capacidad para 12.000 espectadores. Cuenta con cinco amplios salones, canchas y terraza de 900 m2, anfiteatro al aire libre con capacidad para 180 personas y dos canchas multipropósito."/>
    <x v="5"/>
    <s v="Metropolitana de Santiago"/>
    <s v="Sitio en construcción"/>
    <s v="Público"/>
    <s v=""/>
    <n v="245000"/>
    <s v="UF"/>
    <s v="https://concesiones.mop.gob.cl/project/concesion-estadio-techado-parque-ohiggins/"/>
    <x v="2"/>
    <s v="Sólo licitación pública"/>
    <s v="Subsidio; Pagos."/>
    <d v="2004-01-08T00:00:00"/>
    <d v="2004-05-19T00:00:00"/>
    <d v="2004-06-09T00:00:00"/>
    <d v="2004-07-09T00:00:00"/>
    <d v="2004-09-04T00:00:00"/>
    <s v="99573420-6"/>
    <s v="SOC CONCESIONARIA ARENA BICENTENARIO S A"/>
    <s v="https://www.cmfchile.cl/institucional/mercados/entidad.php?auth=&amp;send=&amp;mercado=O&amp;rut=99573420&amp;grupo=&amp;tipoentidad=RGEIN&amp;vig=VI&amp;row=AAAwy2ACTAAABy0AAc&amp;control=svs&amp;pestania=1"/>
    <d v="2004-09-04T00:00:00"/>
    <d v="2026-09-04T00:00:00"/>
    <s v="Fijo"/>
    <s v="SD"/>
    <d v="2006-03-06T00:00:00"/>
    <d v="2006-07-10T00:00:00"/>
    <n v="447674.44000000006"/>
    <n v="1"/>
  </r>
  <r>
    <s v="046_ECVI1"/>
    <s v="Embalse Convento Viejo II Etapa, VI Región"/>
    <n v="1"/>
    <s v="Primera concesión Embalse Convento Viejo II Etapa, VI Región"/>
    <s v="El Embalse Convento Viejo se ubica en la cuenta del Estero Chimbarongo, en las provincias de Colchagua y Cardenal Caro, en la región de O’Higgins, 160 kilómetros al sur de la Región Metropolitana._x000a__x000a_La obra actualmente en operación, consideró la ampliación del Embalse Convento Viejo (Etapa I), de capacidad 27 millones de m3 preexistente, a uno de capacidad de 237 millones de m3 (Etapa II), más una red de canales matrices, principales y secundarios, para el riego de una superficie que originalmente ascendía a las 26.000 há, del Valle de Nilahue._x000a__x000a_El embalse también cuenta con generación de energía eléctrica gracias a la instalación de una central hidroeléctrica de 16,4 MW conectada al Sistema Interconectado Central (SIC)._x000a__x000a_Entre los beneficios de la obra destaca que incrementa la seguridad de riego de las 38.000 há de los Valles de Chimbarongo, Las Toscas y Guirivilo."/>
    <x v="3"/>
    <s v="Libertador General Bernardo O'Higgins"/>
    <s v="Sitio en construcción"/>
    <s v="Público"/>
    <s v=""/>
    <n v="4200000"/>
    <s v="UF"/>
    <s v="https://concesiones.mop.gob.cl/project/concesion-embalse-convento-viejo-ii-etapa-vi-region/"/>
    <x v="2"/>
    <s v="Sólo licitación pública"/>
    <s v="Subsidio."/>
    <d v="2004-01-28T00:00:00"/>
    <d v="2004-11-12T00:00:00"/>
    <d v="2004-12-10T00:00:00"/>
    <d v="2005-04-27T00:00:00"/>
    <d v="2005-07-04T00:00:00"/>
    <s v="76338870-0"/>
    <s v="SOCIEDAD CONCESIONARIA EMBALSE CONVENTO VIEJO S A"/>
    <s v="https://www.cmfchile.cl/institucional/mercados/entidad.php?auth=&amp;send=&amp;mercado=O&amp;rut=76338870&amp;grupo=&amp;tipoentidad=RGEIN&amp;vig=VI&amp;row=AAAwy2ACTAAABy1AAU&amp;control=svs&amp;pestania=1"/>
    <d v="2005-07-04T00:00:00"/>
    <d v="2037-11-04T00:00:00"/>
    <s v="Fijo"/>
    <s v="SD"/>
    <d v="2019-11-11T00:00:00"/>
    <d v="2020-09-07T00:00:00"/>
    <n v="5931101.8199999994"/>
    <n v="1"/>
  </r>
  <r>
    <s v="047_PTLA1"/>
    <s v="Puerto Terrestre Los Andes"/>
    <n v="1"/>
    <s v="Primera concesión Puerto Terrestre Los Andes"/>
    <s v="Con una superficie aproximada de 24 hectáreas y emplazado en el sector El Sauce, en la comuna de Los Andes, Región de Valparaíso, este puerto terrestre tiene una capacidad anual estimada de 135.000 camiones que transportan cerca de dos millones y medio de toneladas al año._x000a__x000a_Esta obra fue diseñada, construida y está en operación como un recinto portuario en que ubican los servicios públicos y privados relacionados con transporte, almacenamiento de la carga y el control aduanero y fitozoosanitario de los productos que ingresan y salen del país, a través del paso fronterizo Los Libertadores que comunica, vía terrestre, a Chile con Argentina y al resto de Mercosur._x000a__x000a_Tiene una capacidad de 498 plazas de aparcamiento, trece plazas para cargas peligrosas, 68 plazas para depósito aduanero y 48 de preandén. Este Puerto Terrestre favorece el intercambio comercial con naciones vecinas."/>
    <x v="5"/>
    <s v="Valparaíso"/>
    <s v="Sitio en construcción"/>
    <s v="Público"/>
    <s v=""/>
    <n v="390562"/>
    <s v="UF"/>
    <s v="https://concesiones.mop.gob.cl/project/concesion-puerto-terrestre-los-andes/"/>
    <x v="2"/>
    <s v="Sólo licitación pública"/>
    <s v="Nivel de tarifa."/>
    <d v="2004-03-09T00:00:00"/>
    <d v="2004-09-15T00:00:00"/>
    <d v="2004-10-14T00:00:00"/>
    <d v="2004-11-30T00:00:00"/>
    <d v="2005-02-23T00:00:00"/>
    <s v="99594180-5"/>
    <s v="PUERTO TERRESTRE LOS ANDESSOCIEDAD CONCESIONARIA S A"/>
    <s v="https://www.cmfchile.cl/institucional/mercados/entidad.php?auth=&amp;send=&amp;mercado=O&amp;rut=99594180&amp;grupo=&amp;tipoentidad=RGEIN&amp;vig=VI&amp;row=AAAwy2ACTAAABy1AAT&amp;control=svs&amp;pestania=1"/>
    <d v="2005-02-23T00:00:00"/>
    <d v="2028-08-31T00:00:00"/>
    <s v="Fijo"/>
    <s v="SD"/>
    <d v="2007-07-27T00:00:00"/>
    <d v="2007-11-29T00:00:00"/>
    <n v="1404626.9200000002"/>
    <n v="1"/>
  </r>
  <r>
    <s v="048_VVSK1"/>
    <s v="Variante Vespucio El Salto - Kennedy"/>
    <n v="1"/>
    <s v="Primera concesión Variante Vespucio El Salto - Kennedy"/>
    <s v="Corresponde a los dos túneles paralelos que se ubican bajo el cerro San Cristóbal el sector de El Salto, comuna de Huechuraba, que con 4,1 km de extensión conectan Avenida El Cerro y Avenida Kennedy, Providencia y Vitacura respectivamente._x000a__x000a_Los túneles están conformados por dos ejes principales que conectan Huechuraba con Providencia, dos ejes secundarios que dan continuidad a Américo Vespucio hacia La Pirámide, y otros dos ejes secundarios que conectan con el sector del puente Lo Saldes. La vía está compuesta por 1,9 km subterráneo y 2,2 km de vialidad de superficie._x000a__x000a_Estos túneles mejoran el nivel de servicio y capacidad de flujos que presenta Américo Vespucio en el sector de La Pirámide, otorgando elementos de seguridad vial, que permiten una conducción más expedita, disminuyendo los tiempos de viaje de los habitantes del Gran Santiago._x000a__x000a_La autopista cuenta con sistema de telepeaje."/>
    <x v="2"/>
    <s v="Metropolitana de Santiago"/>
    <s v="Sitio en construcción"/>
    <s v="Privado"/>
    <d v="1998-11-20T00:00:00"/>
    <n v="2500000"/>
    <s v="UF"/>
    <s v="https://concesiones.mop.gob.cl/project/concesion-variante-vespucio-el-salto-kennedy-tunel-san-cristobal/"/>
    <x v="2"/>
    <s v="Sólo licitación pública"/>
    <s v="Nivel de tarifa; Pagos"/>
    <d v="2004-04-14T00:00:00"/>
    <d v="2004-08-18T00:00:00"/>
    <d v="2004-09-09T00:00:00"/>
    <d v="2004-11-26T00:00:00"/>
    <d v="2005-02-21T00:00:00"/>
    <s v="99588750-9"/>
    <s v="SOCIEDAD CONCESIONARIA TUNEL SAN CRISTOBAL S.A."/>
    <s v="https://www.cmfchile.cl/institucional/mercados/entidad.php?auth=&amp;send=&amp;mercado=O&amp;rut=99594180&amp;grupo=&amp;tipoentidad=RGEIN&amp;vig=VI&amp;row=AAAwy2ACTAAABy1AAT&amp;control=svs&amp;pestania=1"/>
    <d v="2005-02-21T00:00:00"/>
    <d v="2037-08-20T00:00:00"/>
    <s v="Variable"/>
    <s v="SD"/>
    <d v="2008-07-03T00:00:00"/>
    <d v="2009-06-03T00:00:00"/>
    <n v="4102180.9400000004"/>
    <n v="1"/>
  </r>
  <r>
    <s v="049_CVSR1"/>
    <s v="Conexión Vial Av. Suiza - Las Rejas"/>
    <n v="1"/>
    <s v="Primera concesión Conexión Vial Av. Suiza - Las Rejas"/>
    <s v="Esta concesión finalizó en noviembre de 2020 y consideró la construcción y operación de un conjunto de obras viales y estructurales, que conectan las avenidas Suiza con Las Rejas en los límites de las comunas de Estación Central y Cerrillos, en la Región Metropolitana._x000a__x000a_La conexión tiene una longitud aproximada de 3 km, se inicia en el cruce Avenida Suiza con Avenida Pedro Aguirre Cerda en dirección al norte, con doble calzadas finalizando en Calle Titán. Luego al llegar a la Ruta 78 (Autopista Santiago - San Antonio) cuenta con un viaducto de doble calzadas de tres pistas por sentido, de una longitud aproximada de 150 metros. El tercer tramo es un corredor que finaliza en la intersección de Avenida Las Rejas con Calle Las Violetas, aproximadamente 100 metros al sur de Alameda._x000a__x000a_La obra permite unir el anillo intermedio de circunvalación al interior de Santiago, con un estándar de vía urbana que permite el desplazamiento de los nuevos buses de transporte público, logrando así, disminuir los tiempos de viaje._x000a__x000a_Con el desarrollo de esta obra se buscó mejorar los estándares de estructuras utilizadas para el transporte público."/>
    <x v="5"/>
    <s v="Metropolitana de Santiago"/>
    <s v="Sitio en construcción"/>
    <s v="Público"/>
    <s v=""/>
    <n v="770000"/>
    <s v="UF"/>
    <s v="https://concesiones.mop.gob.cl/project/concesion-conexion-vial-suiza-las-rejas/"/>
    <x v="0"/>
    <s v="Licitación pública con preselección"/>
    <s v="Ingresos totales de la concesión."/>
    <d v="2004-09-25T00:00:00"/>
    <d v="2005-01-28T00:00:00"/>
    <d v="2005-02-22T00:00:00"/>
    <d v="2005-03-22T00:00:00"/>
    <d v="2005-06-02T00:00:00"/>
    <s v="76296350-7"/>
    <s v="SOCIEDAD CONCESIONARIA CONEXION LAS REJAS S.A."/>
    <s v="https://www.cmfchile.cl/institucional/mercados/entidad.php?auth=&amp;send=&amp;mercado=O&amp;rut=76296350&amp;grupo=&amp;tipoentidad=RGEIN&amp;vig=NV&amp;row=AAAwy2ACTAAABy0AAC&amp;control=svs&amp;pestania=1"/>
    <d v="2005-06-02T00:00:00"/>
    <d v="2020-11-30T00:00:00"/>
    <s v="Variable"/>
    <s v="SD"/>
    <d v="2006-12-01T00:00:00"/>
    <d v="2007-12-14T00:00:00"/>
    <n v="846695.53999999992"/>
    <n v="1"/>
  </r>
  <r>
    <s v="050_ETTT1"/>
    <s v="Estaciones de Transbordo para Transantiago"/>
    <n v="1"/>
    <s v="Primera concesión Estaciones de Transbordo para Transantiago"/>
    <s v="Esta concesión finalizó en abril de 2021 y consideró la construcción y mantención de 35 Estaciones de Transbordo de Pasajeros, cuyas capacidades oscilan entre 1.000 y 18.000 viajeros por hora._x000a__x000a_Las estaciones desarrolladas se emplazan en 22 comunas: Estación Central, Santiago, Providencia, Ñuñoa, Puente Alto, Recoleta, Las Condes, Lo Prado, La Reina, La Granja, San Ramón, Macul, Peñalolén, La Florida, Renca, Independencia, Conchalí, San Joaquín, San Miguel, Quinta Normal, Maipú y Pudahuel._x000a__x000a_Cada una de estas cuenta como un sistema integrado de andenes para pasajeros, que facilitan la integración entre líneas de buses, otros medios de transportes y el desplazamiento de los peatones, cumpliendo con los requisitos mínimos en términos de capacidad y nivel de servicio._x000a__x000a_Con el desarrollo de esta obra se buscó mejorar los estándares de estructuras utilizadas para el transporte público."/>
    <x v="5"/>
    <s v="Metropolitana de Santiago"/>
    <s v="Sitio en construcción"/>
    <s v="Público"/>
    <s v=""/>
    <n v="989500"/>
    <s v="UF"/>
    <s v="https://concesiones.mop.gob.cl/project/concesion-estaciones-de-transbordo-para-transporte-publico/"/>
    <x v="0"/>
    <s v="Licitación pública con preselección"/>
    <s v="Ingresos totales de la concesión."/>
    <d v="2005-06-18T00:00:00"/>
    <d v="2005-12-09T00:00:00"/>
    <d v="2006-01-03T00:00:00"/>
    <d v="2006-01-26T00:00:00"/>
    <d v="2006-04-13T00:00:00"/>
    <s v="76522250-8"/>
    <s v="SOCIEDAD CONCESIONARIA CONCESIONES URBANAS S.A."/>
    <s v="https://www.cmfchile.cl/institucional/mercados/entidad.php?auth=&amp;send=&amp;mercado=O&amp;rut=76522250&amp;grupo=&amp;tipoentidad=RGEIN&amp;vig=NV&amp;row=AAAwy2ACTAAAAWdAAC&amp;control=svs&amp;pestania=1"/>
    <d v="2006-04-13T00:00:00"/>
    <d v="2021-04-12T00:00:00"/>
    <s v="Fijo"/>
    <s v="SD"/>
    <d v="2007-05-30T00:00:00"/>
    <d v="2008-02-05T00:00:00"/>
    <n v="1584805.25"/>
    <n v="1"/>
  </r>
  <r>
    <s v="051_CTSR1"/>
    <s v="Habilitación Corredor de Transporte Público Av. Santa Rosa, Sector Alameda - A. Vespucio"/>
    <n v="1"/>
    <s v="Primera concesión Habilitación Corredor de Transporte Público Av. Santa Rosa, Sector Alameda - A. Vespucio"/>
    <s v="Esta concesión finalizó el 13 de marzo de 2022 y consistió en la operación y mantención de las obras viales y estructurales del Corredor Urbano Av. Santa Rosa entre la Alameda Av. Libertador Bernardo O`Higgins y Av. Américo Vespucio, incluyendo la calle San Francisco entre la Alameda y la conexión con Av. Santa Rosa, a la altura de la calle Carlos Silva Vildósola._x000a__x000a_Este Corredor vial atraviesa las comunas de Santiago, San Joaquín, San Miguel, La Granja y San Ramón, con una longitud aproximada de 10,78 km por Av. Santa Rosa y 3,9 km por San Francisco."/>
    <x v="5"/>
    <s v="Metropolitana de Santiago"/>
    <s v="Sitio en construcción"/>
    <s v="Público"/>
    <s v=""/>
    <n v="2261000"/>
    <s v="UF"/>
    <s v="https://concesiones.mop.gob.cl/project/concesion-corredor-de-transporte-publico-av-santa-rosa/"/>
    <x v="0"/>
    <s v="Licitación pública con preselección"/>
    <s v="Ingresos totales de la concesión."/>
    <d v="2005-06-25T00:00:00"/>
    <d v="2005-11-30T00:00:00"/>
    <d v="2005-12-22T00:00:00"/>
    <d v="2006-01-17T00:00:00"/>
    <d v="2006-04-13T00:00:00"/>
    <s v="76518910-1"/>
    <s v="SOCIEDAD CONCESIONARIA VIA SANTA ROSA S.A."/>
    <s v="https://www.cmfchile.cl/institucional/mercados/entidad.php?auth=&amp;send=&amp;mercado=O&amp;rut=76518910&amp;grupo=&amp;tipoentidad=RGEIN&amp;vig=VI&amp;row=AAAwy2ACTAAAByxAAY&amp;control=svs&amp;pestania=1"/>
    <d v="2006-04-13T00:00:00"/>
    <d v="2022-03-01T00:00:00"/>
    <s v="Variable"/>
    <s v="SD"/>
    <d v="2008-03-13T00:00:00"/>
    <d v="2008-10-02T00:00:00"/>
    <n v="3111969.2500000005"/>
    <n v="1"/>
  </r>
  <r>
    <s v="052_160R1"/>
    <s v="Ruta 160, Tramo Tres Pinos - Acceso Norte a Coronel"/>
    <n v="1"/>
    <s v="Primera concesión Ruta 160, Tramo Tres Pinos - Acceso Norte a Coronel"/>
    <s v="Autopista de 89 km de longitud que se ubica desde el acceso norte a la ciudad de Coronel y la localidad de Cerro Alto, cruzando las comunas de Coronel, Lota, Arauco, Curanilahue, y Los Álamos._x000a__x000a_La ruta cuenta con doble calzada de dos pistas por sentido en toda su extensión. Asimismo tiene nuevas estructuras como puentes, pasarelas, pasos desnivelados, enlaces, obras de saneamiento, señalización, seguridad vial, iluminación, paraderos peatonales, áreas de servicios y aproximadamente 13 km de calles de servicio. La obra incorpora los bypass Lota, Laraquete y Villa Los Ríos._x000a__x000a_El principal beneficio de la vía es mejorar la conectividad de la región, favoreciendo de esta forma el intercambio comercial."/>
    <x v="0"/>
    <s v="Biobío"/>
    <s v="Sitio en construcción"/>
    <s v="Público"/>
    <s v=""/>
    <n v="7700000"/>
    <s v="UF"/>
    <s v="https://concesiones.mop.gob.cl/proyectos/Paginas/detalleExplotacion.aspx?item=7"/>
    <x v="2"/>
    <s v="Sólo licitación pública"/>
    <s v="Subsidio; Ingresos totales de la concesión."/>
    <d v="2007-01-05T00:00:00"/>
    <d v="2008-03-04T00:00:00"/>
    <d v="2008-04-04T00:00:00"/>
    <d v="2008-06-27T00:00:00"/>
    <d v="2008-09-13T00:00:00"/>
    <s v="76039865-9"/>
    <s v="SOCIEDAD CONCESIONARIA AUTOPISTA COSTA ARAUCO S.A."/>
    <s v="https://www.cmfchile.cl/institucional/mercados/entidad.php?auth=&amp;send=&amp;mercado=O&amp;rut=76039865&amp;grupo=&amp;tipoentidad=RGEIN&amp;vig=VI&amp;row=AAAwy2ACTAAAByzAAP&amp;control=svs&amp;pestania=1"/>
    <d v="2008-09-13T00:00:00"/>
    <d v="2048-09-12T00:00:00"/>
    <s v="Variable"/>
    <d v="2011-01-09T00:00:00"/>
    <d v="2016-09-29T00:00:00"/>
    <d v="2017-05-31T00:00:00"/>
    <n v="8391266.1999999993"/>
    <n v="1"/>
  </r>
  <r>
    <s v="079_ATEP3"/>
    <s v="Aeropuerto El Tepual de Puerto Montt, X Región de Los Lagos"/>
    <n v="3"/>
    <s v="Tercera concesión Aeropuerto El Tepual de Puerto Montt, X Región de Los Lagos"/>
    <s v="Esta concesión finalizó en 2018 y consideró la remodelación y ampliación del principal terminal aéreo de la Región de Los Lagos, a través del desarrollo de obras de equipamiento, nuevas áreas de servicios y hall de público. El proyecto tuvo por objetivo mejorar los estándares de las instalaciones aeroportuarias para entregar un mayor confort a los usuarios._x000a__x000a_La obra fue relicitada y en la actualidad está vigente la cuarta concesión."/>
    <x v="1"/>
    <s v="Los Lagos"/>
    <s v="Sitio en construcción"/>
    <s v="Público"/>
    <s v=""/>
    <n v="92000"/>
    <s v="UF"/>
    <s v="https://concesiones.mop.gob.cl/project/tercera-concesion-aeropuerto-el-tepual-de-puerto-montt/"/>
    <x v="0"/>
    <s v="Licitación pública con preselección"/>
    <s v="Pagos; Ingresos totales de la concesión."/>
    <d v="2013-08-30T00:00:00"/>
    <d v="2013-12-05T00:00:00"/>
    <d v="2013-12-27T00:00:00"/>
    <d v="2014-02-11T00:00:00"/>
    <d v="2014-03-28T00:00:00"/>
    <s v="76365734-5"/>
    <s v="SOCIEDAD CONCESIONARIA AEROPUERTO EL TEPUAL S.A."/>
    <s v="https://www.cmfchile.cl/institucional/mercados/entidad.php?auth=&amp;send=&amp;mercado=O&amp;rut=76365734&amp;grupo=&amp;tipoentidad=RGEIN&amp;vig=NV&amp;row=AAAwy2ACTAAABzUAAA&amp;control=svs&amp;pestania=1"/>
    <d v="2014-03-28T00:00:00"/>
    <d v="2018-04-30T00:00:00"/>
    <s v="Fijo"/>
    <d v="2014-10-16T00:00:00"/>
    <d v="2016-02-15T00:00:00"/>
    <d v="2014-10-30T00:00:00"/>
    <n v="99685.88"/>
    <n v="1"/>
  </r>
  <r>
    <s v="074_ALFS2"/>
    <s v="Aeródromo La Florida de La Serena, IV Región de Coquimbo"/>
    <n v="2"/>
    <s v="Segunda concesión Aeródromo La Florida de La Serena, IV Región de Coquimbo"/>
    <s v="Esta concesión finalizó en octubre de 2021 y consideró la remodelación y ampliación del principal terminal aéreo que pasó de 3.200 a 4.500 metros cuadrados el terminal, gracias a la construcción de un nuevo edificio logístico para la DGAC y para la Policía de Investigaciones, SAG y Aduana._x000a__x000a_Asimismo se amplió la cabina de la torre de control, la plataforma del recinto y las áreas de servicios como baños públicos, cafetería y cocina, entre otros._x000a__x000a_El proyecto tuvo por objetivo mejorar los estándares de las instalaciones aeroportuarias para entregar un mayor confort a los usuarios._x000a__x000a_La obra fue licitada nuevamente y en la actualidad está vigente la tercera concesión."/>
    <x v="1"/>
    <s v="Coquimbo"/>
    <s v="Sitio en construcción"/>
    <s v="Público"/>
    <s v=""/>
    <n v="174000"/>
    <s v="UF"/>
    <s v="https://concesiones.mop.gob.cl/project/segunda-concesion-aerodromo-la-florida-de-la-serena/"/>
    <x v="0"/>
    <s v="Licitación pública con preselección"/>
    <s v="Ingresos totales de la concesión."/>
    <d v="2011-12-29T00:00:00"/>
    <d v="2012-06-28T00:00:00"/>
    <d v="2012-07-19T00:00:00"/>
    <d v="2012-09-21T00:00:00"/>
    <d v="2012-12-12T00:00:00"/>
    <s v="76256545-5"/>
    <s v="CONSORCIO AEROPORTUARIO DE LA SERENA S.A. SOCIEDAD CONCESIONARIA"/>
    <s v="https://www.cmfchile.cl/institucional/mercados/entidad.php?auth=&amp;send=&amp;mercado=O&amp;rut=76256545&amp;grupo=&amp;tipoentidad=RGEIN&amp;vig=VI&amp;row=AAAwy2ACTAAABzTAAR&amp;control=svs&amp;pestania=1"/>
    <d v="2012-12-12T00:00:00"/>
    <d v="2021-10-31T00:00:00"/>
    <s v="Fijo"/>
    <s v="SD"/>
    <d v="2015-05-12T00:00:00"/>
    <d v="2016-02-23T00:00:00"/>
    <n v="411624.01999999996"/>
    <n v="1"/>
  </r>
  <r>
    <s v="055_60GR1"/>
    <s v="Conexión Vial Melipilla - Camino de la Fruta"/>
    <n v="1"/>
    <s v="Primera concesión Conexión Vial Melipilla - Camino de la Fruta"/>
    <n v="0"/>
    <x v="0"/>
    <s v="Metropolitana de Santiago"/>
    <s v="Sitio en construcción"/>
    <s v="Privado"/>
    <d v="2004-01-20T00:00:00"/>
    <n v="880000"/>
    <s v="UF"/>
    <s v="no hay disponible"/>
    <x v="0"/>
    <s v="Sólo licitación pública"/>
    <s v="Subsidio; Ingresos totales de la concesión."/>
    <d v="2007-12-29T00:00:00"/>
    <d v="2008-07-31T00:00:00"/>
    <d v="2008-08-28T00:00:00"/>
    <d v="2008-11-28T00:00:00"/>
    <d v="2009-01-29T00:00:00"/>
    <s v="76051174-9"/>
    <s v="SOCIEDAD CONCESIONARIA RUTA G-60 S.A."/>
    <s v="https://www.cmfchile.cl/institucional/mercados/entidad.php?auth=&amp;send=&amp;mercado=O&amp;rut=76051174&amp;grupo=&amp;tipoentidad=RGEIN&amp;vig=VI&amp;row=AAAwy2ACTAAABy0AAU&amp;control=svs&amp;pestania=2"/>
    <d v="2009-01-29T00:00:00"/>
    <d v="2014-05-14T00:00:00"/>
    <s v="Variable"/>
    <s v="No aplica"/>
    <s v="No aplica"/>
    <s v="No aplica"/>
    <n v="308326.59999999998"/>
    <n v="0"/>
  </r>
  <r>
    <s v="056_VCAL1"/>
    <s v="Concesión Ruta 5 Norte. Tramo: Vallenar - Caldera"/>
    <n v="1"/>
    <s v="Primera concesión Ruta 5 Norte. Tramo: Vallenar - Caldera"/>
    <s v="Esta obra considera un total de 227 km de trabajos de mejoramiento de la ruta distribuidos en cuatro tramos. El primero, de 123 km de longitud, comienza en el acceso sur a la ciudad de Vallenar y se empalma con el inicio del bypass a Copiapó en el sector Travesía. El segundo, de 65 km de longitud, se inicia al finalizar en el bypass a Copiapó, en el sector de Toledo al norte de la ciudad de Copiapó, y concluye al norte de la ciudad de Caldera, en el acceso a playa Ramada. El tercer tramo es la conservación del camino de acceso al balneario Bahía Inglesa (6 km) y el bypass Copiapó que tiene una longitud de 33 km aproximadamente, con calzada bidireccional._x000a__x000a_El principal beneficio de esta obra es mejorar la conectividad en la zona gracias a la construcción de segundas calzadas, calles de servicio, intersecciones y puntos de retorno a nivel, lo que se suma al mejoramiento de los sistemas de saneamiento y drenaje, implementación de elementos de control y seguridad vial, iluminación, paisajismo, estructuras y puentes, entre otras."/>
    <x v="0"/>
    <s v="Atacama"/>
    <s v="Sitio en construcción"/>
    <s v="Público"/>
    <s v=""/>
    <n v="7230000"/>
    <s v="UF"/>
    <s v="https://concesiones.mop.gob.cl/project/concesion-ruta-160-tramo-tres-pinos-acceso-norte-a-coronel/"/>
    <x v="2"/>
    <s v="Sólo licitación pública"/>
    <s v="Nivel de tarifa; Subsidio; Ingresos totales de la concesión."/>
    <d v="2007-12-29T00:00:00"/>
    <d v="2008-09-16T00:00:00"/>
    <d v="2008-10-17T00:00:00"/>
    <d v="2009-01-08T00:00:00"/>
    <d v="2009-03-04T00:00:00"/>
    <s v="76054764-6"/>
    <s v="SOCIEDAD CONCESIONARIA VALLES DEL DESIERTO S.A."/>
    <s v="https://www.cmfchile.cl/institucional/mercados/entidad.php?auth=&amp;send=&amp;mercado=O&amp;rut=76054764&amp;grupo=&amp;tipoentidad=RGEIN&amp;vig=VI&amp;row=AAAwy2ACTAAABy0AAJ&amp;control=svs&amp;pestania=1"/>
    <d v="2009-03-04T00:00:00"/>
    <d v="2044-03-03T00:00:00"/>
    <s v="Variable"/>
    <d v="2011-01-09T00:00:00"/>
    <d v="2011-11-03T00:00:00"/>
    <d v="2012-05-04T00:00:00"/>
    <n v="6465494.1300000008"/>
    <n v="1"/>
  </r>
  <r>
    <s v="057_CMVR1"/>
    <s v="Centro Metropolitano de Vehículos Retirados de Circulación"/>
    <n v="1"/>
    <s v="Primera concesión Centro Metropolitano de Vehículos Retirados de Circulación"/>
    <s v="Esta obra viene a suplir una necesidad de los municipios que según la Ley de Tránsito están obligados a recibir y custodiar aquellos vehículos que son retirados de circulación o de la vía pública, ya sea por estar estacionados en lugares no permitidos, por participación en accidentes o por abandono, entre otras razones establecidas en la legislación._x000a__x000a_El recinto se ubica en el km 2,7 del Camino Lo Echevers (Ruta G-16), comuna de Quilicura y el terreno total es de aproximadamente 26,5 hectáreas, de las cuales 24 están habilitadas para custodiar 12.000 vehículos aproximadamente._x000a__x000a_Cuenta instalaciones, equipamientos y sistemas de seguridad e informáticos, necesarios para resguardar autos previa inscripción del municipio._x000a__x000a_En lugar también se realizan remates de vehículos abandonados."/>
    <x v="5"/>
    <s v="Metropolitana de Santiago"/>
    <s v="Sitio en construcción"/>
    <s v="Privado"/>
    <d v="2002-03-22T00:00:00"/>
    <n v="482000"/>
    <s v="UF"/>
    <s v="https://concesiones.mop.gob.cl/project/concesion-centro-metropolitano-de-vehiculos-retirados-de-circulacion/"/>
    <x v="2"/>
    <s v="Sólo licitación pública"/>
    <s v="Nivel de tarifa."/>
    <d v="2008-01-04T00:00:00"/>
    <d v="2009-11-04T00:00:00"/>
    <d v="2009-12-02T00:00:00"/>
    <d v="2010-02-15T00:00:00"/>
    <d v="2010-05-05T00:00:00"/>
    <s v="76101714-4"/>
    <s v="SOCIEDAD CONCESIONARIA CENTRO METROPOLITANO DE VEHICULOS RETIRADOS DE CIRCULACIO"/>
    <s v="https://www.cmfchile.cl/institucional/mercados/entidad.php?auth=&amp;send=&amp;mercado=O&amp;rut=76101714&amp;grupo=&amp;tipoentidad=RGEIN&amp;vig=VI&amp;row=AAAwy2ACTAAABzLAAW&amp;control=svs&amp;pestania=1"/>
    <d v="2010-05-05T00:00:00"/>
    <d v="2039-08-05T00:00:00"/>
    <s v="Fijo"/>
    <d v="2013-01-07T00:00:00"/>
    <d v="2014-08-05T00:00:00"/>
    <d v="2015-01-30T00:00:00"/>
    <n v="449094"/>
    <n v="1"/>
  </r>
  <r>
    <s v="058_AVAM2"/>
    <s v="Acceso Vial Aeropuerto Arturo Merino Benítez"/>
    <n v="2"/>
    <s v="Segunda concesión Acceso Vial Aeropuerto Arturo Merino Benítez"/>
    <s v="Este proyecto ubicado en la comuna de Pudahuel contempla el mejoramiento y operación del acceso existente al Aeropuerto de Santiago que se ubica en la zona sur (Tramo A) y la implementación de un nuevo acceso por el norte del terminal (Tramo B)._x000a__x000a_El tramo A se encuentra habilitado y en servicio desde 2012. Mientras que el tramo B fue dividido en cuatro subtramos (B1, B2, B3 Y B4) y de ellos el B1 se encuentra en etapa de construcción, correspondiendo al mejoramiento de 3 km aproximadamente._x000a__x000a_Con esta obra se mejora sustancialmente el acceso al principal terminal aéreo del país."/>
    <x v="2"/>
    <s v="Metropolitana de Santiago"/>
    <s v="Sitio en construcción"/>
    <s v="Público"/>
    <s v=""/>
    <n v="1500000"/>
    <s v="UF"/>
    <s v="https://concesiones.mop.gob.cl/project/segunda-concesion-acceso-vial-aeropuerto-arturo-merino-benitez/"/>
    <x v="2"/>
    <s v="Licitación pública con preselección"/>
    <s v="Ingresos totales de la concesión."/>
    <d v="2008-01-05T00:00:00"/>
    <d v="2008-06-10T00:00:00"/>
    <d v="2008-07-04T00:00:00"/>
    <d v="2008-07-21T00:00:00"/>
    <d v="2008-09-12T00:00:00"/>
    <s v="76033448-0"/>
    <s v="SOCIEDAD CONCESIONARIA AMB S.A."/>
    <s v="https://www.cmfchile.cl/institucional/mercados/entidad.php?auth=&amp;send=&amp;mercado=O&amp;rut=76033448&amp;grupo=&amp;tipoentidad=RGEIN&amp;vig=VI&amp;row=AAAwy2ACTAAABy0AAT&amp;control=svs&amp;pestania=1"/>
    <d v="2008-09-12T00:00:00"/>
    <d v="2048-09-11T00:00:00"/>
    <s v="Variable"/>
    <d v="2021-06-17T00:00:00"/>
    <d v="2023-07-14T00:00:00"/>
    <s v="Sin otorgar"/>
    <n v="1795538.8"/>
    <n v="1"/>
  </r>
  <r>
    <s v="059_HSMF1"/>
    <s v="Programa de Concesiones de Infraestructura Hospitalaria"/>
    <n v="1"/>
    <s v="Concesión de Hospital de Maipú y Hospital de La Florida"/>
    <s v="Se trata de dos proyectos hospitalarios en Maipú y La Florida, que incluyen la construcción de los edificios, la provisión de mobiliario no clínico y la operación de servicios básicos y especiales obligatorios de apoyo como cafetería, seguridad y vigilancia, estacionamientos, sala cuna, etc._x000a__x000a_El diseño, provisión, montaje y mantenimiento del equipamiento clínico, así como los servicios clínicos mismos, son de responsabilidad del Ministerio de Salud, mandante en esta obra._x000a__x000a_El Hospital de Maipú, corresponde a un establecimiento de mediana complejidad (tipo 2), dependiente del Servicio de Salud Metropolitano Central (SSMC). Está conformado por dos instituciones con estructura y organización propia, el actual CRS de Maipú y el Hospital de Maipú, que confluyen y se complementan en una asociación destinada a resolver las necesidades asistenciales de la sub-red Maipú-Cerrillos. El recinto tiene una capacidad de 375 camas y una superficie edificada de aproximadamente 70.000 m2._x000a__x000a_El Hospital de La Florida es un recinto de mediana complejidad (tipo 2), que cuenta con un área de atención abierta (Centro de Referencia de Salud) y otra cerrada (Hospital de La Florida). Estas se complementan por servicios de apoyo clínico y de servicios generales, dirigidos por una administración centralizada y única, dependiente del Servicio de Salud Metropolitano Sur Oriente (SSMSO). El recinto tiene capacidad de camas de 391 en una superficie edificada cercana a los 72.000 m2."/>
    <x v="6"/>
    <s v="Metropolitana de Santiago"/>
    <s v="Sitio en construcción"/>
    <s v="Público"/>
    <s v=""/>
    <n v="6568000"/>
    <s v="UF"/>
    <s v="https://concesiones.mop.gob.cl/project/concesion-hospital-de-maipu-y-la-florida/"/>
    <x v="2"/>
    <s v="Licitación pública con preselección"/>
    <s v="Subsidio."/>
    <d v="2008-05-24T00:00:00"/>
    <d v="2009-05-18T00:00:00"/>
    <d v="2009-06-12T00:00:00"/>
    <d v="2009-08-11T00:00:00"/>
    <d v="2009-11-05T00:00:00"/>
    <s v="76082113-6"/>
    <s v="SOCIEDAD CONCESIONARIA SAN JOSE-TECNOCONTROL S.A."/>
    <s v="https://www.cmfchile.cl/institucional/mercados/entidad.php?auth=&amp;send=&amp;mercado=O&amp;rut=76082113&amp;grupo=&amp;tipoentidad=RGEIN&amp;vig=VI&amp;row=AAAwy2ACTAAABzLAAQ&amp;control=svs&amp;pestania=1"/>
    <d v="2009-11-05T00:00:00"/>
    <d v="2030-02-14T00:00:00"/>
    <s v="Fijo"/>
    <s v="SD"/>
    <d v="2013-12-10T00:00:00"/>
    <d v="2015-02-13T00:00:00"/>
    <n v="6244764.4299999997"/>
    <n v="1"/>
  </r>
  <r>
    <s v="060_66RF1"/>
    <s v="Ruta 66 - Camino de la Fruta"/>
    <n v="1"/>
    <s v="Primera concesión Ruta 66 - Camino de la Fruta"/>
    <n v="0"/>
    <x v="0"/>
    <s v="Valparaíso; Metropolitana de Santiago; Libertador General Bernardo O'Higgins"/>
    <s v="Sitio en construcción"/>
    <s v="Público"/>
    <s v=""/>
    <n v="8653000"/>
    <s v="UF"/>
    <s v="no hay disponible"/>
    <x v="0"/>
    <s v="Sólo licitación pública"/>
    <s v="Subsidio; Ingresos totales de la concesión."/>
    <d v="2008-11-29T00:00:00"/>
    <d v="2009-12-22T00:00:00"/>
    <d v="2010-01-19T00:00:00"/>
    <d v="2010-02-10T00:00:00"/>
    <d v="2010-04-17T00:00:00"/>
    <s v="76099522-3"/>
    <s v="SOCIEDAD CONCESIONARIA LA FRUTA S.A."/>
    <s v="https://www.cmfchile.cl/institucional/mercados/entidad.php?auth=&amp;send=&amp;mercado=O&amp;rut=76099522&amp;grupo=&amp;tipoentidad=RGEIN&amp;vig=NV&amp;row=AAAwy2ACTAAABzLAAV&amp;control=svs&amp;pestania=1"/>
    <d v="2010-04-17T00:00:00"/>
    <d v="2014-01-29T00:00:00"/>
    <s v="Variable"/>
    <s v="No aplica"/>
    <s v="No aplica"/>
    <s v="No aplica"/>
    <n v="1639583.19"/>
    <n v="0"/>
  </r>
  <r>
    <s v="061_PMPA1"/>
    <s v="Concesión Ruta 5, Tramo Puerto Montt - Pargua"/>
    <n v="1"/>
    <s v="Primera concesión Ruta 5, Tramo Puerto Montt - Pargua"/>
    <s v="Autopista de doble calzada de 55 km de longitud que corresponde al tramo Puerto Montt-Pargua de la Ruta 5 Sur que cruza la Región de Los Lagos._x000a__x000a_Considera nuevos enlaces e intersecciones viales, obras de saneamiento y drenaje, señalización y seguridad vial, iluminación, paraderos y calles de servicio."/>
    <x v="0"/>
    <s v="Los Lagos"/>
    <s v="Sitio en construcción"/>
    <s v="Privado"/>
    <d v="2005-03-16T00:00:00"/>
    <n v="4125000"/>
    <s v="UF"/>
    <s v="https://concesiones.mop.gob.cl/project/concesion-ruta-5-tramo-puerto-montt-pargua/"/>
    <x v="2"/>
    <s v="Sólo licitación pública"/>
    <s v="Subsidio; Ingresos totales de la concesión."/>
    <d v="2008-11-29T00:00:00"/>
    <d v="2009-10-29T00:00:00"/>
    <d v="2009-11-25T00:00:00"/>
    <d v="2010-02-10T00:00:00"/>
    <d v="2010-05-04T00:00:00"/>
    <s v="76100845-5"/>
    <s v="SOCIEDAD CONCESIONARIA RUTA DEL CANAL S.A."/>
    <s v="https://www.cmfchile.cl/institucional/mercados/entidad.php?auth=&amp;send=&amp;mercado=O&amp;rut=76100845&amp;grupo=&amp;tipoentidad=RGEIN&amp;vig=VI&amp;row=AAAwy2ACTAAABzNAAS&amp;control=svs&amp;pestania=1"/>
    <d v="2010-05-04T00:00:00"/>
    <d v="2050-11-04T00:00:00"/>
    <s v="Variable"/>
    <s v="SD"/>
    <d v="2014-06-20T00:00:00"/>
    <d v="2014-11-11T00:00:00"/>
    <n v="5248461.3500000006"/>
    <n v="1"/>
  </r>
  <r>
    <s v="073_ADAI3"/>
    <s v="Aeropuerto Diego Aracena de Iquique, I Región de Tarapacá"/>
    <n v="3"/>
    <s v="Tercera concesión Aeropuerto Diego Aracena de Iquique, I Región de Tarapacá"/>
    <s v="Esta concesión finalizó en marzo de 2018 y consideró el mejoramiento del terminal aeroportuario, la ampliación de los estacionamientos públicos y el desarrollo de nuevas instalaciones de apoyo, como sanitarias y eléctricas. Con el desarrollo de esta obra se buscó mejorar los estándares de las instalaciones aeroportuarias. La obra fue relicitada y en la actualidad está vigente la cuarta concesión."/>
    <x v="1"/>
    <s v="Tarapacá"/>
    <s v="Sitio en construcción"/>
    <s v="Público"/>
    <s v=""/>
    <n v="109000"/>
    <s v="UF"/>
    <s v="https://concesiones.mop.gob.cl/project/tercera-concesion-aeropuerto-diego-aracena-de-iquique/"/>
    <x v="0"/>
    <s v="Licitación pública con preselección"/>
    <s v="Pagos; Ingresos totales de la concesión."/>
    <d v="2011-12-29T00:00:00"/>
    <d v="2012-05-25T00:00:00"/>
    <d v="2012-06-15T00:00:00"/>
    <d v="2012-07-26T00:00:00"/>
    <d v="2012-10-22T00:00:00"/>
    <s v="76247635-5"/>
    <s v="SOCIEDAD CONCESIONARIA AEROPUERTO DE IQUIQUE S.A."/>
    <s v="https://www.cmfchile.cl/institucional/mercados/entidad.php?mercado=O&amp;rut=76247635&amp;grupo=&amp;tipoentidad=RGEIN&amp;row=AAAwy2ACTAAABzPAAE&amp;vig=NV&amp;control=svs&amp;pestania=50"/>
    <d v="2012-10-22T00:00:00"/>
    <d v="2018-03-31T00:00:00"/>
    <s v="Fijo"/>
    <s v="SD"/>
    <d v="2014-12-16T00:00:00"/>
    <d v="2015-11-11T00:00:00"/>
    <n v="203418.64000000004"/>
    <n v="1"/>
  </r>
  <r>
    <s v="069_ACMA2"/>
    <s v="Aeropuerto Cerro Moreno de Antofagasta"/>
    <n v="2"/>
    <s v="Segunda concesión Aeropuerto Cerro Moreno de Antofagasta"/>
    <s v="Remodelación y ampliación del terminal de pasajeros ubicado a 28 km al norte de la ciudad de Antofagasta en la Ruta CH–1._x000a__x000a_Considera el mantenimiento de todas las obras preexistentes que se extienden por 7.000 m2 y nuevas que se ejecutaron que suman 2.900 m2, que incluye entre otras el nuevo cuartel de seguridad, salvamento y extinción de incendios (SEI)._x000a__x000a_Incluye áreas comerciales, hall público para llegada y salida de pasajeros, superficies para procesos aeroportuarios, oficinas de líneas aéreas, equipamiento electromecánico y aeroportuario, mobiliario, señalética, y comunicaciones, además de todos los servicios básicos._x000a__x000a_El Aeropuerto es clave en potenciar la industria regional y mejorar la conectividad nacional."/>
    <x v="1"/>
    <s v="Antofagasta"/>
    <s v="Sitio en construcción"/>
    <s v="Público"/>
    <s v=""/>
    <n v="665000"/>
    <s v="UF"/>
    <s v="https://concesiones.mop.gob.cl/project/segunda-concesion-aeropuerto-andres-sabella-ex-cerro-moreno-de-antofagasta/"/>
    <x v="0"/>
    <s v="Licitación pública con preselección"/>
    <s v="Ingresos totales de la concesión."/>
    <d v="2010-12-31T00:00:00"/>
    <d v="2011-07-28T00:00:00"/>
    <d v="2011-08-25T00:00:00"/>
    <d v="2011-10-14T00:00:00"/>
    <d v="2011-11-18T00:00:00"/>
    <s v="76179538-4"/>
    <s v="SOCIEDAD CONCESIONARIA AEROPUERTO DE ANTOFAGASTA S.A"/>
    <s v="https://www.cmfchile.cl/institucional/mercados/entidad.php?auth=&amp;send=&amp;mercado=O&amp;rut=76179538&amp;grupo=&amp;tipoentidad=RGEIN&amp;vig=VI&amp;row=AAAwy2ACTAAABzOAAL&amp;control=svs&amp;pestania=1"/>
    <d v="2011-11-18T00:00:00"/>
    <d v="2026-02-28T00:00:00"/>
    <s v="Fijo"/>
    <s v="SD"/>
    <d v="2011-12-15T00:00:00"/>
    <d v="2015-06-20T00:00:00"/>
    <n v="824926.70000000007"/>
    <n v="1"/>
  </r>
  <r>
    <s v="064_PP2G2"/>
    <s v="Programa de Concesiones de Infraestructura Penitenciaria Grupo 2"/>
    <n v="2"/>
    <s v="Segunda concesión Programa de Concesiones de Infraestructura Penitenciaria Grupo 2"/>
    <s v="Se ubica en la Región de Antofagasta y Biobío, provincias de Antofagasta y Concepción. La obra contempló la habilitación de la infraestructura y la explotación de los EP emplazados en dichas ciudades, los que albergarán una población penal de internos 3.957. Los EP concesionados cuentan con sistemas de segmentación de la población penal por grado de peligrosidad y son apoyados con modernos sistemas de seguridad y comunicaciones. Además, el operador está obligado a prestar los servicios de mantención de la infraestructura; mantención del equipamiento estándar y de seguridad; alimentación; lavandería; aseo y control de plagas; salud; reinserción social y económica. El proyecto se financia a través de aportes del Estado, mediante subsidios a la operación, distribuidos en cuotas durante la concesión."/>
    <x v="4"/>
    <s v="Antofagasta; Biobío"/>
    <s v="Sitio en construcción"/>
    <s v="Público"/>
    <s v=""/>
    <n v="400000"/>
    <s v="UF"/>
    <s v="https://concesiones.mop.gob.cl/project/segunda-concesion-programa-penitenciario-grupo-2-antofagasta-y-concepcion/"/>
    <x v="2"/>
    <s v="Licitación pública con preselección"/>
    <s v="Subsidio."/>
    <d v="2009-04-06T00:00:00"/>
    <d v="2009-12-23T00:00:00"/>
    <d v="2010-01-14T00:00:00"/>
    <d v="2010-02-02T00:00:00"/>
    <d v="2010-04-17T00:00:00"/>
    <s v="76098841-3"/>
    <s v="SOCIEDAD CONCESIONARIA  GRUPO DOS S.A."/>
    <s v="https://www.cmfchile.cl/institucional/mercados/entidad.php?auth=&amp;send=&amp;mercado=O&amp;rut=76098841&amp;grupo=&amp;tipoentidad=RGEIN&amp;vig=VI&amp;row=AAAwy2ACTAAABzHAAA&amp;control=svs&amp;pestania=1"/>
    <d v="2010-04-17T00:00:00"/>
    <d v="2028-08-14T00:00:00"/>
    <s v="Fijo"/>
    <s v="SD"/>
    <s v="Conceoción: 10-12-2010: Antofagatsa: 06-03-2012"/>
    <d v="2013-08-14T00:00:00"/>
    <n v="478814.1"/>
    <n v="1"/>
  </r>
  <r>
    <s v="065_AURA1"/>
    <s v="Concesión Vial Autopistas de la Región de Antofagasta"/>
    <n v="1"/>
    <s v="Primera concesión Vial Autopistas de la Región de Antofagasta"/>
    <s v="Con una extensión de 201 km esta obra consiste en la ampliación a doble calzada de la Ruta 1, entre el norte de Antofagasta y Mejillones y de la Ruta 5, entre Uribe y Carmen Alto, más la pavimentación de la Ruta B400 en calzada simple e incorporación de terceras pistas en Ruta 26._x000a__x000a_Asimismo considera el mejoramiento de las condiciones de seguridad, incorporando enlaces y estructuras a desnivel, intersecciones a nivel reguladas, construcción de calles de servicio, iluminación, señalética, pasarelas peatonales, paisajismo, paraderos de buses, mejoramiento de los sistemas de saneamiento y drenaje, implementación de elementos de control._x000a__x000a_Estos mejoramientos de rutas contribuyen a mejorar la conectividad vial de la zona, favoreciendo el desarrollo industrial y productivo de la Región de Antofagasta."/>
    <x v="0"/>
    <s v="Antofagasta"/>
    <s v="Sitio en construcción"/>
    <s v="Privado"/>
    <d v="2005-09-08T00:00:00"/>
    <n v="7750000"/>
    <s v="UF"/>
    <s v="https://concesiones.mop.gob.cl/project/concesion-autopista-de-la-region-de-antofagasta/"/>
    <x v="2"/>
    <s v="Sólo licitación pública"/>
    <s v="Plazo; Subsidio."/>
    <d v="2009-07-24T00:00:00"/>
    <d v="2009-12-31T00:00:00"/>
    <d v="2010-01-26T00:00:00"/>
    <d v="2010-02-15T00:00:00"/>
    <d v="2010-04-07T00:00:00"/>
    <s v="76099978-4"/>
    <s v="SOCIEDAD CONCESIONARIA AUTOPISTAS DE ANTOFAGASTA S.A."/>
    <s v="https://www.cmfchile.cl/institucional/mercados/entidad.php?auth=&amp;send=&amp;mercado=O&amp;rut=76099978&amp;grupo=&amp;tipoentidad=RGEIN&amp;vig=VI&amp;row=AAAwy2ACTAAABzLAAT&amp;control=svs&amp;pestania=1"/>
    <d v="2010-04-07T00:00:00"/>
    <d v="2030-09-07T00:00:00"/>
    <s v="Fijo"/>
    <s v="SD"/>
    <d v="2014-04-01T00:00:00"/>
    <d v="2014-12-31T00:00:00"/>
    <n v="7635989.3900000006"/>
    <n v="1"/>
  </r>
  <r>
    <s v="066_ALOA2"/>
    <s v="Aeropuerto El Loa de Calama"/>
    <n v="2"/>
    <s v="Segunda concesión Aeropuerto El Loa de Calama"/>
    <s v="Remodelación del Aeropuerto de El Loa ubicado a 6 km al sur este de la ciudad de Calama en la Región de Antofagasta._x000a__x000a_Cuenta con un nuevo edificio terminal de pasajeros de dos niveles con una superficie de 9.434 m2, la remodelación de 2.240 m2 del área terminal actual para las oficinas administrativas, oficina de operaciones, casino e instalaciones logísticas de la DGAC, adquisición, provisión e instalación de tres puentes de embarque, nuevas instalaciones como Torre de Control, edificio de cuartel SEI, Club Aéreo, subestación eléctrica e instalaciones de agua potable y de incendio para el Terminal de Pasajeros y DGAC._x000a__x000a_Los principales trabajos fueron la ampliación de la plataforma de estacionamiento de aeronaves en 8.100 m2, la construcción de rodaje perpendicular._x000a__x000a_El Aeropuerto es clave en potenciar la industria regional y mejorar la conectividad nacional."/>
    <x v="1"/>
    <s v="Antofagasta"/>
    <s v="Sitio en construcción"/>
    <s v="Público"/>
    <s v=""/>
    <n v="880000"/>
    <s v="UF"/>
    <s v="https://concesiones.mop.gob.cl/project/segunda-concesion-aeropuerto-el-loa-de-calama/"/>
    <x v="0"/>
    <s v="Licitación pública con preselección"/>
    <s v="Subsidio; Ingresos totales de la concesión."/>
    <d v="2010-01-08T00:00:00"/>
    <d v="2010-10-14T00:00:00"/>
    <d v="2010-11-11T00:00:00"/>
    <d v="2011-01-21T00:00:00"/>
    <d v="2011-03-17T00:00:00"/>
    <s v="76139803-2"/>
    <s v="CONSORCIO AEROPORTUARIO DE CALAMA S.A. SOCIEDAD CONCESIONARIA"/>
    <s v="https://www.cmfchile.cl/institucional/mercados/entidad.php?auth=&amp;send=&amp;mercado=O&amp;rut=76139803&amp;grupo=&amp;tipoentidad=RGEIN&amp;vig=VI&amp;row=AAAwy2ACTAAABzNAAY&amp;control=svs&amp;pestania=1"/>
    <d v="2011-03-17T00:00:00"/>
    <d v="2023-09-30T00:00:00"/>
    <s v="Fijo"/>
    <d v="2012-10-28T00:00:00"/>
    <d v="2014-09-15T00:00:00"/>
    <d v="2015-05-05T00:00:00"/>
    <n v="1214481.3400000001"/>
    <n v="1"/>
  </r>
  <r>
    <s v="067_ACIQ1"/>
    <s v="Alternativas de Acceso a Iquique"/>
    <n v="1"/>
    <s v="Primera concesión Alternativas de Acceso a Iquique"/>
    <s v="Corresponde al mejoramiento a doble calzada de dos vías de acceso a Iquique que suman 78 km de longitud. La primera es un tramo de la Ruta 16 con 13 km de extensión, que se inicia en la conexión con la Ruta 5 Norte a la altura del km 1.814, en el sector denominado Humberstone y se extiende hasta la Rotonda El Pampino._x000a__x000a_La segunda, es un tramo de la Ruta 1, desde el km 1.200 al sur del acceso al Aeropuerto Diego Aracena, hasta el sector denominado Bajo Molle, con una longitud total de 31 km._x000a__x000a_Además cuenta con dos variantes, una en el sector del aeropuerto y otra en el sector denominado “Los Verdes”, que permite alejar la ruta de la costa evitando así el deterioro por la acción abrasiva del mar."/>
    <x v="0"/>
    <s v="Tarapacá"/>
    <s v="Sitio en construcción"/>
    <s v="Privado"/>
    <s v=""/>
    <n v="5040000"/>
    <s v="UF"/>
    <s v="https://concesiones.mop.gob.cl/project/concesion-alternativas-de-acceso-a-iquique/"/>
    <x v="2"/>
    <s v="Sólo licitación pública"/>
    <s v="Nivel de tarifa; Subsidio; Ingresos totales de la concesión."/>
    <d v="2010-01-08T00:00:00"/>
    <d v="2010-12-29T00:00:00"/>
    <d v="2011-01-19T00:00:00"/>
    <d v="2011-06-06T00:00:00"/>
    <d v="2011-09-03T00:00:00"/>
    <s v="76172397-9"/>
    <s v="SOCIEDAD CONCESIONARIA RUTAS DEL DESIERTO S.A"/>
    <s v="https://www.cmfchile.cl/institucional/mercados/entidad.php?auth=&amp;send=&amp;mercado=O&amp;rut=76172397&amp;grupo=&amp;tipoentidad=RGEIN&amp;vig=VI&amp;row=AAAwy2ACTAAABzOAAP&amp;control=svs&amp;pestania=1"/>
    <d v="2011-09-03T00:00:00"/>
    <d v="2043-09-01T00:00:00"/>
    <s v="Variable"/>
    <s v="SD"/>
    <d v="2014-11-03T00:00:00"/>
    <d v="2016-12-27T00:00:00"/>
    <n v="4411657.9000000004"/>
    <n v="1"/>
  </r>
  <r>
    <s v="068_COCA1"/>
    <s v="Concesión Autopista Concepción - Cabrero "/>
    <n v="1"/>
    <s v="Primera concesión Autopista Concepción - Cabrero "/>
    <s v="Autopista de 103,4 km de longitud que recorre las comunas de Concepción, Florida, Yumbel, Cabrero y Yungay y se subdivide en dos áreas distintas. Sector A, entre la Ruta 5 en la zona de Cabrero a la Rotonda Bonilla en Concepción, con una longitud de 72,3 km y el Sector B, entre la Ruta 5 en la localidad de Cabrero y la Rotonda Cholguán, abarcando 31,1 km._x000a__x000a_La ruta cuenta con una ampliación a doble calzada en el tramo de la Ruta 148 y la Ruta O-50, segregación de la carretera, emplazamiento de enlaces desnivelados en los principales cruces y mejoramiento del estado de las calzadas, entre otros._x000a__x000a_El principal beneficio de la obra es mejorar la conectividad de la región, favoreciendo de esta forma el intercambio comercial."/>
    <x v="0"/>
    <s v="Ñuble; Biobío"/>
    <s v="Sitio en construcción"/>
    <s v="Privado"/>
    <d v="2005-10-21T00:00:00"/>
    <n v="8400000"/>
    <s v="UF"/>
    <s v="https://concesiones.mop.gob.cl/project/concesion-autopista-concepcion-cabrero/"/>
    <x v="2"/>
    <s v="Sólo licitación pública"/>
    <s v="Subsidio; Ingresos totales de la concesión."/>
    <d v="2010-01-08T00:00:00"/>
    <d v="2010-12-27T00:00:00"/>
    <d v="2011-01-17T00:00:00"/>
    <d v="2011-06-07T00:00:00"/>
    <d v="2011-09-03T00:00:00"/>
    <s v="76172387-1"/>
    <s v="SOCIEDAD CONCESIONARIA VALLES DEL BIO BIO S.A"/>
    <s v="https://www.cmfchile.cl/institucional/mercados/entidad.php?auth=&amp;send=&amp;mercado=O&amp;rut=76172387&amp;grupo=&amp;tipoentidad=RGEIN&amp;vig=VI&amp;row=AAAwy2ACTAAABzOAAG&amp;control=svs&amp;pestania=1"/>
    <d v="2011-09-03T00:00:00"/>
    <d v="2048-07-02T00:00:00"/>
    <s v="Variable"/>
    <d v="2012-06-26T00:00:00"/>
    <d v="2016-08-18T00:00:00"/>
    <d v="2018-08-08T00:00:00"/>
    <n v="9125338.2400000002"/>
    <n v="1"/>
  </r>
  <r>
    <s v="063_ACIP2"/>
    <s v="Aeropuerto Presidente Carlos Ibáñez del Campo de Punta Arenas"/>
    <n v="2"/>
    <s v="Segunda concesión Aeropuerto Presidente Carlos Ibáñez del Campo de Punta Arenas"/>
    <s v="Esta concesión finalizó en marzo de 2021 y consideró la remodelación del Aeropuerto Carlos Ibáñez del Campo ubicado a 20 km al norte de la ciudad de Punta Arenas en el costado oriente de la Ruta 9, que une Punta Arenas con Puerto Natales, próximo al Estrecho de Magallanes._x000a__x000a_Durante la construcción se amplió la superficie del terminal quedando en 7.000 m2, con tres puentes de embarque y seis posiciones remotas. La obra dispuso de una nueva Torre de Control y Planta de Tratamiento de aguas servidas, así como la ampliación y nueva iluminación de la Plataforma de Estacionamiento de Aeronaves._x000a__x000a_Con el desarrollo de esta obra se buscó mejorar los estándares de la infraestructura aeroportuaria en la región._x000a__x000a_La obra fue relicitada y en la actualidad está vigente la tercera concesión."/>
    <x v="1"/>
    <s v="Magallanes y de la Antártica Chilena"/>
    <s v="Sitio en construcción"/>
    <s v="Público"/>
    <s v=""/>
    <n v="314115"/>
    <s v="UF"/>
    <s v="https://concesiones.mop.gob.cl/project/segunda-concesion-aeropuerto-carlos-ibanez-del-campo-de-punta-arenas/"/>
    <x v="0"/>
    <s v="Licitación pública con preselección"/>
    <s v="Ingresos totales de la concesión."/>
    <d v="2009-01-05T00:00:00"/>
    <d v="2009-07-23T00:00:00"/>
    <d v="2009-08-14T00:00:00"/>
    <d v="2009-11-10T00:00:00"/>
    <d v="2010-01-13T00:00:00"/>
    <s v="76087702-6"/>
    <s v="CONSORCIO AEROPORTUARIO DE MAGALLANES S.A. SOCIEDAD CONCESIONARIA"/>
    <s v="https://www.cmfchile.cl/institucional/mercados/entidad.php?auth=&amp;send=&amp;mercado=O&amp;rut=76087702&amp;grupo=&amp;tipoentidad=RGEIN&amp;vig=VI&amp;row=AAAwy2ACTAAABzNAAI&amp;control=svs&amp;pestania=1"/>
    <d v="2010-01-13T00:00:00"/>
    <d v="2021-03-31T00:00:00"/>
    <s v="Fijo"/>
    <s v="SD"/>
    <d v="2012-01-26T00:00:00"/>
    <d v="2012-09-03T00:00:00"/>
    <n v="339463.12000000005"/>
    <n v="1"/>
  </r>
  <r>
    <s v="070_43RU1"/>
    <s v="Concesión para el Mejoramiento y Conservación de la Ruta 43 de la Región de Coquimbo"/>
    <n v="1"/>
    <s v="Primera concesión para el Mejoramiento y Conservación de la Ruta 43 de la Región de Coquimbo"/>
    <s v="Ubicado en la Región de Coquimbo al norte de la ciudad de Santiago, la Ruta 43 se emplaza en las Provincias del Elqui y Limarí. Conecta la Ciudad de Ovalle con la Ciudad de Coquimbo. El proyecto contempla 86 km de caminos pavimentados, además de la construcción de aceras, ciclovías, paisajismo e iluminación. Esta obra pública se financiará mediante tarifa a los usuarios y eventuales aportes del Estado._x000a__x000a_Entre los beneficios del Proyecto se encuentra el aumento en la seguridad vial, ahorros en tiempos de viajes y costos operacionales."/>
    <x v="0"/>
    <s v="Coquimbo"/>
    <s v="Sitio en construcción"/>
    <s v="Público"/>
    <s v=""/>
    <n v="5100000"/>
    <s v="UF"/>
    <s v="https://concesiones.mop.gob.cl/project/concesion-mejoramiento-y-conservacion-de-la-ruta-43-de-la-region-de-coquimbo/"/>
    <x v="2"/>
    <s v="Licitación pública con preselección"/>
    <s v="Subsidio; Ingresos totales de la concesión."/>
    <d v="2011-11-11T00:00:00"/>
    <d v="2012-10-19T00:00:00"/>
    <d v="2012-10-26T00:00:00"/>
    <d v="2013-03-06T00:00:00"/>
    <d v="2013-05-31T00:00:00"/>
    <s v="76307944-9"/>
    <s v="SOCIEDAD CONCESIONARIA RUTA DEL LIMARI S.A."/>
    <s v="https://www.cmfchile.cl/institucional/mercados/entidad.php?auth=&amp;send=&amp;mercado=O&amp;rut=76307944&amp;grupo=&amp;tipoentidad=RGEIN&amp;vig=VI&amp;row=AAAwy2ACTAAABzVAAW&amp;control=svs&amp;pestania=1"/>
    <d v="2013-05-31T00:00:00"/>
    <d v="2063-05-31T00:00:00"/>
    <s v="Variable"/>
    <d v="2014-07-24T00:00:00"/>
    <d v="2018-07-08T00:00:00"/>
    <d v="2019-01-04T00:00:00"/>
    <n v="5612046.0600000005"/>
    <n v="1"/>
  </r>
  <r>
    <s v="071_VALS1"/>
    <s v="Concesión Ruta 5 Norte. Tramo: La Serena - Vallenar"/>
    <n v="1"/>
    <s v="Primera concesión Ruta 5 Norte. Tramo: La Serena - Vallenar"/>
    <s v="Autopista de doble calzada de 187 km de extensión, que tiene como propósito continuar con el mejoramiento de la Ruta 5 Norte. El tramo comienza en el sector urbano de La Serena al norte del cruce de Francisco de Aguirre, hasta el acceso a la localidad de Domeyko._x000a__x000a_Considera mejoramiento de la doble calzada, retornos a nivel ubicados cada 8 a 10 km, calles de servicios, áreas especiales de estacionamiento para camiones y red de asistencia con citófonos de emergencia, grúas y vehículos de atención en caso de urgencias._x000a__x000a_Adicionalmente consta de un nuevo puente, que atraviesa el ferrocarril y el río Elqui, y una solución desnivelada para el sector de Las Compañías junto con otras soluciones similares en los poblados que atraviesa la Ruta 5."/>
    <x v="0"/>
    <s v="Atacama; Coquimbo"/>
    <s v="Sitio en construcción"/>
    <s v="Público"/>
    <s v=""/>
    <n v="7900000"/>
    <s v="UF"/>
    <s v="https://concesiones.mop.gob.cl/project/concesion-ruta-5-tramo-la-serena-vallenar/"/>
    <x v="2"/>
    <s v="Licitación pública con preselección"/>
    <s v="Subsidio; Ingresos totales de la concesión."/>
    <d v="2011-11-18T00:00:00"/>
    <d v="2011-12-13T00:00:00"/>
    <d v="2011-12-20T00:00:00"/>
    <d v="2012-01-26T00:00:00"/>
    <d v="2012-04-03T00:00:00"/>
    <s v="76213076-9"/>
    <s v="SOCIEDAD CONCESIONARIA RUTA DEL ALGARROBO SA"/>
    <s v="https://www.cmfchile.cl/institucional/mercados/entidad.php?auth=&amp;send=&amp;mercado=O&amp;rut=76213076&amp;grupo=&amp;tipoentidad=RGEIN&amp;vig=VI&amp;row=AAAwy2ACTAAABzQAAc&amp;control=svs&amp;pestania=1"/>
    <d v="2012-04-03T00:00:00"/>
    <d v="2047-04-02T00:00:00"/>
    <s v="Variable"/>
    <s v="SD"/>
    <d v="2016-05-09T00:00:00"/>
    <d v="2017-03-01T00:00:00"/>
    <n v="8977038.0899999999"/>
    <n v="1"/>
  </r>
  <r>
    <s v="072_RLOA1"/>
    <s v="Concesión Vial Rutas del Loa"/>
    <n v="1"/>
    <s v="Primera concesión Vial Rutas del Loa"/>
    <s v="Esta concesión finalizó de manera anticipada en 2016 y consideró el mejoramiento de la Ruta 25, principal acceso a la ciudad de Calama. El proyecto incluía la construcción de segundas calzadas, reposiciones y rehabilitaciones de pavimento, el desarrollo de una circunvalación a la ciudad de Calama, completando unaextensión de 136 km, mejoramiento de las condiciones de seguridad del trazado, nuevos enlaces, pasos desnivelados, señalética y paraderos de buses y pasarelas._x000a__x000a_La obra fue relicitada y en la actualidad se encuentra vigente la segunda concesión."/>
    <x v="0"/>
    <s v="Antofagasta"/>
    <s v="Sitio en construcción"/>
    <s v="Privado"/>
    <d v="2007-07-18T00:00:00"/>
    <n v="6560000"/>
    <s v="UF"/>
    <s v="no hay disponible"/>
    <x v="0"/>
    <s v="Sólo licitación pública"/>
    <s v="Subsidio; Ingresos totales de la concesión."/>
    <d v="2011-12-26T00:00:00"/>
    <d v="2012-12-06T00:00:00"/>
    <d v="2012-12-21T00:00:00"/>
    <d v="2013-08-27T00:00:00"/>
    <d v="2014-04-28T00:00:00"/>
    <s v="76380242-6"/>
    <s v="Sociedad Concesionaria San José Rutas del Loa SA"/>
    <s v="SIN"/>
    <d v="2014-04-28T00:00:00"/>
    <d v="2015-11-17T00:00:00"/>
    <s v="Variable"/>
    <s v="No aplica"/>
    <s v="No aplica"/>
    <s v="No aplica"/>
    <n v="7780.25"/>
    <n v="0"/>
  </r>
  <r>
    <s v="062_NARA1"/>
    <s v="Nuevo Aeropuerto de la Región de La Araucanía"/>
    <n v="1"/>
    <s v="Primera concesión Nuevo Aeropuerto de la Región de La Araucanía"/>
    <s v="Nuevo aeropuerto ubicado a 20 km. al sur poniente de la ciudad de Temuco en la Región de la Araucanía que surge en reemplazo al recinto de Manquehue de Temuco._x000a__x000a_El recinto cuenta con una pista de 2.440 m de longitud, una plataforma de estacionamientos de superficie aproximada de 22.770 m2, con capacidad para cuatro aviones. Asimismo, un terminal de pasajeros de aproximadamente 5.000 m2, puentes de embarque, un edificio aeronáutico para la DGAC, Torre de Control, sistemas de ayuda a la aeronavegación, además de la construcción de caminos de conexión._x000a__x000a_Incluye la vialidad para llegar al recinto mediante un camino que se conecta, mediante un enlace, con la Ruta 5 Sur."/>
    <x v="1"/>
    <s v="La Araucanía"/>
    <s v="Sitio en construcción"/>
    <s v="Público"/>
    <s v=""/>
    <n v="2681000"/>
    <s v="UF"/>
    <s v="https://concesiones.mop.gob.cl/project/concesion-nuevo-aeropuerto-region-de-la-araucania/"/>
    <x v="0"/>
    <s v="Licitación pública con preselección"/>
    <s v="Subsidio."/>
    <d v="2008-12-18T00:00:00"/>
    <d v="2009-10-09T00:00:00"/>
    <d v="2009-11-30T00:00:00"/>
    <d v="2010-02-02T00:00:00"/>
    <d v="2010-04-17T00:00:00"/>
    <s v="76101037-9"/>
    <s v="SOCIEDAD CONCESIONARIA AEROPUERTO ARAUCANIA S.A."/>
    <s v="https://www.cmfchile.cl/institucional/mercados/entidad.php?auth=&amp;send=&amp;mercado=O&amp;rut=76101037&amp;grupo=&amp;tipoentidad=RGEIN&amp;vig=VI&amp;row=AAAwy2ACTAAABzLAAU&amp;control=svs&amp;pestania=1"/>
    <d v="2010-04-17T00:00:00"/>
    <d v="2025-08-31T00:00:00"/>
    <s v="Fijo"/>
    <d v="2012-04-17T00:00:00"/>
    <d v="2014-05-20T00:00:00"/>
    <d v="2015-01-21T00:00:00"/>
    <n v="2623962.17"/>
    <n v="1"/>
  </r>
  <r>
    <s v="054_ATEP2"/>
    <s v="Aeropuerto El Tepual de Puerto Montt, X Región"/>
    <n v="2"/>
    <s v="Segunda concesión Aeropuerto El Tepual de Puerto Montt, X Región"/>
    <s v="Esta concesión finalizó en 2014 y consideró la remodelación y ampliación del Área Terminal de Pasajeros del Aeropuerto, con todas las obras civiles e instalaciones necesarias para dar a las líneas aéreas, pasajeros y demás usuarios del recinto las condiciones de servicio, confort y seguridad._x000a__x000a_Con el desarrollo de esta obra se buscó mejorar los estándares de las instalaciones aeroportuarias, acordes a las de un aeropuerto regional con carácter internacional._x000a__x000a_La obra fue relicitada y en la actualidad está vigente la cuarta concesión."/>
    <x v="1"/>
    <s v="Los Lagos"/>
    <s v="Sitio en construcción"/>
    <s v="Público"/>
    <s v=""/>
    <n v="441300"/>
    <s v="UF"/>
    <s v="https://concesiones.mop.gob.cl/project/segunda-concesion-aeropuerto-el-tepual-de-puerto-montt/"/>
    <x v="0"/>
    <s v="Licitación pública con preselección"/>
    <s v="Ingresos totales de la concesión."/>
    <d v="2007-05-06T00:00:00"/>
    <d v="2007-09-25T00:00:00"/>
    <d v="2007-10-18T00:00:00"/>
    <d v="2007-11-07T00:00:00"/>
    <d v="2008-01-28T00:00:00"/>
    <s v="76009779-9"/>
    <s v="SOCIEDAD CONCESIONARIA AEROPUERTO PUERTO MONTT S.A."/>
    <s v="https://www.cmfchile.cl/institucional/mercados/entidad.php?mercado=O&amp;rut=76009779&amp;grupo=&amp;tipoentidad=RGEIN&amp;row=AAAwy2ACTAAABy0AAQ&amp;vig=NV&amp;control=svs&amp;pestania=50"/>
    <d v="2008-01-28T00:00:00"/>
    <d v="2014-04-30T00:00:00"/>
    <s v="Variable"/>
    <s v="SD"/>
    <d v="2010-03-23T00:00:00"/>
    <d v="2010-11-10T00:00:00"/>
    <n v="594173.75"/>
    <n v="1"/>
  </r>
  <r>
    <s v="075_HSAN1"/>
    <s v="Hospital de Antofagasta"/>
    <n v="1"/>
    <s v="Primera concesión Hospital de Antofagasta"/>
    <s v="Ubicado en la Región de Antofagasta, el proyecto consiste en la construcción, mantenimiento y explotación de servicios no clínicos de apoyo. Además, la concesión contempla la provisión, reposición y mantenimiento del equipamiento médico._x000a__x000a_La superficie construida será de 114.000 m2, y considera la inclusión de 45 boxes de consulta, 24 boxes de urgencia, 16 boxes dentales, 18 pabellones y 671 camas Indiferenciadas._x000a__x000a_Esta obra pública se financiará mediante aportes del Estado, a través de subsidios tanto para la construcción como la operación del recinto y el equipamiento médico._x000a__x000a_El proyecto beneficiará a una población proyectada de 260 mil personas, al que se agrega la demanda de alta complejidad desde Arica a Copiapó._x000a__x000a_Entre los beneficios del Proyecto se encuentra el aumento de la disponibilidad de camas en la región, con infraestructura hospitalaria y equipamiento médico de alto nivel y alta complejidad."/>
    <x v="6"/>
    <s v="Antofagasta"/>
    <s v="Sitio en construcción"/>
    <s v="Público"/>
    <s v=""/>
    <n v="5300000"/>
    <s v="UF"/>
    <s v="https://concesiones.mop.gob.cl/project/concesion-hospital-de-antofagasta/"/>
    <x v="2"/>
    <s v="Licitación pública con preselección"/>
    <s v="Subsidio."/>
    <d v="2011-12-31T00:00:00"/>
    <d v="2012-10-01T00:00:00"/>
    <d v="2012-10-19T00:00:00"/>
    <d v="2013-02-26T00:00:00"/>
    <d v="2013-06-21T00:00:00"/>
    <s v="76317736-K"/>
    <s v="SOCIEDAD CONCESIONARIA SALUD SIGLO XXI S.A."/>
    <s v="https://www.cmfchile.cl/institucional/mercados/entidad.php?auth=&amp;send=&amp;mercado=O&amp;rut=76317736&amp;grupo=&amp;tipoentidad=RGEIN&amp;vig=VI&amp;row=AAAwy2ACTAAABzTAAk&amp;control=svs&amp;pestania=1"/>
    <d v="2013-06-21T00:00:00"/>
    <d v="2032-12-23T00:00:00"/>
    <s v="Fijo"/>
    <s v="SD"/>
    <d v="2017-10-16T00:00:00"/>
    <d v="2018-12-28T00:00:00"/>
    <n v="6438587.2999999998"/>
    <n v="1"/>
  </r>
  <r>
    <s v="076_NPIB1"/>
    <s v="Concesión Vial Puente Industrial"/>
    <n v="1"/>
    <s v="Primera concesión Vial Puente Industrial"/>
    <s v="El proyecto contempla la construcción y operación de un puente sobre el río Bío Bío que conecta las comunas de Hualpén y San Pedro de la Paz, en la provincia de Concepción mediante un trazado nuevo con dos calzadas con dos pistas por sentido y una extensión total de 6,4 km (aproximadamente)._x000a__x000a_La obra considera un nuevo puente sobre el río Biobío, en una estructura de una longitud total de 2,5 kilómetros, con estándar sísmico, más las conexiones con la vialidad urbana, con ciclovía y acera peatonal en toda su extensión con el objetivo de mejorar la conectividad vehicular y peatonal entre ambas riberas._x000a__x000a_El proyecto prevé la reducción significativa en los tiempos de viaje y mejoramiento de la conectividad entre ambas riberas del río Bío Bío."/>
    <x v="2"/>
    <s v="Biobío"/>
    <s v="Sitio en construcción"/>
    <s v="Público"/>
    <s v=""/>
    <n v="4420000"/>
    <s v="UF"/>
    <s v="https://concesiones.mop.gob.cl/project/concesion-vial-puente-industrial/"/>
    <x v="1"/>
    <s v="Sólo licitación pública"/>
    <s v="Subsidio; Ingresos totales de la concesión."/>
    <d v="2012-12-28T00:00:00"/>
    <d v="2013-11-15T00:00:00"/>
    <d v="2013-12-13T00:00:00"/>
    <d v="2014-07-08T00:00:00"/>
    <d v="2014-12-02T00:00:00"/>
    <s v="76427516-0"/>
    <s v="SOCIEDAD CONCESIONARIA PUENTE INDUSTRIAL S.A"/>
    <s v="https://www.cmfchile.cl/institucional/mercados/entidad.php?auth=&amp;send=&amp;mercado=O&amp;rut=76427516&amp;grupo=&amp;tipoentidad=RGEIN&amp;vig=VI&amp;row=AAAwy2ACTAAABz3AAK&amp;control=svs&amp;pestania=1"/>
    <d v="2014-12-02T00:00:00"/>
    <d v="2054-12-02T00:00:00"/>
    <s v="Variable"/>
    <d v="2021-07-01T00:00:00"/>
    <d v="2025-11-24T00:00:00"/>
    <s v="Sin otorgar"/>
    <n v="6057865.2999999998"/>
    <n v="0.93169999999999997"/>
  </r>
  <r>
    <s v="077_CFLL1"/>
    <s v="Nuevo Complejo Fronterizo Los Libertadores"/>
    <n v="1"/>
    <s v="Primera concesión Nuevo Complejo Fronterizo Los Libertadores"/>
    <s v="El proyecto consiste en la construcción de un nuevo Complejo Fronterizo en el Paso Los Libertadores, punto que atiende el mayor flujo de personas, vehículos y transporte de carga con Argentina (más de 4,3 millones de toneladas y sobre 1,5 millones de personas en tránsito), constituyéndose además en la principal conexión terrestre entre Chile y el MERCOSUR y con un mercado potencial de 190 millones de personas._x000a__x000a_La iniciativa implica el reemplazo de las actuales instalaciones ubicadas aproximadamente a 300 metros del actual complejo, a 3.000 metros sobre el nivel del mar, a 68 km. de la ciudad de Los Andes, en la Región de Valparaíso. Las principales obras consideradas en el proyecto son: Edificio de Control e Inspección (Automóviles particulares, Buses y vehículos de carga) Edificio de Alojamiento para Funcionarios Subcomisaria de Carabineros de Chile Vialidad de acceso y empalmes con la Ruta 60-CH, vialidad de circulación interior y buffer de estacionamientos Área para Servicios Generales._x000a__x000a_Otras obras complementarias: muro deflector de avalanchas, contención de taludes, cierros, drenajes, saneamiento, circulación peatonal, demolición de construcciones existentes, señalética, entre otras._x000a__x000a_Los beneficios del proyecto están asociados a la disminución los tiempos de espera en cola de usuarios; mayor eficacia en el control migratorio de personas, control de mercancías (incluyendo sustancias ilícitas) y control fitozoosanitario; mejorar las condiciones de trabajo y habitabilidad para los funcionarios; reducir la exposición a riesgo de avalanchas; asegurar la mantención y conservación de la nueva infraestructura; mejorar la imagen país para turistas que ingresan a Chile; contar con nuevos y mejores servicios para los usuarios; potenciar el Programa de Integración con el resto de la Región de Sudamérica."/>
    <x v="5"/>
    <s v="Valparaíso"/>
    <s v="Sitio en construcción"/>
    <s v="Público"/>
    <s v=""/>
    <n v="1924500"/>
    <s v="UF"/>
    <s v="https://concesiones.mop.gob.cl/project/concesion-complejo-fronterizo-los-libertadores/"/>
    <x v="2"/>
    <s v="Sólo licitación pública"/>
    <s v="Subsidio."/>
    <d v="2012-12-31T00:00:00"/>
    <d v="2014-11-26T00:00:00"/>
    <d v="2014-12-19T00:00:00"/>
    <d v="2015-03-19T00:00:00"/>
    <d v="2015-05-18T00:00:00"/>
    <s v="76475888-9"/>
    <s v="SOCIEDAD CONCESIONARIA NUEVO COMPLEJO FRONTERIZO LOS LIBERTADORES S.A."/>
    <s v="https://www.cmfchile.cl/institucional/mercados/entidad.php?auth=&amp;send=&amp;mercado=O&amp;rut=76475888&amp;grupo=&amp;tipoentidad=RGEIN&amp;vig=VI&amp;row=AAAwy2ACTAAABz5AAL&amp;control=svs&amp;pestania=1"/>
    <d v="2015-05-18T00:00:00"/>
    <d v="2030-11-17T00:00:00"/>
    <s v="Fijo"/>
    <d v="2017-01-13T00:00:00"/>
    <d v="2019-07-23T00:00:00"/>
    <d v="2019-11-24T00:00:00"/>
    <n v="2032422.63"/>
    <n v="1"/>
  </r>
  <r>
    <s v="078_1AVO1"/>
    <s v="Concesión Américo Vespucio Oriente, Tramo Av. El Salto - Príncipe de Gales"/>
    <n v="1"/>
    <s v="Primera concesión Américo Vespucio Oriente, Tramo Av. El Salto - Príncipe de Gales"/>
    <s v="Autopista de urbana de 9,1 km de extensión que corresponde a un tramo del anillo Américo Vespucio, entre Av. El Salto y Av. Príncipe de Gales. En su trazado la ruta cruza seis comunas: La Reina, Ñuñoa, Las Condes, Vitacura, Recoleta y Huechuraba. La autopista considera en toda su extensión doble calzada, de tres pistas por sentido, de 3,5m de ancho, permitiendo una velocidad de 100 km/h y de 80 km/hr._x000a__x000a_El trazado comienza en el sector de Avda. El Salto con un Viaducto y luego avanza a través del túnel La Pirámide bajo el cerro San Cristóbal. A continuación la vía considera trincheras cubiertas y un túnel híbrido, en que el nivel -1 es en dirección hacia el norte y el -2 es hacia el sur._x000a__x000a_La autopista consideró también el mejoramiento de áreas verdes como el Parque Vespucio, el desarrollo de ciclopaseos y permitirá el tránsito del transporte público._x000a__x000a_Se estima que la obra permitirá reducir significativamente los tiempos de traslado y beneficiará a una población estimada de 750 mil habitantes."/>
    <x v="2"/>
    <s v="Metropolitana de Santiago"/>
    <s v="Sitio en construcción"/>
    <s v="Público"/>
    <s v=""/>
    <n v="21900000"/>
    <s v="UF"/>
    <s v="https://concesiones.mop.gob.cl/project/concesion-americo-vespucio-oriente-tramo-el-salto-principe-de-gales/"/>
    <x v="2"/>
    <s v="Licitación pública con preselección"/>
    <s v="Subsidio; Ingresos totales de la concesión."/>
    <d v="2013-07-30T00:00:00"/>
    <d v="2014-01-16T00:00:00"/>
    <d v="2014-01-28T00:00:00"/>
    <d v="2014-01-31T00:00:00"/>
    <d v="2014-03-13T00:00:00"/>
    <s v="76376061-8"/>
    <s v="SOCIEDAD CONCESIONARIA VESPUCIO ORIENTE S.A."/>
    <s v="https://www.cmfchile.cl/institucional/mercados/entidad.php?auth=&amp;send=&amp;mercado=O&amp;rut=76376061&amp;grupo=&amp;tipoentidad=RGEIN&amp;vig=VI&amp;row=AAAwy2ACTAAABzVAAM&amp;control=svs&amp;pestania=1"/>
    <d v="2014-03-13T00:00:00"/>
    <d v="2059-03-12T00:00:00"/>
    <s v="Variable"/>
    <d v="2017-11-10T00:00:00"/>
    <d v="2022-07-28T00:00:00"/>
    <d v="2023-05-29T00:00:00"/>
    <n v="28379077.100000001"/>
    <n v="1"/>
  </r>
  <r>
    <s v="053_ADAI2"/>
    <s v="Aeropuerto Diego Aracena de Iquique, I Región"/>
    <n v="2"/>
    <s v="Segunda concesión Aeropuerto Diego Aracena de Iquique, I Región"/>
    <s v="Esta concesión finalizó en 2012 y consideró la ampliación del Edificio Terminal de Pasajeros, de 4.700 m2 a 8.200 m2, y la remodelación de instalaciones existentes._x000a__x000a_El proyecto incluyó un nuevo puente de embarque móvil, para atender aeronaves tipo B- 737, B-767 y A-320, y tres puentes de embarque en la Terminal. Adicionalmente se ampliaron y mejoraron los pavimentos de la plataforma de estacionamiento de aviones y calle aeronáutica, incluyendo la iluminación (luces de borde de plataforma y torres de iluminación)._x000a__x000a_El proyecto contempló también la ampliación y mejoramiento de la vialidad interior y del sector de estacionamiento de vehículos del aeropuerto, con su respectiva iluminación, drenaje, señalética, demarcaciones y control de acceso. La obra fue relicitada y en la actualidad está vigente la cuarta concesión."/>
    <x v="1"/>
    <s v="Tarapacá"/>
    <s v="Sitio en construcción"/>
    <s v="Público"/>
    <s v=""/>
    <n v="371200"/>
    <s v="UF"/>
    <s v="https://concesiones.mop.gob.cl/project/segunda-concesion-aeropuerto-diego-aracena-de-iquique/"/>
    <x v="0"/>
    <s v="Licitación pública con preselección"/>
    <s v="Ingresos totales de la concesión."/>
    <d v="2007-04-15T00:00:00"/>
    <d v="2007-09-10T00:00:00"/>
    <d v="2007-09-26T00:00:00"/>
    <d v="2007-10-08T00:00:00"/>
    <d v="2007-11-27T00:00:00"/>
    <s v="76006807-1"/>
    <s v="SOCIEDAD CONCESIONARIA AEROTAS S.A."/>
    <s v="https://www.cmfchile.cl/institucional/mercados/entidad.php?mercado=O&amp;rut=76006807&amp;grupo=&amp;tipoentidad=RGEIN&amp;row=AAAwy2ACTAAABy1AAD&amp;vig=NV&amp;control=svs&amp;pestania=50"/>
    <d v="2007-11-27T00:00:00"/>
    <d v="2012-12-31T00:00:00"/>
    <s v="Variable"/>
    <s v="SD"/>
    <d v="2010-05-13T00:00:00"/>
    <d v="2011-11-27T00:00:00"/>
    <n v="389830.19999999995"/>
    <n v="1"/>
  </r>
  <r>
    <s v="080_HSSG1"/>
    <s v="Hospital del Salvador e Instituto Nacional de Geriatría"/>
    <n v="1"/>
    <s v="Primera concesión Hospital del Salvador e Instituto Nacional de Geriatría"/>
    <s v="Ubicado en la Región Metropolitana, el proyecto consiste en la construcción, mantenimiento y explotación de servicios no clínicos de apoyo de los hospitales del Salvador e Instituto Nacional de Geriatría._x000a__x000a_Además, la concesión contempla la provisión, reposición y mantenimiento del equipamiento médico. La capacidad del recinto se estima en 650 camas._x000a__x000a_Entre los beneficios del Proyecto se encuentra el aumento de la oferta de infraestructura hospitalaria del país con altos estándares técnicos y de servicio al usuario."/>
    <x v="6"/>
    <s v="Metropolitana de Santiago"/>
    <s v="Sitio en construcción"/>
    <s v="Público"/>
    <s v=""/>
    <n v="6714000"/>
    <s v="UF"/>
    <s v="https://concesiones.mop.gob.cl/project/concesion-hospital-del-salvador-geriatrico/"/>
    <x v="3"/>
    <s v="Licitación pública con preselección"/>
    <s v="Subsidio."/>
    <d v="2013-10-15T00:00:00"/>
    <d v="2014-01-20T00:00:00"/>
    <d v="2014-01-29T00:00:00"/>
    <d v="2014-02-11T00:00:00"/>
    <d v="2014-05-28T00:00:00"/>
    <s v="76388163-6"/>
    <s v="CONSORCIO DE SALUD SANTIAGO ORIENTE S.A. SOCIEDAD CONCESIONARIA"/>
    <s v="https://www.cmfchile.cl/institucional/mercados/entidad.php?auth=&amp;send=&amp;mercado=O&amp;rut=76388163&amp;grupo=&amp;tipoentidad=RGEIN&amp;vig=VI&amp;row=AAAwy2ACTAAABzcAAF&amp;control=svs&amp;pestania=1"/>
    <d v="2014-05-28T00:00:00"/>
    <d v="2041-07-21T00:00:00"/>
    <s v="Variable"/>
    <d v="2018-11-27T00:00:00"/>
    <s v="En fase de construcción"/>
    <s v="En fase de construcción"/>
    <n v="9755462.5999999996"/>
    <n v="0.92200000000000004"/>
  </r>
  <r>
    <s v="081_HSFB1"/>
    <s v="Hospital Félix Bulnes"/>
    <n v="1"/>
    <s v="Primera concesión Hospital Félix Bulnes"/>
    <s v="Esta obra en operación consideró la construcción de un nuevo establecimiento médico de alta complejidad, que entrega atención hospitalaria y ambulatoria a los habitantes de la zona poniente de la Región Metropolitana y reemplaza al antiguo Hospital Félix Bulnes, que quedó gravemente dañado por el terremoto del 27 de febrero de 2010._x000a__x000a_El nuevo Hospital Félix Bulnes tiene una superficie de 122.000 m2, con una capacidad para 523 camas, que incluyen camas básicas y medias, pensionado, U.P.C. (Unidad de pacientes críticos) y camas salud mental. Además tendrá otros instalaciones relevantes, tales como 16 pabellones (13 de cirugía mayor y 3 de cirugía menor) y 44 box de consulta de especialidades._x000a__x000a_Este contrato de concesión también considera la mantención y operación de las instalaciones, así como la provisión del mobiliario clínico y no clínico, equipamiento médico, equipamiento industrial, mobiliario asociado a la infraestructura, explotación de servicios básicos, servicios especiales obligatorios y servicios complementarios._x000a__x000a_El recinto beneficia a una población estimada en cerca de un millón de personas, provenientes de las comunas de Pudahuel, Cerro Navia, Renca, Quinta Normal y Lo Prado."/>
    <x v="6"/>
    <s v="Metropolitana de Santiago"/>
    <s v="Sitio en construcción"/>
    <s v="Público"/>
    <s v=""/>
    <n v="5300000"/>
    <s v="UF"/>
    <s v="https://concesiones.mop.gob.cl/project/concesion-hospital-felix-bulnes/"/>
    <x v="2"/>
    <s v="Licitación pública con preselección"/>
    <s v="Subsidio."/>
    <d v="2013-11-14T00:00:00"/>
    <d v="2014-01-30T00:00:00"/>
    <d v="2014-02-12T00:00:00"/>
    <d v="2014-02-27T00:00:00"/>
    <d v="2014-06-06T00:00:00"/>
    <s v="76383236-8"/>
    <s v="SOCIEDAD CONCESIONARIA METROPOLITANA DE SALUD S.A."/>
    <s v="https://www.cmfchile.cl/institucional/mercados/entidad.php?auth=&amp;send=&amp;mercado=O&amp;rut=76383236&amp;grupo=&amp;tipoentidad=RGEIN&amp;vig=VI&amp;row=AAAwy2ACTAAABz3AAE&amp;control=svs&amp;pestania=1"/>
    <d v="2014-06-06T00:00:00"/>
    <d v="2035-11-18T00:00:00"/>
    <s v="Fijo"/>
    <d v="2014-10-22T00:00:00"/>
    <d v="2020-03-24T00:00:00"/>
    <d v="2021-11-19T00:00:00"/>
    <n v="5718390.9000000004"/>
    <n v="1"/>
  </r>
  <r>
    <s v="042_ACHA1"/>
    <s v="Aeropuerto Chacalluta de Arica, I Región"/>
    <n v="1"/>
    <s v="Primera concesión Aeropuerto Chacalluta de Arica, I Región"/>
    <s v="Esta concesión finalizó en 2019 y consideró el mejoramiento del recinto aeroportuario, a través de la ampliación del Edificio Terminal de Pasajeros, la incorporación de dos mangas retractiles para embarque y desembarque de pasajeros, dos halls de público, equipamiento electromecánico, equipamiento aeroportuario, área de concesiones, mobiliario, decoración, señalética e instalaciones de servicios._x000a__x000a_El proyecto, que tuvo por objetivo mejorar los estándares de servicio, también incluyó una nueva área de estacionamiento para vehículos. La obra fue relicitada y en la actualidad está vigente la segunda concesión."/>
    <x v="1"/>
    <s v="Arica y Parinacota"/>
    <s v="Sitio en construcción"/>
    <s v="Público"/>
    <s v=""/>
    <n v="327809"/>
    <s v="UF"/>
    <s v="https://concesiones.mop.gob.cl/project/primera-concesion-del-aeropuerto-chacalluta-de-arica/"/>
    <x v="0"/>
    <s v="Licitación pública con preselección"/>
    <s v="Nivel de tarifa."/>
    <d v="2003-06-29T00:00:00"/>
    <d v="2003-11-13T00:00:00"/>
    <d v="2003-12-16T00:00:00"/>
    <d v="2004-02-06T00:00:00"/>
    <d v="2004-04-19T00:00:00"/>
    <s v="99563730-8"/>
    <s v="    AEROPUERTO CHACALLUTA SOCIEDAD CONCESIONARIA S.A."/>
    <s v="https://www.cmfchile.cl/institucional/mercados/entidad.php?mercado=O&amp;rut=99563730&amp;grupo=&amp;tipoentidad=RGEIN&amp;row=AAAwy2ACTAAAByzAAb&amp;vig=VI&amp;control=svs&amp;pestania=3"/>
    <d v="2004-04-19T00:00:00"/>
    <d v="2019-04-18T00:00:00"/>
    <s v="Fijo"/>
    <s v="SD"/>
    <d v="2006-08-07T00:00:00"/>
    <d v="2007-02-05T00:00:00"/>
    <n v="471611.79000000004"/>
    <n v="1"/>
  </r>
  <r>
    <s v="083_EPUN1"/>
    <s v="Concesión de la Obra Pública Embalse La Punilla"/>
    <n v="1"/>
    <s v="Primera concesión de la Obra Pública Embalse La Punilla"/>
    <s v="Esta concesión comenzó en marzo de 2016 y finalizó el 9 de octubre de 2021, a través de un Convenio de Extinción de contrato por mutuo acuerdo._x000a__x000a_El proyecto consideraba el desarrollo de un embalse multipropósito, ubicado en la Provincia de Punilla, a 30 km aguas arriba de San Fabián de Alico, para mejorar la seguridad del riego para los usuarios del Río Ñuble, como también responder a requerimientos de hidroelectricidad y reserva para consumo humano._x000a__x000a_Con algunas modificaciones, se plantea llamar a licitación el proyecto Concesión Embalse Nueva La Punilla durante el cuarto trimestre de 2021."/>
    <x v="3"/>
    <s v="Ñuble"/>
    <s v="Sitio en construcción"/>
    <s v="Público"/>
    <s v=""/>
    <n v="9410000"/>
    <s v="UF"/>
    <s v="https://concesiones.mop.gob.cl/project/concesion-embalse-la-punilla/"/>
    <x v="0"/>
    <s v="Licitación pública con preselección"/>
    <s v="Plazo; Subsidio."/>
    <d v="2015-03-30T00:00:00"/>
    <d v="2015-12-17T00:00:00"/>
    <d v="2016-01-14T00:00:00"/>
    <d v="2016-03-21T00:00:00"/>
    <d v="2016-06-22T00:00:00"/>
    <s v="76590271-1"/>
    <s v="SOCIEDAD CONCESIONARIA AGUAS DE PUNILLA S.A"/>
    <s v="https://www.cmfchile.cl/institucional/mercados/entidad.php?auth=&amp;send=&amp;mercado=O&amp;rut=76590271&amp;grupo=&amp;tipoentidad=RGEIN&amp;vig=NV&amp;row=AAAwy2ACTAAABz+AAX&amp;control=svs&amp;pestania=1"/>
    <d v="2016-06-22T00:00:00"/>
    <d v="2021-10-09T00:00:00"/>
    <s v="Fijo"/>
    <s v="No aplica"/>
    <s v="No aplica"/>
    <s v="No aplica"/>
    <n v="512516"/>
    <n v="0"/>
  </r>
  <r>
    <s v="084_TEME2"/>
    <s v="Relicitación Concesión Túnel El Melón"/>
    <n v="2"/>
    <s v="Segunda concesión Túnel El Melón"/>
    <s v="La segunda concesión de este túnel, ubicado entre las provincias de Petorca y Quillota, en la Región de Valparaíso, contempla la construcción, mantención y explotación de las obras que permitan un aumento de capacidad de la ruta y un mejoramiento del estándar de seguridad de la vía actual._x000a__x000a_Entre las obras de mejoramiento está considerada la ampliación vertical y modernización de su equipamiento de ventilación, iluminación y los sistemas de gestión de tráfico que controlan la operación del túnel. Asimismo, se estima un mejoramiento de los accesos norte y sur de la concesión actual, con lo que se pretende un aumento de la velocidad de diseño y disminución del tiempo de viaje._x000a__x000a_Respecto de la necesidad de aumentar su capacidad vial, para este proceso se consideró la Construcción de un nuevo túnel –aledaño al actual-, con sus respectivos accesos. Además se añadirán galerías de conexión tanto vehicular como peatonal entre ambos túneles._x000a__x000a_Para lograr mejorar las condiciones de seguridad y el confort de los usuarios, la relicitación de El Melón considera el cobro electrónico en la plaza de peaje, así como la implementación de teléfonos de emergencia, incorporación de señalización variable y aumento de elementos de señalética vial._x000a__x000a_La Concesión Túnel El Melón se emplaza aproximadamente entre los kilómetros 127,54 y 132,73 de la Ruta 5 Norte, con una longitud total aproximada de 5 kilómetros, de los cuales aproximadamente 2.590 metros corresponden propiamente al túnel, y la longitud restante corresponde a los accesos norte y sur a éste._x000a__x000a_Este túnel corresponde a la primera obra concesionada del país, y su puesta en servicio se realizó el miércoles 13 de septiembre de 1995, en una ceremonia encabezada por el presidente Eduardo Frei Ruiz-Tagle."/>
    <x v="0"/>
    <s v="Valparaíso"/>
    <s v="Sitio en construcción"/>
    <s v="Público"/>
    <s v=""/>
    <n v="3026000"/>
    <s v="UF"/>
    <s v="https://concesiones.mop.gob.cl/project/segunda-concesion-tunel-el-melon/"/>
    <x v="0"/>
    <s v="Sólo licitación pública"/>
    <s v="Ingresos totales de la concesión."/>
    <d v="2015-10-14T00:00:00"/>
    <d v="2016-02-17T00:00:00"/>
    <d v="2016-03-07T00:00:00"/>
    <d v="2016-04-04T00:00:00"/>
    <d v="2016-06-07T00:00:00"/>
    <s v="76574787-2"/>
    <s v="SOCIEDAD CONCESIONARIA TUNEL EL MELON II S.A"/>
    <s v="https://www.cmfchile.cl/institucional/mercados/entidad.php?auth=&amp;send=&amp;mercado=O&amp;rut=76574787&amp;grupo=&amp;tipoentidad=RGEIN&amp;vig=VI&amp;row=AAAwy2ACTAAABz9AAH&amp;control=svs&amp;pestania=1"/>
    <d v="2016-06-07T00:00:00"/>
    <d v="2025-06-30T00:00:00"/>
    <s v="Variable"/>
    <d v="2018-10-12T00:00:00"/>
    <d v="2022-10-21T00:00:00"/>
    <d v="2023-07-31T00:00:00"/>
    <n v="2592310.0499999998"/>
    <n v="1"/>
  </r>
  <r>
    <s v="085_CNPU2"/>
    <s v="Relicitación Concesión Camino Nogales - Puchuncaví "/>
    <n v="2"/>
    <s v="Segunda concesión Camino Nogales - Puchuncaví "/>
    <s v="El proyecto considera un mejoramiento integral del camino actual que corresponde a la Ruta F20, dotándolo de sectores con doble calzada (principalmente en el sector cuesta), cruces a desnivel con iluminación y paisajismo, puentes nuevos, calles locales para el control de acceso, actualización de elementos de contención, ciclovía, veredas y paraderos de buses, entre otros._x000a__x000a_Estas obras permitirán contar con un camino más seguro, disminuir notablemente el tiempo de viaje (en el presente existen muchos tramos en la que se impide el adelantamiento, con presencia muy alta de camiones pesados) y segregar la ruta para controlar en mayor medida los ingresos a ella._x000a__x000a_En su parte final suma un baipás a la localidad de Puchuncaví en doble calzada y la construcción de la Variante Ventanas, aumentando así su capacidad vial, respondiendo a los mayores requerimientos de tránsito previstas para la ruta en los próximos años, mejorando las condiciones de seguridad y confort de los usuarios."/>
    <x v="0"/>
    <s v="Valparaíso"/>
    <s v="Sitio en construcción"/>
    <s v="Público"/>
    <s v=""/>
    <n v="5250000"/>
    <s v="UF"/>
    <s v="https://concesiones.mop.gob.cl/project/segunda-concesion-camino-nogales-puchuncavi/"/>
    <x v="1"/>
    <s v="Sólo licitación pública"/>
    <s v="Subsidio; Ingresos totales de la concesión."/>
    <d v="2015-11-27T00:00:00"/>
    <d v="2016-03-29T00:00:00"/>
    <d v="2016-04-22T00:00:00"/>
    <d v="2016-06-07T00:00:00"/>
    <d v="2016-08-23T00:00:00"/>
    <s v="76449868-2"/>
    <s v="SOCIEDAD CONCESIONARIA NUEVO CAMINO NOGALES- PUCHUNCAVI S.A."/>
    <s v="https://www.cmfchile.cl/institucional/mercados/entidad.php?auth=&amp;send=&amp;mercado=O&amp;rut=76449868&amp;grupo=&amp;tipoentidad=RGEIN&amp;vig=VI&amp;row=AAAwy2ACTAAABzaAAD&amp;control=svs&amp;pestania=1"/>
    <d v="2016-08-23T00:00:00"/>
    <d v="2045-08-23T00:00:00"/>
    <s v="Variable"/>
    <d v="2020-06-24T00:00:00"/>
    <s v="En fase de construcción"/>
    <s v="En fase de construcción"/>
    <n v="5250000"/>
    <s v="Sector 1: 86,19% _x000a_Sector 2: 97,76% "/>
  </r>
  <r>
    <s v="035_ARAT1"/>
    <s v="Nuevo Aeropuerto Regional de Atacama, III Región"/>
    <n v="1"/>
    <s v="Primera concesión Nuevo Aeropuerto Regional de Atacama, III Región"/>
    <s v="El Nuevo Aeropuerto Regional de Atacama, está ubicado a 52 km al noroeste de la ciudad de Copiapó y a 23 km al sur este de Caldera, en la Ruta 5 norte km 860._x000a__x000a_Cuenta con dos niveles en los que se ubica un edificio terminal de pasajeros de aproximadamente 3.000 m2, incluyendo sus respectivas áreas de servicios, hall de público, una pista de aterrizaje de 2.200 metros, plataforma de estacionamiento de aeronave de 33.000 m2, torre de control, edificio de cuartel del Servicio de Seguridad, Salvamento de Extinción de Incendios en Aeronaves (SSEI)._x000a__x000a_Para los pasajeros cuenta con estacionamiento para automóviles, servicios para facilitar el desplazamiento como ascensores y escaleras mecánicas, además de wifi._x000a__x000a_El Aeropuerto es clave para potenciar la demanda del sector turismo y la industria local, así como mejorar la conectividad nacional."/>
    <x v="1"/>
    <s v="Atacama"/>
    <s v="Sitio en construcción"/>
    <s v="Público"/>
    <s v=""/>
    <n v="1000574"/>
    <s v="UF"/>
    <s v="https://concesiones.mop.gob.cl/project/concesion-nuevo-aeropuerto-regional-de-atacama/"/>
    <x v="0"/>
    <s v="Licitación pública con preselección"/>
    <s v="Subsidio."/>
    <d v="2001-10-09T00:00:00"/>
    <d v="2002-04-30T00:00:00"/>
    <d v="2002-05-31T00:00:00"/>
    <d v="2002-07-23T00:00:00"/>
    <d v="2002-10-03T00:00:00"/>
    <s v="99505010-2"/>
    <s v="SOC CONCESIONARIA AEROPUERTO REGIONAL DE ATACAMA S A"/>
    <s v="https://www.cmfchile.cl/institucional/mercados/entidad.php?auth=&amp;send=&amp;mercado=O&amp;rut=99505010&amp;grupo=&amp;tipoentidad=RGEIN&amp;vig=VI&amp;row=AAAwy2ACTAAAAWdAAK&amp;control=svs&amp;pestania=1"/>
    <d v="2002-10-03T00:00:00"/>
    <d v="2025-01-23T00:00:00"/>
    <s v="Fijo"/>
    <s v="SD"/>
    <d v="2005-01-28T00:00:00"/>
    <d v="2005-09-27T00:00:00"/>
    <n v="919407.34"/>
    <n v="1"/>
  </r>
  <r>
    <s v="025_ACIP1"/>
    <s v="Terminal de Pasajeros Aeropuerto Presidente Carlos Ibáñez del Campo de Punta Arenas"/>
    <n v="1"/>
    <s v="Primera concesión Terminal de Pasajeros Aeropuerto Presidente Carlos Ibáñez del Campo de Punta Arenas"/>
    <s v="Esta concesión finalizó en enero de 2010 y consideró la construcción de un nuevo edificio terminal de pasajeros de aproximadamente 6.060 m2, con dos cintas transportadoras de equipaje y tres puentes de embarque, para atender a 500 mil pasajeros al año._x000a__x000a__x000a_El contrato también incluyó la construcción de una nueva vialidad de acceso y circulación al interior del aeropuerto, con su respectiva iluminación y señalización, la ampliación y mejoramiento de la zona de estacionamiento de vehículos, un terminal de carga, una planta de tratamiento de aguas servidas y una nueva subestación eléctrica._x000a__x000a__x000a_La obra fue relicitada y en la actualidad está vigente la segunda concesión."/>
    <x v="1"/>
    <s v="Magallanes y de la Antártica Chilena"/>
    <s v="Sitio en construcción"/>
    <s v="Público"/>
    <s v=""/>
    <n v="320573"/>
    <s v="UF"/>
    <s v="https://concesiones.mop.gob.cl/project/primera-concesion-aeropuerto-carlos-ibanez-del-campo-de-punta-arenas/"/>
    <x v="0"/>
    <s v="Sólo licitación pública"/>
    <s v="Plazo."/>
    <d v="1999-07-29T00:00:00"/>
    <d v="1999-10-14T00:00:00"/>
    <d v="1999-11-23T00:00:00"/>
    <d v="2000-02-08T00:00:00"/>
    <d v="2000-04-24T00:00:00"/>
    <s v="96921070-3"/>
    <s v="AUSTRAL SOCIEDAD CONCESIONARIA S.A."/>
    <s v="https://www.cmfchile.cl/institucional/mercados/entidad.php?auth=&amp;send=&amp;mercado=O&amp;rut=96921070&amp;grupo=&amp;tipoentidad=RGEIN&amp;vig=NV&amp;row=AAAwy2ACTAAAAWbAAT&amp;control=svs&amp;pestania=2"/>
    <d v="2000-04-24T00:00:00"/>
    <d v="2010-03-23T00:00:00"/>
    <s v="Fijo"/>
    <s v="SD"/>
    <d v="2002-12-16T00:00:00"/>
    <s v="SD"/>
    <n v="324423.18"/>
    <n v="1"/>
  </r>
  <r>
    <s v="088_2AVO1"/>
    <s v="Concesión Américo Vespucio Oriente, Tramo Av. Príncipe de Gales - Los Presidentes"/>
    <n v="1"/>
    <s v="Primera concesión Américo Vespucio Oriente, Tramo Av. Príncipe de Gales - Los Presidentes"/>
    <s v="El proyecto de Concesión Américo Vespucio Oriente (AVO) del tramo Av. Príncipe de Gales – Rotonda Grecia, contempla la construcción y explotación de una autopista urbana subterránea de alto estándar, con una longitud de 5,2 kilómetros, que favorecerá a las comunas de La Reina, Peñalolén, Ñuñoa y Macul, en Santiago._x000a__x000a_La solución vial permitirá dotar a esta importante vía estructurante de un alto nivel de servicio como vía urbana concesionada con sistema de cobro free flow, a través de la consolidación de vías expresas de 3 pistas por sentido y la provisión de dispositivos de seguridad vial, señalización variable, sistema de comunicación y servicios de atención a los usuarios._x000a__x000a_Adicionalmente, la iniciativa considera una completa propuesta de remodelación urbana en superficie y la consolidación de un corredor de Transporte Público en el sector.Esta obra permitirá extender el nivel de servicio de alto estándar a todo el Anillo Américo Vespucio, mejorando los problemas de congestión vehicular en horas punta, lo que provoca grandes costos sociales y contaminación ambiental en cuanto a emisión de gases y ruidos."/>
    <x v="2"/>
    <s v="Metropolitana de Santiago"/>
    <s v="Sitio en construcción"/>
    <s v="Público"/>
    <s v=""/>
    <n v="19670000"/>
    <s v="UF"/>
    <s v="https://concesiones.mop.gob.cl/project/concesion-americo-vespucio-oriente-principe-de-gales-los-presidentes/"/>
    <x v="3"/>
    <s v="Licitación pública con preselección"/>
    <s v="Subsidio; Ingresos totales de la concesión."/>
    <d v="2016-08-12T00:00:00"/>
    <d v="2017-05-30T00:00:00"/>
    <d v="2018-07-28T00:00:00"/>
    <d v="2017-11-15T00:00:00"/>
    <d v="2018-04-05T00:00:00"/>
    <s v="76870948-3"/>
    <s v="SOCIEDAD CONCESIONARIA AMERICO VESPUCIO ORIENTE II S.A."/>
    <s v="https://www.cmfchile.cl/institucional/mercados/entidad.php?auth=&amp;send=&amp;mercado=O&amp;rut=76870948&amp;grupo=&amp;tipoentidad=RGEIN&amp;vig=VI&amp;row=AAAwy2ACTAAAAQnAAM&amp;control=svs&amp;pestania=1"/>
    <d v="2018-04-05T00:00:00"/>
    <d v="2063-04-04T00:00:00"/>
    <s v="Variable"/>
    <d v="2023-12-28T00:00:00"/>
    <s v="En fase de construcción"/>
    <s v="En fase de construcción"/>
    <n v="19670000"/>
    <n v="0.2641"/>
  </r>
  <r>
    <s v="089_RNAH1"/>
    <s v="Mejoramiento Ruta Nahuelbuta"/>
    <n v="1"/>
    <s v="Primera concesión Mejoramiento Ruta Nahuelbuta"/>
    <s v="El proyecto de la Ruta Nahuelbuta (Ruta 180), permite la conectividad directa entre las Comunas de Negrete, y Los Ángeles de la Región del Biobío, y las Comunas de Angol y Renaico de la Región de La Araucanía._x000a__x000a_El proyecto contempla la ampliación a doble calzada de la vía existente, en una longitud aproximada de 55 kilómetros, que logrará mejorar considerablemente su estándar, a través de cruces con la vialidad transversal a distinto nivel, el mejoramiento de las condiciones de seguridad, iluminación y señalética._x000a__x000a_El proyecto supone un impacto positivo para conectar una zona de alto flujo, actualmente sobrepasada en su capacidad y con un alto índice de accidentabilidad. La nueva ruta facilitará la conectividad de las zonas de influencia del proyecto, tanto de la Región del Bío-Bío como de La Araucanía, así como también el transporte forestal. Además, significará una disminución en los tiempos de viaje y del consumo de combustible."/>
    <x v="0"/>
    <s v="Biobío; La Araucanía"/>
    <s v="Sitio en construcción"/>
    <s v="Privado"/>
    <d v="2005-11-14T00:00:00"/>
    <n v="6125000"/>
    <s v="UF"/>
    <s v="https://concesiones.mop.gob.cl/project/concesion-mejoramiento-ruta-nahuelbuta/"/>
    <x v="1"/>
    <s v="Sólo licitación pública"/>
    <s v="Subsidio; Ingresos totales de la concesión."/>
    <d v="2016-11-16T00:00:00"/>
    <d v="2017-08-17T00:00:00"/>
    <d v="2017-09-14T00:00:00"/>
    <d v="2017-12-11T00:00:00"/>
    <d v="2018-04-10T00:00:00"/>
    <s v="76882345-6"/>
    <s v="SOCIEDAD CONCESIONARIA RUTA NAHUELBUTA S.A."/>
    <s v="https://www.cmfchile.cl/institucional/mercados/entidad.php?auth=&amp;send=&amp;mercado=O&amp;rut=76882345&amp;grupo=&amp;tipoentidad=RGEIN&amp;vig=VI&amp;row=AAAwy2ACTAAAAQiAAE&amp;control=svs&amp;pestania=1"/>
    <d v="2018-04-10T00:00:00"/>
    <d v="2053-04-09T00:00:00"/>
    <s v="Variable"/>
    <d v="2020-10-20T00:00:00"/>
    <s v="En fase de construcción"/>
    <s v="En fase de construcción"/>
    <n v="6658686.9000000004"/>
    <s v="Sector A: 94,98%;  sector B:100% _x000a_"/>
  </r>
  <r>
    <s v="090_RLOA2"/>
    <s v="Concesión Vial Rutas del Loa"/>
    <n v="2"/>
    <s v="Segunda concesión Vial Rutas del Loa"/>
    <s v="El proyecto se ubica en la Región de Antofagasta y considera el mejoramiento a doble calzada de la actual Ruta 25 entre el inicio del Enlace Carmen Alto hasta el empalme con la Avenida Balmaceda, al norte de la actual rotonda de acceso sur y el desarrollo de la nueva circunvalación oriente a Calama en calzada simple en donde se construirá el Viaducto Yalquincha. En total se trata 136 km de vialidad mejorada que permitirá un mayor desarrollo y competitividad en el sector minero incentivando la actividad industrial y comercial._x000a__x000a_El trazado respeta sectores sensibles correspondientes a antiguas instalaciones salitreras declaradas monumentos históricos._x000a__x000a_La obra beneficiará a los habitantes de Sierra Gorda y Calama, pero también a quienes desarrollen actividades comerciales y productivas en la zona."/>
    <x v="0"/>
    <s v="Antofagasta"/>
    <s v="Sitio en construcción"/>
    <s v="Público"/>
    <m/>
    <n v="7330000"/>
    <s v="UF"/>
    <s v="https://concesiones.mop.gob.cl/project/segunda-concesion-rutas-del-loa/"/>
    <x v="1"/>
    <s v="Sólo licitación pública"/>
    <s v="Ingresos totales de la concesión."/>
    <d v="2017-04-07T00:00:00"/>
    <d v="2017-10-19T00:00:00"/>
    <d v="2017-11-16T00:00:00"/>
    <d v="2017-12-27T00:00:00"/>
    <d v="2018-04-10T00:00:00"/>
    <s v="76876635-5"/>
    <s v="RUTA DEL LOA SOCIEDAD CONCESIONARIA S.A."/>
    <s v="https://www.cmfchile.cl/institucional/mercados/entidad.php?auth=&amp;send=&amp;mercado=O&amp;rut=76876635&amp;grupo=&amp;tipoentidad=RGEIN&amp;vig=VI&amp;row=AAAwy2ACTAAAAQnAAN&amp;control=svs&amp;pestania=1"/>
    <d v="2018-04-10T00:00:00"/>
    <d v="2058-04-10T00:00:00"/>
    <s v="Variable"/>
    <d v="2020-08-17T00:00:00"/>
    <s v="En fase de construcción"/>
    <s v="En fase de construcción"/>
    <n v="7330000"/>
    <s v="Sector A: 100,0%_x000a_Sector B: 100,0% _x000a_"/>
  </r>
  <r>
    <s v="091_TELB1"/>
    <s v="Concesión Teleférico Bicentenario"/>
    <n v="1"/>
    <s v="Primera concesión Teleférico Bicentenario"/>
    <s v="Este proyecto considera la construcción de un Transporte Público, un teleférico, con una línea de 3,2 km que comienza sobre el Canal San Carlos, entre las Avenidas Nueva Tobalaba y Nueva Tajamar, ubicado aproximadamente a 250 metros de la estación de Metro Tobalaba, en la comuna de Providencia. Luego avanza hacia el Parque Metropolitano para conectar a continuación con Ciudad Empresarial, en la comuna de Huechuraba._x000a__x000a_La infraestructura constará de cabinas para 10 personas, montadas sobre cables que tendrán una frecuencia cada 12 segundos y con una estimación de 3.000 pasajeros/hora por sentido._x000a__x000a_El proyecto se sustenta en la necesidad de complementar el transporte de personas no contaminante en un sector complejo de vialidad y tránsito peatonal."/>
    <x v="5"/>
    <s v="Metropolitana de Santiago"/>
    <s v="Sitio en construcción"/>
    <s v="Privado"/>
    <d v="2011-11-18T00:00:00"/>
    <n v="1948603"/>
    <s v="UF"/>
    <s v="https://concesiones.mop.gob.cl/project/concesion-teleferico-bicentenario/"/>
    <x v="3"/>
    <s v="Sólo licitación pública"/>
    <s v="Ingresos totales de la concesión."/>
    <d v="2017-07-11T00:00:00"/>
    <d v="2017-12-15T00:00:00"/>
    <d v="2018-01-12T00:00:00"/>
    <d v="2018-03-27T00:00:00"/>
    <d v="2018-05-19T00:00:00"/>
    <s v="76896837-3"/>
    <s v="SOCIEDAD CONCESIONARIA TELEFERICO BICENTENARIO S.A."/>
    <s v="https://www.cmfchile.cl/institucional/mercados/entidad.php?auth=&amp;send=&amp;mercado=O&amp;rut=76896837&amp;grupo=&amp;tipoentidad=RGEIN&amp;vig=VI&amp;row=AAAwy2ACTAAAAQkAAK&amp;control=svs&amp;pestania=1"/>
    <d v="2018-05-19T00:00:00"/>
    <d v="2054-12-10T00:00:00"/>
    <s v="Variable"/>
    <d v="2023-12-20T00:00:00"/>
    <s v="En fase de construcción"/>
    <s v="En fase de construcción"/>
    <n v="1948603"/>
    <n v="0.57709999999999995"/>
  </r>
  <r>
    <s v="092_ELPA1"/>
    <s v="Concesión Embalse Las Palmas"/>
    <n v="1"/>
    <s v="Primera concesión Embalse Las Palmas"/>
    <s v="El Embalse Las Palmas, ubicado en el estero Las Palmas, a unos 17 kilómetros al oeste de la localidad de Petorca, comuna de Petorca, Región de Valparaíso, será un embalse destinado a abastecer principalmente las necesidades de riego con un volumen total de 55 millones de m3 de capacidad, inundando una superficie total de aproximadamente 252 hectáreas._x000a__x000a_Esta obra mejorará las condiciones de riego en el valle de Petorca, de aproximadamente 2.859 hectáreas, pertenecientes a las comunas de Petorca, Cabildo, La Ligua y Papudo._x000a__x000a_Además, el embalse asegurará la disponibilidad de recursos hídricos para consumo humano a comunidades rurales, al suplir los déficits de agua en épocas de sequía."/>
    <x v="3"/>
    <s v="Valparaíso"/>
    <s v="Sitio en construcción"/>
    <s v="Público"/>
    <s v=""/>
    <n v="3880000"/>
    <s v="UF"/>
    <s v="https://concesiones.mop.gob.cl/project/concesion-embalse-las-palmas/"/>
    <x v="3"/>
    <s v="Sólo licitación pública"/>
    <s v="Subsidio."/>
    <d v="2017-07-28T00:00:00"/>
    <d v="2017-12-20T00:00:00"/>
    <d v="2018-01-18T00:00:00"/>
    <d v="2018-03-06T00:00:00"/>
    <d v="2018-05-04T00:00:00"/>
    <s v="76882491-6"/>
    <s v="SOCIEDAD CONCESIONARIA CHEC EMBALSE LAS PALMAS S.A."/>
    <s v="https://www.cmfchile.cl/institucional/mercados/entidad.php?auth=&amp;send=&amp;mercado=O&amp;rut=76882491&amp;grupo=&amp;tipoentidad=RGEIN&amp;vig=VI&amp;row=AAAwy2ACTAAACuDAAA&amp;control=svs&amp;pestania=1"/>
    <d v="2018-05-04T00:00:00"/>
    <d v="2037-08-04T00:00:00"/>
    <s v="Fijo"/>
    <d v="2019-09-23T00:00:00"/>
    <s v="En fase de construcción"/>
    <s v="En fase de construcción"/>
    <n v="3880000"/>
    <n v="0.21240000000000001"/>
  </r>
  <r>
    <s v="093_67CV1"/>
    <s v="Conexión Vial Ruta 78 hasta Ruta 68"/>
    <n v="1"/>
    <s v="Primera concesión Conexión Vial Ruta 78 hasta Ruta 68"/>
    <s v="La obra considera el desarrollo de una nueva autopista de aproximadamente 9 km de extensión que se desarrolla en el sector poniente de Santiago, entre las comunas de Pudahuel y Maipú, próximo al río Mapocho, entre la Ruta 68 y la Ruta 78._x000a__x000a_El trazado de esta vía expresa será de dos pistas por sentido, ampliable a tres y con enlaces a desnivel en las conexiones con la Ruta 68, Callejón Los Perros y la Ruta 78._x000a__x000a_La obra tiene importancia al dotar a la región Metropolitana de un segundo anillo vial fuera de Américo Vespucio. Además se transforma en una alternativa para conectar el sector oriente de la capital con el surponiente de Santiago."/>
    <x v="2"/>
    <s v="Metropolitana de Santiago"/>
    <s v="Sitio en construcción"/>
    <s v="Privado"/>
    <d v="2009-01-13T00:00:00"/>
    <n v="6100000"/>
    <s v="UF"/>
    <s v="https://concesiones.mop.gob.cl/project/concesion-conexion-vial-ruta-78-hasta-ruta-68/"/>
    <x v="3"/>
    <s v="Sólo licitación pública"/>
    <s v="Ingresos totales de la concesión."/>
    <d v="2017-09-12T00:00:00"/>
    <d v="2018-01-11T00:00:00"/>
    <d v="2018-02-01T00:00:00"/>
    <d v="2018-03-05T00:00:00"/>
    <d v="2018-04-21T00:00:00"/>
    <s v="76877147-2"/>
    <s v="SOCIEDAD CONCESIONARIA CONEXION VIAL RUTA 78 - 68 S.A."/>
    <s v="https://www.cmfchile.cl/institucional/mercados/entidad.php?auth=&amp;send=&amp;mercado=O&amp;rut=76877147&amp;grupo=&amp;tipoentidad=RGEIN&amp;vig=VI&amp;row=AAAwy2ACTAAAAQnAAE&amp;control=svs&amp;pestania=1"/>
    <d v="2018-04-21T00:00:00"/>
    <d v="2063-04-20T00:00:00"/>
    <s v="Variable"/>
    <d v="2025-11-11T00:00:00"/>
    <s v="En fase de construcción"/>
    <s v="En fase de construcción"/>
    <n v="6100000"/>
    <n v="2.8500000000000001E-2"/>
  </r>
  <r>
    <s v="094_66RF2"/>
    <s v="Ruta 66, Camino de La Fruta"/>
    <n v="2"/>
    <s v="Segunda concesión Ruta 66, Camino de La Fruta"/>
    <s v="Con el objetivo de mejorar la conexión de uno de los principales corredores de transporte de productos agrofrutícolas, se contempla el mejoramiento de la Ruta 66, también conocida como Camino de La Fruta. La obra permitirán mejorar el acceso hacia los dos puertos más importantes puertos del país: Valparaíso y San Antonio, ambos ubicados en la Región de Valparaíso._x000a__x000a_Se trata de una obra de 141 km de extensión que significará un beneficio para los habitantes de las comunas de Malloa, San Vicente de Tagua Tagua, Peumo, Las Cabras, San Pedro, Santo Domingo y San Antonio, por donde cruza el trazado, pero sobre todo contribuirá a generar un tránsito fluido para camiones que se desplazan al Puerto de San Antonio.Esta ruta comienza en el cruce con la Ruta 5 Sur, en el sector de Pelequén, región de O´Higgins, atraviesa la parte sur de la región Metropolitana y finaliza en el camino de Acceso al Puerto de San Antonio en la región de Valparaíso. El proyecto cuenta con cuatro variantes emplazadas en los sectores de San Juan, en Peumo-El Manzano, San Vicente y Pelequén-Limahue._x000a__x000a_El trazado considera intersecciones desniveladas, mejoramiento de estructuras y pavimentos existentes, terceras pistas en tramos específicos, obras de saneamiento, señalización y seguridad vial, iluminación, pasarelas, paraderos, ciclovías, plazas de peaje troncales, entre otras. Uno de los principales objetivos del proyecto es mejorar la infraestructura vial, lo que permitirá un mayor desarrollo y competitividad agrofrutícola de la zona. De esta manera, se podrá incentivar la actividad industrial y comercial entre las Regiones V, VI y Metropolitana. Además mejorará la conexión de uno de los principales corredores de transporte de productos hacia el Puerto de San Antonio, disminuyendo los índices de accidentabilidad que se producen en la ruta actualmente."/>
    <x v="0"/>
    <s v="Valparaíso; Metropolitana de Santiago; Libertador General Bernardo O'Higgins"/>
    <s v="Sitio en construcción"/>
    <s v="Público"/>
    <s v=""/>
    <n v="13425000"/>
    <s v="UF"/>
    <s v="https://concesiones.mop.gob.cl/project/segunda-concesion-ruta-66-camino-de-la-fruta/"/>
    <x v="1"/>
    <s v="Sólo licitación pública"/>
    <s v="Subsidio; Ingresos totales de la concesión."/>
    <d v="2017-10-12T00:00:00"/>
    <d v="2019-05-31T00:00:00"/>
    <d v="2019-06-26T00:00:00"/>
    <d v="2019-08-20T00:00:00"/>
    <d v="2019-11-09T00:00:00"/>
    <s v="77102137-9"/>
    <s v="SOCIEDAD CONCESIONARIA RUTA DE LA FRUTA S.A."/>
    <s v="https://www.cmfchile.cl/institucional/mercados/entidad.php?auth=&amp;send=&amp;mercado=O&amp;rut=77102137&amp;grupo=&amp;tipoentidad=RGEIN&amp;vig=VI&amp;row=AAAwy2ACTAAACuDAAC&amp;control=svs&amp;pestania=1"/>
    <d v="2019-11-09T00:00:00"/>
    <d v="2064-11-08T00:00:00"/>
    <s v="Variable"/>
    <d v="2021-08-31T00:00:00"/>
    <s v="En fase de construcción"/>
    <s v="En fase de construcción"/>
    <n v="13425000"/>
    <s v="subsector B3 100,0%;_x000a_subsector B4 100,0%; subsector B5 45,14%"/>
  </r>
  <r>
    <s v="023_ACMA1"/>
    <s v="Terminal de Pasajeros Aeropuerto Cerro Moreno de Antofagasta"/>
    <n v="1"/>
    <s v="Primera concesión Terminal de Pasajeros Aeropuerto Cerro Moreno de Antofagasta"/>
    <s v="Esta concesión finalizó en octubre de 2011 y consideró la remodelación del terminal aeroportuario, la implementación de tres puentes de embarque móviles y la ampliación del área de estacionamientos de vehículos. Además se construyó un nuevo edificio para la Dirección General de Aeronáutica Civil (DGAC)._x000a__x000a_Con el desarrollo de esta obra se buscó mejorar los estándares de las instalaciones aeroportuarias._x000a__x000a_La obra fue relicitada y en la actualidad está vigente la segunda concesión."/>
    <x v="1"/>
    <s v="Antofagasta"/>
    <s v="Sitio en construcción"/>
    <s v="Privado"/>
    <s v=""/>
    <n v="250000"/>
    <s v="UF"/>
    <s v="https://concesiones.mop.gob.cl/project/primera-concesion-aeropuerto-cerro-moreno-de-antofagasta/"/>
    <x v="0"/>
    <s v="Sólo licitación pública"/>
    <s v="Nivel de tarifa; Plazo; Pagos."/>
    <d v="1999-04-21T00:00:00"/>
    <d v="1999-07-15T00:00:00"/>
    <d v="1999-08-17T00:00:00"/>
    <d v="1999-10-29T00:00:00"/>
    <d v="2000-01-20T00:00:00"/>
    <s v="96912990-6"/>
    <s v="AEROPUERTO CERRO MORENO SOCIEDAD CONCESIONARIA S.A."/>
    <s v="https://www.cmfchile.cl/institucional/mercados/entidad.php?mercado=O&amp;rut=96912990&amp;grupo=&amp;tipoentidad=RGEIN&amp;row=AAAwy2ACTAAAByxAAR&amp;vig=NV&amp;control=svs&amp;pestania=6"/>
    <d v="2000-01-20T00:00:00"/>
    <d v="2011-12-13T00:00:00"/>
    <s v="Fijo"/>
    <s v="SD"/>
    <d v="2001-01-14T00:00:00"/>
    <d v="2002-05-01T00:00:00"/>
    <n v="268749.30999999994"/>
    <n v="1"/>
  </r>
  <r>
    <s v="097_21RG1"/>
    <s v="Concesión Vial Mejoramiento Ruta G-21"/>
    <n v="1"/>
    <s v="Primera concesión Vial Mejoramiento Ruta G-21"/>
    <s v="Este contrato de concesión estuvo vigente entre el 2 de abril de 2019 y el 7 de novimebre de 2022, fecha esta última de publicación del decreto que declaró su extinción anticipada. El proyecto planteaba  mejorar y ensanchar  la plataforma y rectificaciones de trazado y curvas, así como el mejoramiento del sistema de seguridad vial de la Ruta G-21, en el tramo comprendido entre la intersección con Av. Las Condes y la intersección con la Ruta G-251, que se dirige hacia Valle Nevado en la comunidad de Farellones._x000a_Adicionalmente, mejoraría el trazado y rehabilitaría pavimentos existente en aproximadamente 1 km de la Ruta G-245 en dirección hacia la Minera Los Bronces."/>
    <x v="2"/>
    <s v="Metropolitana de Santiago"/>
    <s v="Sitio en construcción"/>
    <s v="Privado"/>
    <d v="2005-02-02T00:00:00"/>
    <n v="2308000"/>
    <s v="UF"/>
    <s v="https://concesiones.mop.gob.cl/project/concesion-mejoramiento-ruta-g-21/"/>
    <x v="0"/>
    <s v="Sólo licitación pública"/>
    <s v="Nivel de tarifa; Ingresos totales de la concesión."/>
    <d v="2018-04-05T00:00:00"/>
    <d v="2018-10-25T00:00:00"/>
    <d v="2018-11-16T00:00:00"/>
    <d v="2019-01-22T00:00:00"/>
    <d v="2019-04-02T00:00:00"/>
    <s v="77015092-2"/>
    <s v="SOCIEDAD CONCESIONARIA RUTA G-21 S.A."/>
    <s v="https://www.cmfchile.cl/institucional/mercados/entidad.php?auth=&amp;send=&amp;mercado=O&amp;rut=77015092&amp;grupo=&amp;tipoentidad=RGEIN&amp;vig=VI&amp;row=AAAwy2ACTAAACuAAAT&amp;control=svs&amp;pestania=1"/>
    <d v="2019-04-02T00:00:00"/>
    <d v="2023-08-07T00:00:00"/>
    <s v="Variable"/>
    <s v="No aplica"/>
    <s v="No aplica"/>
    <s v="No aplica"/>
    <n v="825000"/>
    <n v="0"/>
  </r>
  <r>
    <s v="098_LVLS2"/>
    <s v="Concesión Ruta 5 Tramo Los Vilos – La Serena"/>
    <n v="2"/>
    <s v="Segunda concesión Ruta 5 Tramo Los Vilos – La Serena"/>
    <s v="La Segunda Concesión de la Ruta 5 entre Los Vilos-La Serena tiene una extensión de 244,5 km, que incorpora el desarrollo de un nuevo tramo urbano de 16 km, entre La Serena y Coquimbo. Este contrato actualmente está en etapa de construcción de manera simultánea a la primera concesión de la ruta, que se encuentra operando el tramo interurbano (entre Los Vilos y Coquimbo) y que finaliza el 15 de diciembre de 2022._x000a__x000a_La Conurbación o tramo urbano considera una autopista con calzadas expresas de tres pistas por sentido (considera 4 sectores en trinchera) y calles de servicios de dos pistas por sentido en ambos costados. La obra incluye también pasarelas peatonales para la conexión transversal, aceras, mobiliario urbano, sistema de iluminación cumpliendo la normativa vigente de contaminación lumínica, paisajismo, señalización, demarcación y seguridad vial, saneamiento y drenaje, entre otros. Este tramo no contempla el cobro de peajes._x000a__x000a_El tramo interurbano, que corresponde a la actual Ruta 5, aumentará sus estándares de servicio a través de la rehabilitación y mejoramiento de la calzada preexistente y la rectificación del trazado, lo que permitirá transitar a 100 km y 120 km en la mayor parte de la autopista. Asimismo se implementará un sistema mixto de pago de peajes, que considera de pórticos de telepeaje (free flow) y cabinas manuales, el desarrollo de cuatro nuevos puentes (Huentelauquen Oriente, Limarí Poniente, Quebrada Seca y Almendro oriente), seis nuevas pasarelas y un enlace."/>
    <x v="0"/>
    <s v="Coquimbo"/>
    <s v="Sitio en construcción"/>
    <s v="Público"/>
    <s v=""/>
    <n v="12155000"/>
    <s v="UF"/>
    <s v="https://concesiones.mop.gob.cl/project/segunda-concesion-ruta-5-tramo-los-vilos-la-serena-conurbacion/"/>
    <x v="1"/>
    <s v="Sólo licitación pública"/>
    <s v="Ingresos totales de la concesión."/>
    <d v="2018-05-12T00:00:00"/>
    <d v="2018-11-30T00:00:00"/>
    <d v="2018-12-26T00:00:00"/>
    <d v="2019-04-30T00:00:00"/>
    <d v="2019-10-28T00:00:00"/>
    <s v="77102042-9"/>
    <s v="SOCIEDAD CONCESIONARIA RUTA DEL ELQUI S.A."/>
    <s v="https://www.cmfchile.cl/institucional/mercados/entidad.php?auth=&amp;send=&amp;mercado=O&amp;rut=77102042&amp;grupo=&amp;tipoentidad=RGEIN&amp;vig=VI&amp;row=AAAwy2ACTAAACuBAAG&amp;control=svs&amp;pestania=1"/>
    <d v="2019-10-28T00:00:00"/>
    <d v="2049-10-27T00:00:00"/>
    <s v="Variable"/>
    <d v="2025-05-20T00:00:00"/>
    <s v="En fase de construcción"/>
    <s v="En fase de construcción"/>
    <n v="12155000"/>
    <s v="Tramo Interurbamo : 43,21%"/>
  </r>
  <r>
    <s v="022_ACSU1"/>
    <s v="Terminal de Pasajeros Aeropuerto Carriel Sur de Concepción"/>
    <n v="1"/>
    <s v="Primera concesión Terminal de Pasajeros Aeropuerto Carriel Sur de Concepción"/>
    <s v="Esta concesión finalizó en agosto de 2016 y consideró la construcción de un nuevo edificio Terminal de dos niveles y con cuatro mangas de embarque, con una capacidad para recibir un millón de pasajeros al año._x000a__x000a_Además incluyó una nueva plataforma para estacionamiento de aeronaves, mejoras a la vialidad interior del aeropuerto y la ampliación de los estacionamientos públicos. Con el desarrollo de esta obra se buscó mejorar los estándares de las instalaciones aeroportuarias y generar una alternativa al Aeropuerto Arturo Merino Benítez, gracias a instalaciones que permiten el aterrizaje de cualquier tipo de aeronave en condiciones climáticas adversas._x000a__x000a_La obra fue relicitada y en la actualidad está vigente la segunda concesión."/>
    <x v="1"/>
    <s v="Biobío"/>
    <s v="Sitio en construcción"/>
    <s v="Privado"/>
    <s v=""/>
    <n v="629300"/>
    <s v="UF"/>
    <s v="https://concesiones.mop.gob.cl/project/primera-concesion-aeropuerto-carriel-sur-de-concepcion/"/>
    <x v="0"/>
    <s v="Sólo licitación pública"/>
    <s v="Nivel de tarifa; Plazo; Pagos."/>
    <d v="1998-08-05T00:00:00"/>
    <d v="1998-10-15T00:00:00"/>
    <d v="1998-11-10T00:00:00"/>
    <d v="1999-01-20T00:00:00"/>
    <d v="1999-04-28T00:00:00"/>
    <s v="96888630-4"/>
    <s v="SOCIEDAD CONCESIONARIA AEROSUR S.A"/>
    <s v="https://www.cmfchile.cl/institucional/mercados/entidad.php?auth=&amp;send=&amp;mercado=O&amp;rut=96888630&amp;grupo=&amp;tipoentidad=RGEIN&amp;vig=NV&amp;row=AAAwy2ACTAAAAWcAAA&amp;control=svs&amp;pestania=1"/>
    <d v="1999-01-24T00:00:00"/>
    <d v="2016-08-23T00:00:00"/>
    <s v="Fijo"/>
    <s v="SD"/>
    <d v="2000-12-15T00:00:00"/>
    <d v="2001-07-12T00:00:00"/>
    <n v="945229.47"/>
    <n v="1"/>
  </r>
  <r>
    <s v="019_AAMB1"/>
    <s v="Aeropuerto Internacional Arturo Merino Benítez de Santiago"/>
    <n v="1"/>
    <s v="Primera concesión Aeropuerto Internacional Arturo Merino Benítez de Santiago"/>
    <s v="Esta concesión finalizó en 2015 y consideró la ampliación del  actual edificio Terminal Internacional de Pasajeros en cerca de 65.000 m². El proyecto también incluyó la construcción de una torre de control de 60 metros de altura, 75.000 m² de superficie para plataforma de aeronaves y 29.000 m² de calles de rodaje de aeronaves. Adicionalmente, se desarrolló un camino de enlace dentro de los sectores norte y sur de aeropuerto, equipamiento adicional para el Terminal y nuevos edificios para el Servicio Agrícola y Ganadero (SAG) y el Servicio Nacional de Aduanas. La obra fue relicitada y en la actualidad está vigente la segunda concesión."/>
    <x v="1"/>
    <s v="Metropolitana de Santiago"/>
    <s v="Sitio en construcción"/>
    <s v="Público"/>
    <s v=""/>
    <n v="4600000"/>
    <s v="UF"/>
    <s v="https://concesiones.mop.gob.cl/project/primera-concesion-aeropuerto-internacional-arturo-merino-benitez/"/>
    <x v="0"/>
    <s v="Licitación pública con preselección"/>
    <s v="Nivel de tarifa; Plazo; Otros (ii)"/>
    <d v="1997-06-17T00:00:00"/>
    <d v="1997-10-15T00:00:00"/>
    <d v="1997-11-18T00:00:00"/>
    <d v="1997-12-05T00:00:00"/>
    <d v="1998-02-20T00:00:00"/>
    <s v="96850960-8"/>
    <s v="SCL TERMINAL AEREO SANTIAGO S.A. SOCIEDAD CONCESIONARIA "/>
    <s v="https://www.cmfchile.cl/institucional/mercados/entidad.php?auth=&amp;send=&amp;mercado=O&amp;rut=96850960&amp;grupo=&amp;tipoentidad=RGEIN&amp;vig=NV&amp;row=AAAwy2ACTAAABy7AAj&amp;control=svs&amp;pestania=2"/>
    <d v="1998-07-07T00:00:00"/>
    <d v="2015-09-30T00:00:00"/>
    <s v="Variable"/>
    <s v="SD"/>
    <s v="SD"/>
    <s v="SD"/>
    <n v="8543190.5899999999"/>
    <n v="1"/>
  </r>
  <r>
    <s v="101_TACH2"/>
    <s v="Segunda Concesión Ruta 5 Tramo Talca Chillán"/>
    <n v="2"/>
    <s v="Segunda concesión Ruta 5 Tramo Talca Chillán"/>
    <s v="El proyecto consiste en el mejoramiento de la Ruta 5 entre las ciudades de Talca y Chillán que comienza aproximadamente entre el km 219,49 (sector norte de Río Claro) y el km 412,80 (sector sur de Chillán Viejo), con una extensión actual aproximada de 193,310 km y una longitud proyectada aproximada de 195 km para un trazado que comprende las Regiones de Maule y Ñuble._x000a__x000a_La obra incluye el desarrollo de estructuras como puentes, viaducto, pasos de ferrocarriles, enlaces, retornos, atraviesos y pasarelas. Además considera la incorporación de un baipás con una extensión aproximada de 54 km para una velocidad de diseño de 120 km/h (bidireccional con dos pistas por sentido)._x000a__x000a_Junto a ello está previsto la ampliación a terceras pistas en el sector entre las inmediaciones de San Carlos y Chillán Viejo, rehabilitación de calzadas existentes, rectificaciones de curvas y pendientes para velocidad de 120 km/hr con excepciones puntuales, habilitación de nuevos puentes, enlaces, pasarelas, atraviesos, retornos y tramos de calles de servicio y la implementación progresiva de un Sistema de Cobro mediante Pórticos de telepeaje en todo su trazado."/>
    <x v="0"/>
    <s v="Maule; Ñuble"/>
    <s v="Sitio en construcción"/>
    <s v="Público"/>
    <s v=""/>
    <n v="19180000"/>
    <s v="UF"/>
    <s v="https://concesiones.mop.gob.cl/project/segunda-concesion-ruta-5-tramo-talca-chillan/"/>
    <x v="1"/>
    <s v="Sólo licitación pública"/>
    <s v="Ingresos totales de la concesión."/>
    <d v="2019-10-19T00:00:00"/>
    <d v="2020-10-30T00:00:00"/>
    <d v="2020-11-27T00:00:00"/>
    <d v="2021-01-07T00:00:00"/>
    <d v="2021-03-13T00:00:00"/>
    <s v="77337752-9"/>
    <s v="SOCIEDAD CONCESIONARIA RUTA 5 TALCA-CHILLAN S.A."/>
    <s v="https://www.cmfchile.cl/institucional/mercados/entidad.php?auth=&amp;send=&amp;mercado=O&amp;rut=77337752&amp;grupo=&amp;tipoentidad=RGEIN&amp;vig=VI&amp;row=AAAwy2ACTAAACuCAAi&amp;control=svs&amp;pestania=1"/>
    <d v="2021-03-13T00:00:00"/>
    <d v="2053-03-13T00:00:00"/>
    <s v="Variable"/>
    <s v="sin inicio"/>
    <s v="En fase de construcción"/>
    <s v="En fase de construcción"/>
    <n v="19180000"/>
    <n v="0"/>
  </r>
  <r>
    <s v="017_ALOA1"/>
    <s v="Terminal de Pasajeros Aeropuerto El Loa de Calama"/>
    <n v="1"/>
    <s v="Primera concesión Terminal de Pasajeros Aeropuerto El Loa de Calama"/>
    <s v="Esta concesión finalizó en abril de 2011 y consideró la remodelación del terminal y la construcción de un nuevo Edificio de Pasajeros, con todas las obras civiles e instalaciones necesarias para dar a las líneas aéreas y usuarios las condiciones de servicio acordes a las de un aeropuerto regional que enfrenta una alta demanda de usuarios. Con el desarrollo de esta obra se buscó mejorar los estándares de las instalaciones aeroportuarias._x000a__x000a_La obra fue relicitada y en la actualidad está vigente la segunda concesión."/>
    <x v="1"/>
    <s v="Antofagasta"/>
    <s v="Sitio en construcción"/>
    <s v="Privado"/>
    <s v=""/>
    <n v="70800"/>
    <s v="UF"/>
    <s v="https://concesiones.mop.gob.cl/project/primera-concesion-aeropuerto-el-loa-de-calama/"/>
    <x v="0"/>
    <s v="Sólo licitación pública"/>
    <s v="Nivel de tarifa; Plazo; Pagos."/>
    <d v="1997-02-24T00:00:00"/>
    <d v="1997-07-24T00:00:00"/>
    <d v="1997-08-22T00:00:00"/>
    <d v="1997-10-14T00:00:00"/>
    <d v="1998-04-15T00:00:00"/>
    <s v="96858110-4"/>
    <s v="CONCESION AEROPUERTO EL LOA S.A."/>
    <s v="https://www.cmfchile.cl/institucional/mercados/entidad.php?mercado=V&amp;rut=96858110&amp;grupo=&amp;tipoentidad=RVEMI&amp;row=AAAwy2ACTAAAAWcAAJ&amp;vig=NV&amp;control=svs&amp;pestania=6"/>
    <d v="1998-06-12T00:00:00"/>
    <d v="2011-04-11T00:00:00"/>
    <s v="Fijo"/>
    <s v="SD"/>
    <d v="1999-10-21T00:00:00"/>
    <d v="2000-05-02T00:00:00"/>
    <n v="127418.93"/>
    <n v="1"/>
  </r>
  <r>
    <s v="103_HRMA1"/>
    <s v="Concesión Red Maule:  Hospital Cauquenes, Hospital de Constitución y Hospital de Parral"/>
    <n v="1"/>
    <s v="Primera concesión Red Maule:  Hospital Cauquenes, Hospital de Constitución y Hospital de Parral"/>
    <s v="Corresponde a la construcción y posterior operación de tres recintos médicos de mediana complejidad que estarán ubicados en las comunas de Cauquenes, Constitución y Parral y los que totalizan una superficie estimada de 157 mil m2._x000a__x000a_La concesión aportará al sistema de salud 368 camas, de las cuales 136 camas corresponden al Hospital de Cauquenes, 11 camas al Hospital de Constitución y 121 camas al Hospital de Parral. Con ello se espera beneficiar a una población estimada de 59 mil personas._x000a__x000a_Considera también la mantención de la infraestructura a desarrollar y la adquisición, mantención y reposición de equipamiento médico y mobiliario clínico, y mobiliario no clínico. El proyecto no considera servicios como alimentación, ambulancia y aseo, entre otros."/>
    <x v="6"/>
    <s v="Maule"/>
    <s v="Sitio en construcción"/>
    <s v="Público"/>
    <s v=""/>
    <n v="6634394"/>
    <s v="UF"/>
    <s v="https://concesiones.mop.gob.cl/project/concesion-red-maule/"/>
    <x v="3"/>
    <s v="Licitación pública con preselección"/>
    <s v="Subsidio."/>
    <d v="2019-12-19T00:00:00"/>
    <d v="2020-08-07T00:00:00"/>
    <d v="2020-08-27T00:00:00"/>
    <d v="2020-12-01T00:00:00"/>
    <d v="2021-03-27T00:00:00"/>
    <s v="  77363431-9"/>
    <s v=" SOCIEDAD CONCESIONARIA RED MAULE S.A. "/>
    <s v="https://www.cmfchile.cl/institucional/mercados/entidad.php?auth=&amp;send=&amp;mercado=O&amp;rut=77363431&amp;grupo=&amp;tipoentidad=RGEIN&amp;vig=VI&amp;row=AAAwy2ACTAAACuEAAO&amp;control=svs&amp;pestania=1"/>
    <d v="2021-03-27T00:00:00"/>
    <d v="2040-11-20T00:00:00"/>
    <s v="Variable"/>
    <d v="2023-02-03T00:00:00"/>
    <s v="En fase de construcción"/>
    <s v="En fase de construcción"/>
    <n v="6634394"/>
    <s v="Hospital de Cauquenes.92,18%_x000a_Hospital de Constitución 83,85%_x000a_Hospital de Parral: 90,84%"/>
  </r>
  <r>
    <s v="104_HBUP1"/>
    <s v="Concesión Hospital de Buin Paine"/>
    <n v="1"/>
    <s v="Primera concesión Hospital de Buin Paine"/>
    <s v="Corresponde a la construcción y posterior operación de un recinto médico de mediana y alta complejidad para las ciudades de Buin-Paine._x000a__x000a_El proyecto contempla la reposición del Hospital San Luis de Buin en la Región Metropolitana, a través de la construcción de un nuevo recinto de 56.000 m2 de superficie, que se situará en la comuna de Buin. La concesión considera diseño, construcción y mantenimiento de las nuevas dependencias de estos edificios, además de la provisión, reposición, montaje y mantenimiento del equipamiento médico y mobiliario._x000a__x000a_El nuevo hospital beneficiará a una población estimada de 170 mil personas, aportando 200 camas, 6 pabellones, 34 box de consultas, 17 box de procedimientos, 3 salas de parto integral, 16 unidades de Servicio de Urgencia, 18 sillones de diálisis y 7 box de atención dental. A lo anterior se suman 12 camas de paciente crítico, 117 camas médico-quirúrgicas, 36 camas ginecobstétricas, 16 camas pediátricas, 4 neonatológicas y 15 de psiquiatría adulto._x000a__x000a_El proyecto no considera servicios como alimentación, ambulancia y aseo, entre otros."/>
    <x v="6"/>
    <s v="Metropolitana de Santiago"/>
    <s v="Sitio en construcción"/>
    <s v="Público"/>
    <s v=""/>
    <n v="2944034"/>
    <s v="UF"/>
    <s v="https://concesiones.mop.gob.cl/project/hospital-de-buin-paine/"/>
    <x v="3"/>
    <s v="Licitación pública con preselección"/>
    <s v="Subsidio."/>
    <d v="2020-04-30T00:00:00"/>
    <d v="2020-10-19T00:00:00"/>
    <d v="2020-11-10T00:00:00"/>
    <d v="2020-12-29T00:00:00"/>
    <d v="2021-03-27T00:00:00"/>
    <s v="77379404-9"/>
    <s v="SOCIEDAD CONCESIONARIA HOSPITAL BUIN PAINE S.A"/>
    <s v="https://www.cmfchile.cl/institucional/mercados/entidad.php?auth=&amp;send=&amp;mercado=O&amp;rut=77379404&amp;grupo=&amp;tipoentidad=RGEIN&amp;vig=VI&amp;row=AAAwy2ACTAAAGDyAA2&amp;control=svs&amp;pestania=1"/>
    <d v="2021-03-27T00:00:00"/>
    <d v="2041-05-13T00:00:00"/>
    <s v="Variable"/>
    <d v="2023-03-01T00:00:00"/>
    <s v="En fase de construcción"/>
    <s v="En fase de construcción"/>
    <n v="2944034"/>
    <n v="0.82579999999999998"/>
  </r>
  <r>
    <s v="105_HRBB1"/>
    <s v="Concesión Red Biobío: Hospital Santa Bárbara, Hospital de Nacimiento, Hospital de Coronel y Hospital de Lota"/>
    <n v="1"/>
    <s v="Primera concesión Red Biobío: Hospital Santa Bárbara, Hospital de Nacimiento, Hospital de Coronel y Hospital de Lota"/>
    <s v="La concesión considera la mantención de la infraestructura a desarrollar y la adquisición, mantención y reposición de equipamiento médico y mobiliario clínico, y mobiliario no clínico, excluyendo los servicios de alimentación, ambulancia y aseo, entre otros._x000a__x000a_El Hospital de Santa Bárbara será un recinto de baja complejidad, que beneficiará a 22 mil habitantes, de las comunas de Santa Bárbara, Quilaco y Alto Biobío. Con una superficie de 12.000 m2, el establecimiento contará con 37 camas, 21 boxes de consultas médicas, dentales y no médicas, un pabellón de cirugía menor y una sala de atención parto. De esta manera, se entregarán servicios de hospitalización, atención ambulatoria, apoyo diagnóstico y terapéutico (imagenología, laboratorio, medicina física y rehabilitación y hemodiálisis), un Centro Comunitario de Salud Mental (COSAM), un Hogar para la Madre Pewenche y espacios de apoyo administrativos y logísticos._x000a__x000a_El Hospital de Nacimiento será un centro de baja complejidad, que beneficiará a cerca de 36 mil habitantes, de las comunas de Nacimiento y Negrete. Con una superficie estimada de 13 mil m2, el establecimiento tendrá 47 camas, 29 boxes de consultas médicas, dentales y no médicas, un pabellón cirugía menor y una sala de atención de parto inminente. El recinto también contará con unidades de endoscopía y, de apoyo diagnóstico y terapéutico (imagenología, laboratorio, medicina física y rehabilitación), además de un Hospital de Día de Psiquiatría y espacios de apoyo administrativo y logístico._x000a__x000a_El Hospital de Coronel será un recinto de mediana-alta complejidad, que beneficiará a cerca de 308 mil habitantes de Coronel, San Pedro de la Paz, Santa Juana y otras comunas aledañas. Con una superficie estimada de 79 mil m2 el establecimiento contará con 353 camas, distribuidas en 60 camas de cuidados básicos, 257 camas de cuidados medios y 36 camas de paciente crítico; 53 boxes de consultas médicas, dentales y no médicas, 21 salas de procedimientos, 9 quirófanos y 3 salas de atención integral del parto. Asimismo se brindará servicios de consultas médicas; atención de salud mental; hemodiálisis y unidad de emergencia, además de unidades de apoyo diagnóstico y terapéutico de imagenología, laboratorio, medicina física, rehabilitación, anatomía patológica y farmacia._x000a__x000a_El Hospital de Lota será de mediana complejidad y atenderá, una población de cerca de 48 mil personas pertenecientes a dicha comuna. Con una superficie estimada de 40 mil m2, el establecimiento dispondrá de 132 camas, distribuidas en 41 cama de cuidados básicos y 91 camas de cuidados medios, 19 boxes de consultas médicas, dentales y no médicas, 20 salas de procedimientos, 5 quirófanos y 2 salas de atención integral del parto. Además se contempla contar con consultas médicas y odontología, atención de salud mental, hemodiálisis y unidades de emergencia y de apoyo diagnóstico y terapéutico de imagenología, laboratorio, medicina física y rehabilitación, anatomía patológica y farmacia."/>
    <x v="6"/>
    <s v="Biobío"/>
    <s v="Sitio en construcción"/>
    <s v="Público"/>
    <s v=""/>
    <n v="7754848"/>
    <s v="UF"/>
    <s v="https://concesiones.mop.gob.cl/project/concesion-red-biobio/"/>
    <x v="3"/>
    <s v="Licitación pública con preselección"/>
    <s v="Subsidio."/>
    <d v="2020-08-21T00:00:00"/>
    <d v="2021-05-14T00:00:00"/>
    <d v="2021-06-03T00:00:00"/>
    <d v="2021-09-15T00:00:00"/>
    <d v="2021-12-07T00:00:00"/>
    <s v="  77521154-7"/>
    <s v="  SOCIEDAD CONCESIONARIA HOSPITALES RED BIOBÍO S.A. "/>
    <s v="https://www.cmfchile.cl/institucional/mercados/entidad.php?auth=&amp;send=&amp;mercado=O&amp;rut=77521154&amp;grupo=&amp;tipoentidad=RGEIN&amp;vig=VI&amp;row=AAAwy2ACTAAACuCAAo&amp;control=svs&amp;pestania=1"/>
    <d v="2021-12-07T00:00:00"/>
    <d v="2061-12-07T00:00:00"/>
    <s v="Variable"/>
    <d v="2023-03-25T00:00:00"/>
    <s v="En fase de construcción"/>
    <s v="En fase de construcción"/>
    <n v="7754848"/>
    <s v="Santa Barbará: 14,3%; Nacimiento: 14,1%; Coronel:4,6%; Lota: 3,1%"/>
  </r>
  <r>
    <s v="106_HRRL1"/>
    <s v="Concesión de hospitales Red Los Ríos-Los Lagos"/>
    <n v="1"/>
    <s v="Primera concesión de hospitales Red Los Ríos-Los Lagos"/>
    <s v="Corresponde a la construcción de tres hospitales en la Región de Los Ríos ubicados en las comunas de Los Lagos, La Unión y Río Bueno, siendo el primero de baja complejidad y los otros dos de mediana, y además se incluye la construcción de un hospital de mediana-alta complejidad en la ciudad de Puerto Varas, Región de los Lagos._x000a__x000a_El proyecto considera el diseño, construcción y mantenimiento de las nuevas dependencias de estos edificios además de la provisión, reposición, montaje y mantenimiento del equipamiento médico y mobiliario. Los cuatro hospitales en su conjunto aportan 495 camas con una población beneficiaria a 290 mil personas._x000a__x000a_El proyecto no considera servicios como alimentación, ambulancia y aseo, entre otros."/>
    <x v="6"/>
    <s v="Los Ríos; Los Lagos"/>
    <s v="Sitio en construcción"/>
    <s v="Público"/>
    <s v=""/>
    <n v="7092812"/>
    <s v="UF"/>
    <s v="https://concesiones.mop.gob.cl/project/concesion-red-los-rios-los-lagos/"/>
    <x v="3"/>
    <s v="Licitación pública con preselección"/>
    <s v="Subsidio."/>
    <d v="2020-12-12T00:00:00"/>
    <d v="2021-09-13T00:00:00"/>
    <d v="2021-10-04T00:00:00"/>
    <d v="2022-01-13T00:00:00"/>
    <d v="2022-03-11T00:00:00"/>
    <s v="77579938-2"/>
    <s v="SOCIEDAD CONCESIONARIA REGIÓN SUR S.A."/>
    <s v="https://www.cmfchile.cl/institucional/mercados/entidad.php?auth=&amp;send=&amp;mercado=O&amp;rut=77579938&amp;grupo=&amp;tipoentidad=RGEIN&amp;vig=VI&amp;row=AAAwy2ACTAAAGD3AAG&amp;control=svs&amp;pestania=1"/>
    <d v="2022-03-11T00:00:00"/>
    <d v="2044-05-12T00:00:00"/>
    <s v="Variable"/>
    <d v="2023-12-04T00:00:00"/>
    <s v="En fase de construcción"/>
    <s v="En fase de construcción"/>
    <n v="7092812"/>
    <s v="Hospital Los Lagos 35,79%;_x000a_Hospital La Unión 0%;_x000a_Hospital Río Bueno: 31,36%; _x000a_Hospital de Puerto Varas: 25,56%"/>
  </r>
  <r>
    <s v="107_SASA2"/>
    <s v="Segunda Concesión Autopista Santiago – San Antonio, Ruta 78"/>
    <n v="2"/>
    <s v="Segunda concesión Autopista Santiago – San Antonio, Ruta 78"/>
    <s v="La obra corresponde al mejoramiento de la ruta actual que conecta Santiago con San Antonio, que recorre las comunas de comunas de Santiago, Pedro Aguirre Cerda, Estación Central, Cerrillos y Maipú en la provincia de Santiago; de El Monte, Padre Hurtado, Peñaflor y Talagante, en la provincia de Talagante; de Melipilla, en la provincia de Melipilla; y de San Antonio, Santo Domingo y Cartagena, en la provincia de San Antonio._x000a__x000a_La ruta, que tiene una extensión de 132,8 km, constituye un eje fundamental para el transporte de carga entre Santiago y el Puerto de San Antonio, como también para la conexión de áreas urbanas desarrolladas en las cercanías de su trazado._x000a__x000a_Entre las nuevas obras destaca el mejoramiento del tramo comprendido entre Ruta 5, Autopista Central, y Bascuñán Guerrero, y las terceras pistas en los tramos de Talagante a Melipilla, y del Enlace Reuss a la trinchera cubierta (subterránea) en el Puerto de San Antonio. También se incluye —dentro del aumento de capacidad en San Antonio—, la construcción de una segunda trinchera cubierta, así como la ampliación de las rotondas Curicó y Pablo Neruda y la construcción de nuevos ramales a los puertos, mejorando así también el servicio y la seguridad ofrecida a los usuarios, y reduciendo los tiempos estimados de viaje._x000a__x000a_El proyecto considera también el reemplazo del Puente Manuel Rodriguez, nuevos enlaces; atraviesos; retornos; nuevas calles de servicio y el mejoramiento de las existentes, entre otras obras._x000a__x000a_Se prevé que esta obra beneficiará a una población cercana a 1.760.000 de personas al año."/>
    <x v="0"/>
    <s v="Valparaíso; Metropolitana de Santiago"/>
    <s v="Sitio en construcción"/>
    <s v="Público"/>
    <s v=""/>
    <n v="21287000"/>
    <s v="UF"/>
    <s v="https://concesiones.mop.gob.cl/project/segunda-concesion-autopista-santiago-san-antonio-ruta-78/"/>
    <x v="1"/>
    <s v="Sólo licitación pública"/>
    <s v="Ingresos totales de la concesión."/>
    <d v="2021-03-06T00:00:00"/>
    <d v="2021-10-29T00:00:00"/>
    <d v="2021-11-26T00:00:00"/>
    <d v="2022-02-13T00:00:00"/>
    <d v="2022-03-11T00:00:00"/>
    <s v="77546207-8"/>
    <s v="SOCIEDAD CONCESIONARIA AUTOPISTA SAN ANTONIO-SANTIAGO S.A."/>
    <s v="https://www.cmfchile.cl/institucional/mercados/entidad.php?auth=&amp;send=&amp;mercado=O&amp;rut=77546207&amp;grupo=&amp;tipoentidad=RGEIN&amp;vig=VI&amp;row=AAAwy2ACTAAACuFAAl&amp;control=svs&amp;pestania=1"/>
    <d v="2022-03-11T00:00:00"/>
    <d v="2054-03-11T00:00:00"/>
    <s v="Variable"/>
    <d v="2025-10-01T00:00:00"/>
    <s v="En fase de construcción"/>
    <s v="En fase de construcción"/>
    <n v="21287000"/>
    <n v="0"/>
  </r>
  <r>
    <s v="108_HRQS1"/>
    <s v="Concesión  de Hospital de La Serena"/>
    <n v="1"/>
    <s v="Primera concesión  de Hospital de La Serena"/>
    <s v="Corresponde a la construcción y operación de un recinto médico de alta complejidad en la ciudad de La Serena con capacidad para 668 camas, distribuidas en 146 para pacientes críticos, 332 camas médico quirúrgicas, 90 ginecobstétricas, 48 pediátricas, 18 neonatológicas y 34 para psiquiatría de adulto._x000a__x000a_A ello se sumarán 15 pabellones, 85 boxes de consultas médicas, dentales y no médicas, 6 salas de atención integral del parto y un servicio de urgencia._x000a__x000a_La obra beneficiará a cerca de 723 mil personas que residen en las comunas de La Serena, La Higuera, Vicuña y Paihuano._x000a__x000a_Considera también la mantención de la infraestructura a desarrollar y la adquisición, mantención y reposición de equipamiento médico y mobiliario clínico, y mobiliario no clínico._x000a__x000a_El proyecto no considera servicios como alimentación, ambulancia y aseo, entre otros."/>
    <x v="6"/>
    <s v="Coquimbo"/>
    <s v="Sitio en construcción"/>
    <s v="Público"/>
    <s v=""/>
    <n v="6146350"/>
    <s v="UF"/>
    <s v="https://concesiones.mop.gob.cl/project/concesion-hospital-de-la-serena/"/>
    <x v="3"/>
    <s v="Licitación pública con preselección"/>
    <s v="Subsidio."/>
    <d v="2021-03-27T00:00:00"/>
    <d v="2021-10-15T00:00:00"/>
    <d v="2021-11-05T00:00:00"/>
    <d v="2022-01-05T00:00:00"/>
    <d v="2022-02-17T00:00:00"/>
    <s v="77558338-K"/>
    <s v="SOCIEDAD CONCESIONARIA HOSPITALES LA SERENA S.A."/>
    <s v="https://www.cmfchile.cl/institucional/mercados/entidad.php?mercado=O&amp;rut=77558338&amp;grupo=&amp;tipoentidad=RGEIN&amp;row=AAAwy2ACTAAACuCAA0&amp;vig=VI&amp;control=svs&amp;pestania=2"/>
    <d v="2022-02-17T00:00:00"/>
    <d v="2042-06-18T00:00:00"/>
    <s v="Variable"/>
    <d v="2025-02-21T00:00:00"/>
    <s v="En fase de construcción"/>
    <s v="En fase de construcción"/>
    <n v="6146350"/>
    <n v="0.14749999999999999"/>
  </r>
  <r>
    <s v="109_AVAM3"/>
    <s v="Concesión Acceso Vial Aeropuerto Arturo Merino Benítez"/>
    <n v="3"/>
    <s v="Tercera Concesión Acceso Vial Aeropuerto Arturo Merino Benítez"/>
    <s v="El incremento en los flujos de pasajeros y carga aérea han generado una demanda derivada por el acceso al terminal, la que esta tercera licitación busca satisfacer incrementando sus puntos de acceso._x000a__x000a_El proyecto considera la conservación, operación y explotación de todas las obras preexistentes, desde la extinción de la actual concesión de Acceso Vial Aeropuerto Arturo Merino. Ello representa una longitud de 5,6 km._x000a__x000a_A ello incorpora la construcción, conservación, operación y explotación de las nuevas obras correspondientes, dos tramos de nuevas rutas y mejora un camino actualmente existente. Con ello agrega 4,4 km en los sectores denominados B2, B3 y B4, y la extensión total de la concesión alcanzaría a 10 Km._x000a__x000a_Los ingresos de la concesión provienen del cobro de tarifa a los usuarios. El proyecto no considera ingresos mínimos garantizados ni subsidios a la construcción o a la explotación._x000a_"/>
    <x v="2"/>
    <s v="Metropolitana"/>
    <s v="Sitio en construcción"/>
    <s v="Público"/>
    <s v=""/>
    <n v="843000"/>
    <s v="UF"/>
    <s v="https://concesiones.mop.gob.cl/project/tercera-concesion-acceso-vial-amb/"/>
    <x v="3"/>
    <s v="Sólo licitación pública"/>
    <s v="Ingresos totales de la concesión."/>
    <d v="2021-05-19T00:00:00"/>
    <d v="2022-12-09T00:00:00"/>
    <d v="2023-01-06T00:00:00"/>
    <d v="2023-06-08T00:00:00"/>
    <d v="2023-09-16T00:00:00"/>
    <s v="76706496-9"/>
    <s v="SOCIEDAD CONCESIONARIA ACCESO VIAL AEROPUERTO ARTURO MERINO BENITEZ S.A."/>
    <s v="https://www.cmfchile.cl/institucional/mercados/entidad.php?auth=&amp;send=&amp;mercado=O&amp;rut=76706496&amp;grupo=&amp;tipoentidad=RGEIN&amp;vig=VI&amp;row=AAAwy2ACTAAAGD1AAW&amp;control=svs&amp;pestania=1"/>
    <d v="2023-09-16T00:00:00"/>
    <d v="2036-05-15T00:00:00"/>
    <s v="Variable"/>
    <d v="2024-09-13T00:00:00"/>
    <s v="En fase de construcción"/>
    <s v="En fase de construcción"/>
    <n v="843000"/>
    <n v="0.55930000000000002"/>
  </r>
  <r>
    <s v="110_HRQQ1"/>
    <s v="Hospital Coquimbo"/>
    <n v="1"/>
    <s v="Primera concesión Hospital Coquimbo"/>
    <s v="Corresponde a la construcción de un recinto médico en la ciudad de Coquimbo con capacidad para 605 camas.Este recinto hospitalario será un referente regional en las especialidades de traumatología, neurocirugía, cuidados críticos pediátricos y procuramiento de órganos._x000a_Considera también la mantención de la infraestructura a desarrollar y la adquisición, mantención y reposición de equipamiento médico y mobiliario clínico, y mobiliario no clínico._x000a_El proyecto no considera servicios como alimentación, ambulancia y aseo, entre otros."/>
    <x v="6"/>
    <s v="Coquimbo"/>
    <s v="Sitio en construcción"/>
    <s v="Público"/>
    <s v=""/>
    <n v="6528211"/>
    <s v="UF"/>
    <s v="https://concesiones.mop.gob.cl/project/concesion-hospital-de-coquimbo/"/>
    <x v="3"/>
    <s v="Licitación pública con preselección"/>
    <s v="Subsidio."/>
    <d v="2021-05-22T00:00:00"/>
    <d v="2022-01-10T00:00:00"/>
    <d v="2022-01-31T00:00:00"/>
    <d v="2022-05-02T00:00:00"/>
    <d v="2022-09-09T00:00:00"/>
    <s v="77645861 - 9"/>
    <s v="SOCIEDAD CONCESIONARIA HOSPITAL COQUIMBO S.A."/>
    <s v="https://www.cmfchile.cl/institucional/mercados/entidad.php?auth=&amp;send=&amp;mercado=O&amp;rut=77645861&amp;grupo=&amp;tipoentidad=RGEIN&amp;vig=VI&amp;row=AAAwy2ACTAAACuGAAx&amp;control=svs&amp;pestania=1"/>
    <d v="2022-09-09T00:00:00"/>
    <d v="2043-07-05T00:00:00"/>
    <s v="Variable"/>
    <d v="2023-11-16T00:00:00"/>
    <s v="En fase de construcción"/>
    <s v="En fase de construcción"/>
    <n v="6528211"/>
    <n v="0.2389"/>
  </r>
  <r>
    <s v="016_ALFS1"/>
    <s v="Terminal de Pasajeros Aeropuerto La Florida de La Serena"/>
    <n v="1"/>
    <s v="Primera concesión Terminal de Pasajeros Aeropuerto La Florida de La Serena"/>
    <s v="Esta concesión finalizó en enero de 2013 y consideró la construcción de un nuevo edificio terminal de pasajeros de 3.000 m2, con susrespectivas áreas de servicios. El proyecto incluyó la edificación de una calle aeronáutica, que conectó el nuevo edificio con la plataforma de estacionamiento de aviones, como también mejoras a la vialidad de acceso y la implementación de una red de colectores adecuada para las necesidades del nuevo aeropuerto. La obra fue relicitada y en la actualidad está vigente la segunda concesión."/>
    <x v="1"/>
    <s v="Coquimbo"/>
    <s v="Sitio en construcción"/>
    <s v="Público"/>
    <s v=""/>
    <n v="74294"/>
    <s v="UF"/>
    <s v="https://concesiones.mop.gob.cl/project/primera-concesion-aeropuerto-la-florida-de-la-serena/"/>
    <x v="0"/>
    <s v="Sólo licitación pública"/>
    <s v="Nivel de tarifa; Plazo."/>
    <d v="1996-12-17T00:00:00"/>
    <d v="1997-05-28T00:00:00"/>
    <d v="1997-06-27T00:00:00"/>
    <d v="1997-08-19T00:00:00"/>
    <d v="1997-11-12T00:00:00"/>
    <s v="96843940-5"/>
    <s v="CONCESION AEROPUERTO LA FLORIDA S.A."/>
    <s v="https://www.cmfchile.cl/institucional/mercados/entidad.php?auth=&amp;send=&amp;mercado=V&amp;rut=96843940&amp;grupo=&amp;tipoentidad=RVEMI&amp;vig=NV&amp;row=AAAwy2ACTAAAAWbAAC&amp;control=svs&amp;pestania=1"/>
    <d v="1998-01-18T00:00:00"/>
    <d v="2013-01-08T00:00:00"/>
    <s v="Fijo"/>
    <s v="SD"/>
    <d v="1998-12-15T00:00:00"/>
    <d v="1999-08-20T00:00:00"/>
    <n v="123739.53"/>
    <n v="1"/>
  </r>
  <r>
    <s v="113_INAC1"/>
    <s v="Concesión Instituto Nacional del Cáncer"/>
    <n v="1"/>
    <s v="Primera concesión Instituto Nacional del Cáncer"/>
    <s v="El proyecto considera la construcción y la provisión de servicios conocidos como hard facilities management: mantención de la infraestructura, así como adquisición, mantención y reposición de equipamiento médico y mobiliario clínico y no clínico. El proyecto se localiza en la comuna de Independencia, en el ex hospital San José. Atenderá la demanda directa de la Región Metropolitana y será centro de referencia a nivel nacional. _x000a_"/>
    <x v="6"/>
    <s v="Metropolitana de Santiago"/>
    <s v="Sitio en construcción"/>
    <s v="Público"/>
    <s v=""/>
    <n v="4704824"/>
    <s v="UF"/>
    <s v="https://concesiones.mop.gob.cl/project/concesion-instituto-nacional-del-cancer/"/>
    <x v="3"/>
    <s v="Licitación pública con preselección"/>
    <s v="Subsidio."/>
    <d v="2021-10-21T00:00:00"/>
    <d v="2022-07-07T00:00:00"/>
    <d v="2022-07-27T00:00:00"/>
    <d v="2022-10-27T00:00:00"/>
    <d v="2023-02-22T00:00:00"/>
    <s v="77751547-0"/>
    <s v="SOCIEDAD CONCESIONARIA INSTITUTO NACIONAL DEL CANCER, S.A."/>
    <s v="https://www.cmfchile.cl/institucional/mercados/entidad.php?auth=&amp;send=&amp;mercado=O&amp;rut=77751547&amp;grupo=&amp;tipoentidad=RGEIN&amp;vig=VI&amp;row=AAAwy2ACTAAAGDxAAY&amp;control=svs&amp;pestania=1"/>
    <d v="2023-02-22T00:00:00"/>
    <d v="2045-09-18T00:00:00"/>
    <s v="Variable"/>
    <s v="sin inicio"/>
    <s v="En fase de construcción"/>
    <s v="En fase de construcción"/>
    <n v="4704824"/>
    <n v="0"/>
  </r>
  <r>
    <s v="114_HROG1"/>
    <s v="Red O'Higgins: Rengo, Pichilemu"/>
    <n v="1"/>
    <s v="Primera concesión de Red O´Higgins: Hospital de Rengo y Hospital de Pichilemu"/>
    <s v="El proyecto contempla el Hospital de Rengo, de mediana y alta complejidad; y, el Hospital de Pichilemu, de baja complejidad._x000a_El hospital de Rengo dará servicios a los 206 mil habitantes de Rengo, Malloa, Quinta de Tilcoco, San Vicente de Tagua, Peumo, Pichidegua, y Las Cabras. Contará con 235 camas, 47 boxes de consultas, 9 unidades de emergencia, 7 pabellones y 2 salas de atención de parto, además de 10 sillones para quimioterapia y 18 para diálisis._x000a_El hospital de Pichilemu dará servicios a los 70 mil habitantes de Navidad, Litueche, La Estrella, Marchigüe, Pichidegua y Paredones. Tendrá 27 camas, 33 boxes de consulta y 5 boxes para unidades de emergencia. _x000a_Junto con la construcción, el proyecto considera la provisión de servicios conocidos como hard facilities management: mantención de infraestructura, adquisición, mantención y reposición de equipamiento médico y mobiliario clínico y no clínico._x000a_"/>
    <x v="6"/>
    <s v="Libertador General Bernardo O'Higgins"/>
    <s v="Sitio en construcción"/>
    <s v="Público"/>
    <m/>
    <n v="4538569"/>
    <s v="UF"/>
    <s v="https://concesiones.mop.gob.cl/project/concesion-red-ohiggins/"/>
    <x v="3"/>
    <s v="Licitación pública con preselección"/>
    <s v="Subsidio."/>
    <d v="2021-10-28T00:00:00"/>
    <d v="2023-08-25T00:00:00"/>
    <d v="2023-09-15T00:00:00"/>
    <d v="2023-11-07T00:00:00"/>
    <d v="2024-03-22T00:00:00"/>
    <s v="77875388-K"/>
    <s v="Sociedad Concesionaria Red O´Higgins S.A."/>
    <s v="https://www.cmfchile.cl/institucional/mercados/entidad.php?auth=&amp;send=&amp;mercado=O&amp;rut=77875388&amp;grupo=&amp;tipoentidad=RGEIN&amp;vig=VI&amp;row=AAAwy2ACTAAAGD0AAw&amp;control=svs&amp;pestania=1"/>
    <d v="2024-03-22T00:00:00"/>
    <d v="2043-10-07T00:00:00"/>
    <s v="Variable"/>
    <s v="sin inicio"/>
    <s v="En fase de construcción"/>
    <s v="En fase de construcción"/>
    <n v="4538569"/>
    <n v="0"/>
  </r>
  <r>
    <s v="115_CHCO2"/>
    <s v="Segunda concesión Ruta 5 tramo Chillán -Collipulli"/>
    <n v="2"/>
    <s v="Segunda concesión Ruta 5 tramo Chillán -Collipulli"/>
    <s v="Este contrato regula la nueva concesión entre los kilómetros 412,8 y 578,8 de la Ruta 5, mejorando los servicios que entregará la ruta.  En particular, la ruta alcanzará en el 97% de su trazado un diseño de para velocidad de 120 kilómetros por hora, porcentaje que hoy corresponde al 60% de la ruta. El sector de Cuesta Esperanza es el único que tendrá una velocidad restringida de 80 km/h. contrato incorpora una variante a la ciudad de Collipulli, y con ello 6,6 kilómetros nuevos, donde las principales obras son: _x000a_• Nuevo viaducto del Malleco: estructura formada por dos puentes, cada uno de 600 metros de longitud._x000a_• Dos pasos superiores- rutas R 35 y R 49-, un paso inferior de ramal de acceso a Collipulli sur, y tres pasos prediales_x000a_• Enlace Collipulli Norte_x000a_Este contrato obliga a la construcción de 27 pasarelas nuevas con sus respectivos paraderos (dos) y circuitos peatonales, y al reemplazo de otras 17. En materia de puentes proyecta reemplazar 14 y rehabilitar 48. _x000a_"/>
    <x v="0"/>
    <s v="Biobío; Ñuble, Araucanía "/>
    <s v="Sitio en construcción"/>
    <s v="Público"/>
    <s v=""/>
    <n v="14215000"/>
    <s v="UF"/>
    <s v="https://concesiones.mop.gob.cl/project/segunda-concesion-ruta-5-tramo-chillan-collipulli/"/>
    <x v="1"/>
    <s v="Sólo licitación pública"/>
    <s v="Ingresos totales de la concesión."/>
    <d v="2021-10-29T00:00:00"/>
    <d v="2022-09-23T00:00:00"/>
    <d v="2022-10-21T00:00:00"/>
    <d v="2022-12-14T00:00:00"/>
    <d v="2023-02-11T00:00:00"/>
    <s v="77722758-0"/>
    <s v="SOCIEDAD CONCESIONARIA RUTA 5 CHILLAN - COLLIPULLI S.A."/>
    <s v="https://www.cmfchile.cl/institucional/mercados/entidad.php?auth=&amp;send=&amp;mercado=O&amp;rut=77722758&amp;grupo=&amp;tipoentidad=RGEIN&amp;vig=VI&amp;row=AAAwy2ACTAAAGDzAAT&amp;control=svs&amp;pestania=1"/>
    <d v="2023-02-11T00:00:00"/>
    <d v="2053-02-11T00:00:00"/>
    <s v="Variable"/>
    <s v="sin inicio"/>
    <s v="En fase de construcción"/>
    <s v="En fase de construcción"/>
    <n v="14215000"/>
    <n v="0"/>
  </r>
  <r>
    <s v="117_HINN1"/>
    <s v="Instituto Nacional de Neurocirugía"/>
    <n v="1"/>
    <s v="Primera concesión Instituto Nacional de Neurocirugía"/>
    <s v="El Instituto Nacional de Neurocirugía estará localizado en la comuna de Providencia. La sociedad concesionaria deberá desarrollar el diseño y la ejecución de las obras civiles, implementar el equipamiento clínico, administrativo e industrial., junto con proveer, mantener y reponer el mobiliario clínico y no clínico._x000a_ El recinto tiene una superficie estimada de 65 mil metros cuadrados- y permitirá entregar atenciones de neurocirugía de mediana y alta complejidad para pacientes adultos y niños; dando respuesta a la demanda de la región Metropolitana y de referencia nacional._x000a_"/>
    <x v="6"/>
    <s v="Metropolitana de Santiago"/>
    <s v="Sitio en construcción"/>
    <s v="Público"/>
    <s v=""/>
    <n v="3509321"/>
    <s v="UF"/>
    <s v="https://concesiones.mop.gob.cl/project/concesion-instituto-nacional-de-neurocirugia/"/>
    <x v="3"/>
    <s v="Licitación pública con preselección"/>
    <s v="Subsidio."/>
    <d v="2021-12-29T00:00:00"/>
    <d v="2022-09-27T00:00:00"/>
    <d v="2022-10-18T00:00:00"/>
    <d v="2023-01-23T00:00:00"/>
    <d v="2023-05-24T00:00:00"/>
    <s v="77777167-1"/>
    <s v="SOCIEDAD CONCESIONARIA INSTITUTO NACIONAL DE NEUROCIRUGIA S.A."/>
    <s v="https://www.cmfchile.cl/institucional/mercados/entidad.php?auth=&amp;send=&amp;mercado=O&amp;rut=77777167&amp;grupo=&amp;tipoentidad=RGEIN&amp;vig=VI&amp;row=AAAwy2ACTAAAGDzAAe&amp;control=svs&amp;pestania=1"/>
    <d v="2023-05-24T00:00:00"/>
    <d v="2046-01-03T00:00:00"/>
    <s v="Variable"/>
    <s v="sin inicio"/>
    <s v="En fase de construcción"/>
    <s v="En fase de construcción"/>
    <n v="3509321"/>
    <n v="0"/>
  </r>
  <r>
    <s v="118_ISVV2"/>
    <s v="Interconexión Vial Santiago - Valparaíso - Viña del Mar"/>
    <n v="2"/>
    <s v="Segunda Concesión Interconexión Vial Santiago-Valparaíso-Viña del Mar, Ruta 68"/>
    <s v="Esta interconexión vial comprende un total de 141,3 km compuestos por 109,6 km de la Ruta 68; 21,0 km de la Ruta 62 (Troncal Sur) y 10,7 km de la Ruta 60-CH (Vía Las Palmas). Esta vía constituye la principal ruta que conecta las regiones Metropolitana y de Valparaíso. En términos generales, la segunda licitación de la Ruta 68 permitirá ampliar la capacidad de la ruta en los sectores socialmente rentables, mejorar estándares y calidad de servicio. El proyecto contempla:_x000a_•_x0009_Terceras pistas entre salida de Casablanca-Túnel Zapata, Peñuelas-Enlace a Viña del Mar, Enlace a Viña del Mar-Rodelillo y tramo urbano de la Ruta 68 llegando a Valparaíso. _x000a_•_x0009_Atraviesos para conexión de calles locales, tramos de calles locales asfaltadas. _x000a_•_x0009_Nuevos enlaces, acceso a urbanizaciones. _x000a_•_x0009_Ampliación en nudo Vespucio. _x000a_•_x0009_Nuevos Túneles en Lo Prado y Zapata._x000a_•_x0009_Mejoramiento bajada Agua Santa"/>
    <x v="0"/>
    <s v="Valparaíso; Metropolitana de Santiago"/>
    <s v="Sitio en construcción"/>
    <s v="Público"/>
    <m/>
    <n v="35970000"/>
    <s v="UF"/>
    <s v="https://concesiones.mop.gob.cl/project/segunda-concesion-interconexion-vial-santiago-valparaiso-vina-del-mar-ruta-68/"/>
    <x v="1"/>
    <s v="Sólo licitación pública"/>
    <s v="Ingresos totales de la concesión."/>
    <d v="2021-12-31T00:00:00"/>
    <d v="2024-10-15T00:00:00"/>
    <d v="2024-11-12T00:00:00"/>
    <d v="2025-01-17T00:00:00"/>
    <d v="2025-05-09T00:00:00"/>
    <s v="78089131-9"/>
    <s v="Sociedad concesionaria Ruta  68 a La Costa S.A."/>
    <s v="https://www.cmfchile.cl/institucional/mercados/entidad.php?auth=&amp;send=&amp;mercado=O&amp;rut=78056118&amp;grupo=&amp;tipoentidad=RGEIN&amp;vig=VI&amp;row=AAAwy2ACTAAACisAAY&amp;control=svs&amp;pestania=1"/>
    <d v="2025-05-09T00:00:00"/>
    <d v="2055-05-09T00:00:00"/>
    <s v="Variable"/>
    <s v="sin inicio"/>
    <s v="En fase de construcción"/>
    <s v="En fase de construcción"/>
    <n v="35970000"/>
    <n v="0"/>
  </r>
  <r>
    <s v="119_ORSS1"/>
    <s v="Concesión Orbital Sur"/>
    <n v="1"/>
    <s v="Primera concesión de Orbital Sur"/>
    <s v="Autopista ubicada en el sector sur de Santiago, que ofrece una nueva conectividad para la comunicación de los flujos que vienen desde Peñaflor y el Puerto de San Antonio, hacia la Ruta 5 y el sur del Gran Santiago; mejorando la conectividad entra la Ruta 78 (Autopista del Sol) y la Ruta 5 y Acceso Sur a Santiago. Junto con ello, abre una nueva combinación de salida (entrada) a Santiago con destino la costa, vía Ruta 78, así como una mejor conexión de la zona norponiente de Santiago con la Ruta 5 Sur desde la Ruta 78._x000a__x000a_Permitirá una velocidad de 120 km/h y contará con dos pistas por calzada de cada sentido."/>
    <x v="2"/>
    <s v="Metropolitana"/>
    <s v="Sitio en construcción"/>
    <s v="Privado"/>
    <d v="2016-06-10T00:00:00"/>
    <n v="11967720"/>
    <s v="UF"/>
    <s v="https://concesiones.mop.gob.cl/project/concesion-orbital-sur-santiago/"/>
    <x v="3"/>
    <s v="Sólo licitación pública"/>
    <s v="Ingresos totales de la concesión."/>
    <d v="2023-03-04T00:00:00"/>
    <d v="2023-10-31T00:00:00"/>
    <d v="2023-11-30T00:00:00"/>
    <d v="2024-04-06T00:00:00"/>
    <d v="2024-06-04T00:00:00"/>
    <s v="77930767-0"/>
    <s v="Ruta Orbital Sur Sociedad Concesionaria S.A."/>
    <s v="https://www.cmfchile.cl/institucional/mercados/entidad.php?mercado=O&amp;rut=77930767&amp;grupo=&amp;tipoentidad=RGEIN&amp;row=AAAwy2ACTAAAGD2AA5&amp;vig=VI&amp;control=svs&amp;pestania=1"/>
    <d v="2024-06-04T00:00:00"/>
    <d v="2070-06-04T00:00:00"/>
    <s v="Variable"/>
    <s v="sin inicio"/>
    <s v="En fase de construcción"/>
    <s v="En fase de construcción"/>
    <n v="11967720"/>
    <n v="0"/>
  </r>
  <r>
    <s v="120_SALV2"/>
    <s v="Concesión Ruta 5 Tramo Santiago-Los Vilos"/>
    <n v="2"/>
    <s v="Segunda Concesión Ruta 5 Santiago-Los Vilos"/>
    <s v="El proyecto considera ajustes de trazados para llevar la ruta a una velocidad de proyecto de 120 km/hr con restricciones en algunos tramos de 100 km/hr y con restricción de 80 km/hr en cuesta Las Chilcas._x000a_El proyecto amplía de 3 a 4 pistas, por sentido, entre el enlace Batuco y Liray.y mantendrá la continuidad de las calles de servicio. Desde Lyray hasta el enlace de acceso sur de Túnel El Melón ampliará las calzadas de 2 a 3 por sentido, exceptuando la cuesta las Chilcas que mantiene el número de pistas existentes_x000a_El proyecto considera la mantención y generación de áreas de ventas, donde una corresponde floristas de Ocoa,y agrega la construcción y mantención de otras 6 áreas de ventas."/>
    <x v="0"/>
    <s v="Coquimbo; Valparaíso; Metropolitana de Santiago"/>
    <s v="Sitio en construcción"/>
    <s v="Público"/>
    <m/>
    <n v="28288000"/>
    <s v="UF"/>
    <s v="https://concesiones.mop.gob.cl/project/segunda-concesion-ruta-5-tramo-los-vilos-la-serena-conurbacion/"/>
    <x v="1"/>
    <s v="Sólo licitación pública"/>
    <s v="Ingresos totales de la concesión."/>
    <d v="2023-07-14T00:00:00"/>
    <d v="2024-07-18T00:00:00"/>
    <d v="2024-08-14T00:00:00"/>
    <d v="2024-11-22T00:00:00"/>
    <d v="2025-02-20T00:00:00"/>
    <s v="78041651-3"/>
    <s v="Sociedad concesionaria Nueva Aconcagua"/>
    <s v="https://www.cmfchile.cl/institucional/mercados/entidad.php?auth=&amp;send=&amp;mercado=O&amp;rut=78041651&amp;grupo=&amp;tipoentidad=RGEIN&amp;vig=VI&amp;row=AAAwy2ACTAAACiuAAV&amp;control=svs&amp;pestania=1"/>
    <d v="2025-02-20T00:00:00"/>
    <d v="2055-02-20T00:00:00"/>
    <s v="Variable"/>
    <s v="sin inicio"/>
    <s v="En fase de construcción"/>
    <s v="En fase de construcción"/>
    <n v="28288000"/>
    <n v="0"/>
  </r>
  <r>
    <s v="121_ANCO2"/>
    <s v="Concesión Ruta del Itata"/>
    <n v="2"/>
    <s v="Segunda Concesión Ruta del Itata (Ex Acceso Norte a Concepción)"/>
    <s v="La nueva concesión de la Ruta del Itata considera una extensión total de 96,1 km, que incluyen 75,1 km de la Ruta 152 y 14,1 km de la Ruta 158, más un nuevo trazado de 6,9 km, que conectará de forma directa la Ruta 152 con la Ruta 146. _x000a_El proyecto mejora los niveles de seguridad y de velocidad al contar con 40, 5 km de rectificación de trazado; 36,9 km de rehabilitación de pavimentos; 22,4 km de ampliación de bermas y 4,6 km de terceras pistas. A ello se agrega la habilitación de medianas y la rectificación de curvas y pendientes_x000a_En relación a los servicios para peatones y lugareños aledaños al proyecto, este considera 12 nuevas pasarelas, 22 nuevos paraderos con iluminación y circuito peatonal. _x000a_Estas inversiones ampliarán la seguridad para sus distintos tipos de usuarios, la cobertura de la autorización para el tránsito a una velocidad de 120 km/h._x000a_Otros servicios que agrega el proyecto son una nueva área de servicios generales, 2 nuevas áreas de venta de productos típicos y una nueva área de atención de emergencias.  En relación con el medio de cobro, se implementará el telepeaje con pórtico de free flow. "/>
    <x v="0"/>
    <s v="Ñuble; Biobío"/>
    <s v="Sitio en construcción"/>
    <s v="Público"/>
    <s v=""/>
    <n v="12527000"/>
    <s v="UF"/>
    <s v="https://concesiones.mop.gob.cl/project/segunda-concesion-ruta-del-itata-acceso-norte-a-concepcion/"/>
    <x v="1"/>
    <s v="Sólo licitación pública"/>
    <s v="Ingresos totales de la concesión."/>
    <d v="2023-08-17T00:00:00"/>
    <d v="2024-09-13T00:00:00"/>
    <d v="2024-10-11T00:00:00"/>
    <d v="2024-12-10T00:00:00"/>
    <d v="2025-03-14T00:00:00"/>
    <s v="78056118-1"/>
    <s v="Sociedad Concesionarias Bosques del Itata"/>
    <s v="https://www.cmfchile.cl/institucional/mercados/entidad.php?auth=&amp;send=&amp;mercado=O&amp;rut=78089131&amp;grupo=&amp;tipoentidad=RGEIN&amp;vig=VI&amp;row=AAAwy2ACTAAAQjEAAA&amp;control=svs&amp;pestania=1"/>
    <d v="2025-03-14T00:00:00"/>
    <d v="2070-03-14T00:00:00"/>
    <s v="Variable"/>
    <s v="sin inicio"/>
    <s v="En fase de construcción"/>
    <s v="En fase de construcción"/>
    <n v="12527000"/>
    <n v="0"/>
  </r>
  <r>
    <s v="004_ATEP1"/>
    <s v="Terminal de Pasajeros Aeropuerto El Tepual de Puerto Montt"/>
    <n v="1"/>
    <s v="Primera concesión Terminal de Pasajeros Aeropuerto El Tepual de Puerto Montt"/>
    <s v="Esta concesión finalizó en 2008 y consideró la construcción de un nuevo edificio terminal de pasajeros de 4.962 m2, con zonas de embarque y desembarque independientes para vuelos nacionales e internacionales._x000a__x000a_El proyecto también incluyó una plataforma de estacionamiento de aviones, planta de tratamiento de aguas servidas y la ampliación de estacionamiento para vehículos junto con nuevas calles de acceso en el recinto._x000a__x000a_La obra fue relicitada y en la actualidad está vigente la cuarta concesión."/>
    <x v="1"/>
    <s v="Los Lagos"/>
    <s v="Sitio en construcción"/>
    <s v="Privado"/>
    <s v=""/>
    <n v="164021"/>
    <s v="UF"/>
    <s v="https://concesiones.mop.gob.cl/project/primera-concesion-aeropuerto-el-tepual-de-puerto-montt/"/>
    <x v="0"/>
    <s v="Sólo licitación pública"/>
    <s v="Nivel de tarifa; Puntaje oferta técnica; Plazo."/>
    <d v="1994-11-01T00:00:00"/>
    <d v="1995-03-04T00:00:00"/>
    <d v="1995-05-19T00:00:00"/>
    <d v="1995-06-30T00:00:00"/>
    <d v="1995-10-31T00:00:00"/>
    <s v="96770980-8"/>
    <s v="CONCESION AEROPUERTO EL TEPUAL S.A."/>
    <s v="https://www.cmfchile.cl/institucional/mercados/entidad.php?mercado=O&amp;rut=96770980&amp;grupo=&amp;tipoentidad=RGEIN&amp;row=AAAwy2ACTAAAAWbAAW&amp;vig=NV&amp;control=svs&amp;pestania=5"/>
    <d v="1996-02-19T00:00:00"/>
    <d v="2008-02-18T00:00:00"/>
    <s v="Fijo"/>
    <s v="SD"/>
    <s v="SD"/>
    <s v="SD"/>
    <n v="205506.48"/>
    <n v="1"/>
  </r>
  <r>
    <s v="126_PP4T1"/>
    <s v="Nuevo establecimiento penitenciario de Talca"/>
    <n v="1"/>
    <s v="Primera concesión de nuevo establecimiento penitenciario de Talca"/>
    <s v="El proyecto consiste en la habilitación de la infraestructura del Establecimiento Penitenciario de Talca y en particular de todas las áreas destinadas a la prestación de los servicios, comprendiendo esta, entre otros aspectos, la ejecución de las instalaciones de seguridad y corrientes débiles, la provisión del equipamiento estándar y de seguridad. Este proyecto se emplaza en el sector de Panguilemo, a 10 km al norte del centro de la comuna de Talca, en la Región del Maule. La edificación tiene una superficie total aproximada de 63.570 m2 con una capacidad máxima de 2.320 personas privadas de libertad."/>
    <x v="4"/>
    <s v="Maule"/>
    <s v="Sitio en construcción"/>
    <s v="Público"/>
    <m/>
    <n v="1400000"/>
    <s v="UF"/>
    <s v="https://concesiones.mop.gob.cl/project/concesion-nuevo-establecimiento-penitenciario-de-talca/"/>
    <x v="2"/>
    <s v="Sólo licitación pública"/>
    <s v="Subsidio."/>
    <d v="2024-01-13T00:00:00"/>
    <d v="2024-07-25T00:00:00"/>
    <d v="2024-08-20T00:00:00"/>
    <d v="2024-09-26T00:00:00"/>
    <d v="2024-11-04T00:00:00"/>
    <s v="77985392-6"/>
    <s v="Sociedad concesionaria penitenciario de Talca S.A."/>
    <s v="https://www.cmfchile.cl/institucional/mercados/entidad.php?auth=&amp;send=&amp;mercado=O&amp;rut=77985392&amp;grupo=&amp;tipoentidad=RGEIN&amp;vig=VI&amp;row=AAAwy2ACTAAACipAAI&amp;control=svs&amp;pestania=1"/>
    <d v="2024-11-04T00:00:00"/>
    <d v="2041-07-21T00:00:00"/>
    <s v="Variable"/>
    <s v="No aplica"/>
    <s v="No aplica"/>
    <s v="No aplica"/>
    <n v="1400000"/>
    <s v="No aplica"/>
  </r>
  <r>
    <s v="003_ADAI1"/>
    <s v="Terminales de Pasajeros y de Carga Aeropuerto Diego Aracena de Iquique"/>
    <n v="1"/>
    <s v="Primera concesión Terminales de Pasajeros y de Carga Aeropuerto Diego Aracena de Iquique"/>
    <s v="Esta concesión finalizó en 2007 y consideró la ampliación y remodelación del Terminal de Pasajeros, el desarrollo de un nuevo puente de embarque, la ampliación del número de estacionamientos, una nueva Torre de Control, un Edificio Administrativo para la Dirección General de Aeronáutica Civil (DGAC) y nuevas calles._x000a__x000a_Con el desarrollo de esta obra se buscó mejorar los estándares de las instalaciones aeroportuarias._x000a__x000a_La obra fue relicitada y en la actualidad está vigente la cuarta concesión."/>
    <x v="1"/>
    <s v="Tarapacá"/>
    <s v="Sitio en construcción"/>
    <s v="Privado"/>
    <s v=""/>
    <n v="158980"/>
    <s v="UF"/>
    <s v="https://concesiones.mop.gob.cl/project/primera-concesion-aeropuerto-diego-aracena-de-iquique/"/>
    <x v="0"/>
    <s v="Sólo licitación pública"/>
    <s v="Nivel de tarifa; Puntaje oferta técnica; Plazo."/>
    <d v="1994-11-01T00:00:00"/>
    <d v="1995-06-20T00:00:00"/>
    <d v="1995-07-20T00:00:00"/>
    <d v="1995-08-18T00:00:00"/>
    <d v="1995-12-23T00:00:00"/>
    <s v="96778310-2"/>
    <s v="Concesionaria Chucutama"/>
    <s v="https://www.cmfchile.cl/institucional/mercados/entidad.php?mercado=V&amp;rut=96778310&amp;grupo=&amp;tipoentidad=RVEMI&amp;row=AAAwy2ACTAAABzAAAj&amp;vig=NV&amp;control=svs&amp;pestania=5"/>
    <d v="1995-12-23T00:00:00"/>
    <d v="2007-12-22T00:00:00"/>
    <s v="Fijo"/>
    <s v="SD"/>
    <d v="1997-04-21T00:00:00"/>
    <s v="SD"/>
    <n v="177301.90000000002"/>
    <n v="1"/>
  </r>
  <r>
    <s v="124_TERB2"/>
    <s v="Segunda Concesión Ruta 5, tramo Temuco -Río Bueno"/>
    <n v="2"/>
    <s v="Segunda Concesión Ruta 5, tramo Temuco -Río Bueno"/>
    <s v="Se ubica en las regiones de La Araucanía y Los Ríos, provincias de Cautín, Valdivia y Ranco. _x000a_La concesión actual es una autopista de doble calzada, diseñada para una velocidad de 100-120 km/hr, que se construyó en el mismo trazado de la Ruta 5. Su principal beneficio es desarrollar la conectividad en la zona y dotar de mayor seguridad a los usuarios y habitantes de las zonas cercanas a la ruta. _x000a_Se proyectan obras de mejoramiento, nuevos enlaces, reemplazo de puentes existentes, reforzamiento de otros, pasarelas peatonales, adaptación de las existentes a la nueva normativa de accesibilidad universal, paraderos de buses, mejoramientos de trazado en sectores puntuales, nuevas áreas de servicios, ampliación y mejoramiento de las áreas existentes, ampliación de calles de servicio. Esta ruta es la principal conexión hacia el sur de Chile, que tiene gran potencial turístico y agroindustrial. "/>
    <x v="0"/>
    <s v="Araucanía, Los Ríos"/>
    <s v="Sitio en construcción"/>
    <s v="Público"/>
    <m/>
    <n v="19330000"/>
    <s v="UF"/>
    <s v="https://concesiones.mop.gob.cl/project/segunda-concesion-ruta-5-tramo-temuco-rio-bueno/"/>
    <x v="1"/>
    <s v="Sólo licitación pública"/>
    <s v="Subsidio fijo a la construción ó Ingresos totales de la concesión"/>
    <d v="2023-12-28T00:00:00"/>
    <d v="2025-01-24T00:00:00"/>
    <d v="2025-03-07T00:00:00"/>
    <d v="2025-06-23T00:00:00"/>
    <d v="2025-10-07T00:00:00"/>
    <s v="78.214.872-9"/>
    <s v="Sociedad concesionaria Temuco -Rio Bueno SA"/>
    <s v="https://www.cmfchile.cl/institucional/mercados/entidad.php?mercado=O&amp;rut=78214872&amp;grupo=&amp;tipoentidad=RGEIN&amp;row=&amp;vig=VI&amp;control=svs&amp;pestania=1"/>
    <d v="2025-10-07T00:00:00"/>
    <d v="2066-10-07T00:00:00"/>
    <s v="Variable"/>
    <s v="sin inicio"/>
    <s v="En fase de construcción"/>
    <s v="En fase de construcción"/>
    <n v="19330000"/>
    <n v="0"/>
  </r>
  <r>
    <s v="130_EPCO1"/>
    <s v="Concesión nuevo establecimiento penitenciario de Copiapó"/>
    <n v="1"/>
    <s v="Concesión nuevo establecimiento penitenciario de Copiapó"/>
    <s v="La obra corresponde a la construcción, operación y mantención de un nuevo establecimiento penitenciario que se emplazará próximo a la Ruta 5 Norte, aproximadamente a 40 kilómetros al norponiente de la ciudad de Copiapó, en la región de Atacama._x000a__x000a_El proyecto tendrá superficie total aproximada de 76.600 m2 con una capacidad estimada de 2.160 personas privadas de libertad, en 15 módulos de reclusión."/>
    <x v="4"/>
    <s v="Atacama"/>
    <s v="Sitio en construcción"/>
    <s v="Público"/>
    <m/>
    <n v="7120300"/>
    <s v="UF"/>
    <s v="https://concesiones.mop.gob.cl/project/concesion-nuevo-establecimiento-penitenciario-de-copiapo/"/>
    <x v="3"/>
    <s v="Sólo licitación pública"/>
    <s v="Subsidio fijo a la operación ó Ingresos totales de la concesión"/>
    <d v="2024-11-21T00:00:00"/>
    <d v="2025-07-29T00:00:00"/>
    <d v="2025-08-20T00:00:00"/>
    <d v="2025-10-23T00:00:00"/>
    <d v="2026-06-05T00:00:00"/>
    <s v="En trámite"/>
    <s v="Sociedad Concesionaria Penitenciario de Copiapó S.A."/>
    <s v="Sin informar"/>
    <d v="2026-01-05T00:00:00"/>
    <d v="2051-03-05T00:00:00"/>
    <s v="Variable"/>
    <s v="sin inicio"/>
    <s v="En fase de construcción"/>
    <s v="En fase de construcción"/>
    <n v="7120300"/>
    <n v="0"/>
  </r>
  <r>
    <s v="PDRC"/>
    <s v="Planta Desaladora para la Región de Coquimbo"/>
    <m/>
    <m/>
    <m/>
    <x v="3"/>
    <m/>
    <m/>
    <m/>
    <m/>
    <m/>
    <m/>
    <m/>
    <x v="3"/>
    <m/>
    <m/>
    <m/>
    <m/>
    <m/>
    <m/>
    <m/>
    <m/>
    <m/>
    <m/>
    <m/>
    <m/>
    <m/>
    <m/>
    <m/>
    <m/>
    <m/>
    <m/>
  </r>
  <r>
    <s v="RPMO"/>
    <s v="Ruta Pie de Monte"/>
    <m/>
    <m/>
    <m/>
    <x v="0"/>
    <m/>
    <m/>
    <m/>
    <m/>
    <m/>
    <m/>
    <m/>
    <x v="3"/>
    <m/>
    <m/>
    <m/>
    <m/>
    <m/>
    <m/>
    <m/>
    <m/>
    <m/>
    <m/>
    <m/>
    <m/>
    <m/>
    <m/>
    <m/>
    <m/>
    <m/>
    <m/>
  </r>
  <r>
    <s v="RTCC"/>
    <s v="Ruta 5 Tramo Chacao - Chonchi"/>
    <m/>
    <m/>
    <m/>
    <x v="0"/>
    <m/>
    <m/>
    <m/>
    <m/>
    <m/>
    <m/>
    <m/>
    <x v="3"/>
    <m/>
    <m/>
    <m/>
    <m/>
    <m/>
    <m/>
    <m/>
    <m/>
    <m/>
    <m/>
    <m/>
    <m/>
    <m/>
    <m/>
    <m/>
    <m/>
    <m/>
    <m/>
  </r>
  <r>
    <s v="RBPM2"/>
    <m/>
    <m/>
    <s v="Segunda Concesión Ruta 5 Tramo Río Bueno - Puerto Montt"/>
    <m/>
    <x v="0"/>
    <m/>
    <m/>
    <m/>
    <m/>
    <m/>
    <m/>
    <m/>
    <x v="1"/>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D9B7D-78F1-439B-BBB9-5FF07678024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30" firstHeaderRow="1" firstDataRow="1" firstDataCol="1"/>
  <pivotFields count="32">
    <pivotField dataField="1" showAll="0"/>
    <pivotField showAll="0"/>
    <pivotField showAll="0"/>
    <pivotField showAll="0"/>
    <pivotField showAll="0"/>
    <pivotField axis="axisRow" showAll="0">
      <items count="8">
        <item x="1"/>
        <item x="5"/>
        <item x="6"/>
        <item x="4"/>
        <item x="3"/>
        <item x="0"/>
        <item x="2"/>
        <item t="default"/>
      </items>
    </pivotField>
    <pivotField showAll="0"/>
    <pivotField showAll="0"/>
    <pivotField showAll="0"/>
    <pivotField showAll="0"/>
    <pivotField numFmtId="3" showAll="0"/>
    <pivotField showAll="0"/>
    <pivotField showAll="0"/>
    <pivotField axis="axisRow" showAll="0">
      <items count="5">
        <item x="3"/>
        <item x="1"/>
        <item x="0"/>
        <item x="2"/>
        <item t="default"/>
      </items>
    </pivotField>
    <pivotField showAll="0"/>
    <pivotField showAll="0"/>
    <pivotField numFmtId="14" showAll="0"/>
    <pivotField numFmtId="14" showAll="0"/>
    <pivotField numFmtId="14" showAll="0"/>
    <pivotField numFmtId="14" showAll="0"/>
    <pivotField numFmtId="14" showAll="0"/>
    <pivotField showAll="0"/>
    <pivotField showAll="0"/>
    <pivotField showAll="0"/>
    <pivotField numFmtId="14" showAll="0"/>
    <pivotField numFmtId="14" showAll="0"/>
    <pivotField showAll="0"/>
    <pivotField showAll="0"/>
    <pivotField showAll="0"/>
    <pivotField showAll="0"/>
    <pivotField showAll="0"/>
    <pivotField showAll="0"/>
  </pivotFields>
  <rowFields count="2">
    <field x="13"/>
    <field x="5"/>
  </rowFields>
  <rowItems count="27">
    <i>
      <x/>
    </i>
    <i r="1">
      <x v="1"/>
    </i>
    <i r="1">
      <x v="2"/>
    </i>
    <i r="1">
      <x v="3"/>
    </i>
    <i r="1">
      <x v="4"/>
    </i>
    <i r="1">
      <x v="5"/>
    </i>
    <i r="1">
      <x v="6"/>
    </i>
    <i>
      <x v="1"/>
    </i>
    <i r="1">
      <x/>
    </i>
    <i r="1">
      <x v="5"/>
    </i>
    <i r="1">
      <x v="6"/>
    </i>
    <i>
      <x v="2"/>
    </i>
    <i r="1">
      <x/>
    </i>
    <i r="1">
      <x v="1"/>
    </i>
    <i r="1">
      <x v="3"/>
    </i>
    <i r="1">
      <x v="4"/>
    </i>
    <i r="1">
      <x v="5"/>
    </i>
    <i r="1">
      <x v="6"/>
    </i>
    <i>
      <x v="3"/>
    </i>
    <i r="1">
      <x/>
    </i>
    <i r="1">
      <x v="1"/>
    </i>
    <i r="1">
      <x v="2"/>
    </i>
    <i r="1">
      <x v="3"/>
    </i>
    <i r="1">
      <x v="4"/>
    </i>
    <i r="1">
      <x v="5"/>
    </i>
    <i r="1">
      <x v="6"/>
    </i>
    <i t="grand">
      <x/>
    </i>
  </rowItems>
  <colItems count="1">
    <i/>
  </colItems>
  <dataFields count="1">
    <dataField name="Cuenta de Código proyecto" fld="0" subtotal="count" baseField="0" baseItem="0"/>
  </dataFields>
  <formats count="1">
    <format dxfId="49">
      <pivotArea collapsedLevelsAreSubtotals="1" fieldPosition="0">
        <references count="1">
          <reference field="1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629CF4-C472-4B9E-A105-412493DC473F}" name="Tabla1" displayName="Tabla1" ref="B1:AJ128" totalsRowShown="0" headerRowDxfId="48" dataDxfId="46" headerRowBorderDxfId="47" tableBorderDxfId="45" headerRowCellStyle="Normal_Hoja1">
  <autoFilter ref="B1:AJ128" xr:uid="{1D629CF4-C472-4B9E-A105-412493DC473F}"/>
  <sortState xmlns:xlrd2="http://schemas.microsoft.com/office/spreadsheetml/2017/richdata2" ref="B3:AJ124">
    <sortCondition descending="1" ref="C1:C128"/>
  </sortState>
  <tableColumns count="35">
    <tableColumn id="35" xr3:uid="{51A86E7B-74D4-4FC2-AD10-E5089F2EAB7C}" name="Max" dataDxfId="44">
      <calculatedColumnFormula>MAX($C$2:$C$128)</calculatedColumnFormula>
    </tableColumn>
    <tableColumn id="33" xr3:uid="{B847CA8D-C350-4F19-B0B8-2917E9EC5B6C}" name="Aux" dataDxfId="43">
      <calculatedColumnFormula array="1">IFERROR(MAX(--_xlfn.TEXTSPLIT(D2,";")),0)</calculatedColumnFormula>
    </tableColumn>
    <tableColumn id="36" xr3:uid="{E47F5A70-B048-4DBD-9AF1-48355874D056}" name="Shapes" dataDxfId="42"/>
    <tableColumn id="1" xr3:uid="{EBDE2C74-BB18-41CD-8BA6-80BB4E8B06B1}" name="Código proyecto"/>
    <tableColumn id="2" xr3:uid="{8994AC55-2992-4943-AB61-CF0DD8F7A78E}" name="Nombre de la Concesión " dataDxfId="41" dataCellStyle="Normal_Hoja4"/>
    <tableColumn id="3" xr3:uid="{199CE7EE-D5DD-4FFA-88F3-4B42D02F42E8}" name="NUM_Lic" dataDxfId="40"/>
    <tableColumn id="4" xr3:uid="{01B27C31-31AA-4F49-A1FD-C3C1240EB455}" name="Nombre de uso común"/>
    <tableColumn id="5" xr3:uid="{64C5A640-42EC-4144-B04D-666608CEAFE2}" name="Descripción " dataDxfId="39"/>
    <tableColumn id="6" xr3:uid="{13C62034-984D-4E5D-AB34-D275E07F5CFF}" name="Sector del proyecto" dataDxfId="38"/>
    <tableColumn id="7" xr3:uid="{A8E1B4AC-7E7D-43EE-B773-2387BED2697E}" name="Región geográfica" dataDxfId="37"/>
    <tableColumn id="8" xr3:uid="{ACB4D0A1-A214-4257-9A64-04AE08CBDCF0}" name="Link a mapa página web" dataDxfId="36"/>
    <tableColumn id="9" xr3:uid="{3F605780-9F24-461D-9698-7F8452C70D1E}" name="Origen" dataDxfId="35"/>
    <tableColumn id="10" xr3:uid="{281D68A1-621E-4015-9C81-9D94E9998382}" name="Fecha resolución declaración interes público" dataDxfId="34"/>
    <tableColumn id="11" xr3:uid="{13DDD2FD-8CA4-42D3-A2D5-F76365E0DBED}" name="Presupuesto oficial estimado" dataDxfId="33"/>
    <tableColumn id="12" xr3:uid="{AFC4B2C5-540B-4756-B680-CD2A7629D579}" name="Moneda" dataDxfId="32"/>
    <tableColumn id="13" xr3:uid="{4FD5FD1D-7705-4B4C-9A2E-A7A7BAF6E82D}" name="Link pagina web concesiones" dataDxfId="31"/>
    <tableColumn id="14" xr3:uid="{FF0D18CC-FA0A-42A1-95D9-3698F56C5ACF}" name="ESTADO" dataDxfId="30"/>
    <tableColumn id="15" xr3:uid="{3AE3E861-AFBE-4630-8BED-5CA5A76395D3}" name="Metodo de licitación" dataDxfId="29"/>
    <tableColumn id="16" xr3:uid="{D61F26D9-4B85-4C5D-85EF-D8159E5D7FA1}" name="Variable(s) de licitación" dataDxfId="28"/>
    <tableColumn id="17" xr3:uid="{9687CFD7-71C4-4072-BAAA-7FC78075F6B1}" name="Fecha llamado a licitación" dataDxfId="27"/>
    <tableColumn id="18" xr3:uid="{F33696E1-7AD1-464F-9199-3F6F741E9835}" name="Fecha recepción ofertas" dataDxfId="26"/>
    <tableColumn id="19" xr3:uid="{756DB67B-EA63-48D3-8F28-59AF88366085}" name="Fecha apertura económica" dataDxfId="25"/>
    <tableColumn id="20" xr3:uid="{22F790CF-19CD-4603-BF9F-2587C5A71936}" name="Fecha decreto adjudicación" dataDxfId="24"/>
    <tableColumn id="21" xr3:uid="{BB8AEA3E-D460-4F64-81D2-E3D08FB6D544}" name="Fecha publicación decreto adjudicación" dataDxfId="23"/>
    <tableColumn id="22" xr3:uid="{3A2DC6EE-EA8A-40F7-BAE0-1EA6BE4B5481}" name="Rut sociedad Concesionaria" dataDxfId="22"/>
    <tableColumn id="23" xr3:uid="{83CA2B19-8A13-4C41-9638-871A8314B5E6}" name="Nombre sociedad concesionaria" dataDxfId="21"/>
    <tableColumn id="24" xr3:uid="{31D5D919-9566-44A9-BDE9-6FEF13E2901A}" name="Link a CMF de SC" dataDxfId="20"/>
    <tableColumn id="25" xr3:uid="{2862DEB5-FE1F-45DF-BCB8-740E1822719D}" name="Fecha inicio del contrato de concesión" dataDxfId="19"/>
    <tableColumn id="26" xr3:uid="{B7C7929B-54AB-4155-9E19-ACF37DC76466}" name="Fecha término de la concesión" dataDxfId="18"/>
    <tableColumn id="27" xr3:uid="{90E5B86B-AE98-44B1-B104-70965591C697}" name="Plazo fijo / variable " dataDxfId="17"/>
    <tableColumn id="28" xr3:uid="{E800A02A-FACD-4C1E-B7D3-B714F52FD9DD}" name="Fecha inicio de obras" dataDxfId="16"/>
    <tableColumn id="29" xr3:uid="{D75CEDED-9144-4A02-857E-1E11FE744D55}" name="Fecha puesta servicio provisorio" dataDxfId="15"/>
    <tableColumn id="30" xr3:uid="{9306ADC6-CB38-41A8-854D-C5D6E10C5C6B}" name="Fecha puesta servicio definitivo" dataDxfId="14"/>
    <tableColumn id="31" xr3:uid="{7DEE930E-F463-4177-8D0D-8158058CE5A6}" name="Inversión Materializada estimada" dataDxfId="13"/>
    <tableColumn id="32" xr3:uid="{815A6E54-D54F-4981-A920-452331C73487}" name="% Avance obras físicas" dataDxfId="12" dataCellStyle="Porcentaj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1BCE94-7066-4FA3-AA56-13A528EB24C5}" name="Tabla2" displayName="Tabla2" ref="A1:E398" totalsRowShown="0">
  <autoFilter ref="A1:E398" xr:uid="{0B1BCE94-7066-4FA3-AA56-13A528EB24C5}"/>
  <tableColumns count="5">
    <tableColumn id="1" xr3:uid="{6692F8DC-A6AC-4EB7-BFE9-9CB212613C31}" name="Código proyecto"/>
    <tableColumn id="2" xr3:uid="{4C6BB9F1-9A8B-475A-9BDA-220BF0E3DFB2}" name="Nombre de uso común" dataDxfId="11"/>
    <tableColumn id="3" xr3:uid="{09EFDC4D-986E-43B3-BC94-7B7B41772935}" name="Codigo oferente"/>
    <tableColumn id="4" xr3:uid="{6598E2A9-FC2E-4DDA-AF0A-F94F4B12052E}" name="Nombre oferente" dataDxfId="10"/>
    <tableColumn id="5" xr3:uid="{F65361E4-8D72-41BE-9F75-3733E402179A}" name="Adjudicad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5DCCE2-1A06-45E1-9362-F498B312CF33}" name="Tabla5" displayName="Tabla5" ref="A1:J21" totalsRowShown="0" headerRowDxfId="9">
  <autoFilter ref="A1:J21" xr:uid="{3E5DCCE2-1A06-45E1-9362-F498B312CF33}"/>
  <tableColumns count="10">
    <tableColumn id="1" xr3:uid="{1EA8F6C1-92AF-464C-97F8-5259DBA7CBB5}" name="max" dataDxfId="8">
      <calculatedColumnFormula>MAX($B$2:$B$127)</calculatedColumnFormula>
    </tableColumn>
    <tableColumn id="2" xr3:uid="{33793EA3-34D7-4D6D-B86D-3F250842C10A}" name="aux" dataDxfId="7">
      <calculatedColumnFormula array="1">IFERROR(MAX(--_xlfn.TEXTSPLIT(C2,";")),0)</calculatedColumnFormula>
    </tableColumn>
    <tableColumn id="3" xr3:uid="{14343C55-2461-432C-9954-29952162B76E}" name="Shapes"/>
    <tableColumn id="4" xr3:uid="{0A185E16-2B61-4FF8-AF73-88336466F284}" name="Proyecto" dataDxfId="6"/>
    <tableColumn id="9" xr3:uid="{7C61B78F-F4DD-4F80-8D4D-AABD3B55036C}" name="region" dataDxfId="5"/>
    <tableColumn id="5" xr3:uid="{AFB4B37C-C7FF-4D77-AB2A-762A7D41A8ED}" name="Institucion mandante" dataDxfId="4"/>
    <tableColumn id="6" xr3:uid="{D863FC92-BAB3-47C2-BB80-F22D29F3D864}" name="Fuente  de inf" dataDxfId="3" dataCellStyle="Hipervínculo"/>
    <tableColumn id="7" xr3:uid="{D3486ADD-FCAB-467D-B0EB-251EEB3E245B}" name="Inversion (USD) " dataDxfId="2"/>
    <tableColumn id="10" xr3:uid="{B4EFD4AE-28EB-449A-AD8D-58C9B7719A54}" name="Filial" dataDxfId="1"/>
    <tableColumn id="8" xr3:uid="{9234F28E-E88E-4763-A76E-73B745ADAF0C}" name="Descripcion"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concesiones.mop.gob.cl/project/primera-concesion-aeropuerto-el-tepual-de-puerto-montt/" TargetMode="External"/><Relationship Id="rId13" Type="http://schemas.openxmlformats.org/officeDocument/2006/relationships/hyperlink" Target="https://concesiones.mop.gob.cl/project/concesion-mejoramiento-ruta-g-21/" TargetMode="External"/><Relationship Id="rId18" Type="http://schemas.openxmlformats.org/officeDocument/2006/relationships/hyperlink" Target="https://www.cmfchile.cl/institucional/mercados/entidad.php?auth=&amp;send=&amp;mercado=V&amp;rut=96971160&amp;grupo=&amp;tipoentidad=RVEMI&amp;vig=NV&amp;row=AAAwy2ACTAAABzAAAd&amp;control=svs&amp;pestania=2" TargetMode="External"/><Relationship Id="rId3" Type="http://schemas.openxmlformats.org/officeDocument/2006/relationships/hyperlink" Target="https://www.cmfchile.cl/institucional/mercados/entidad.php?auth=&amp;send=&amp;mercado=O&amp;rut=96921070&amp;grupo=&amp;tipoentidad=RGEIN&amp;vig=NV&amp;row=AAAwy2ACTAAAAWbAAT&amp;control=svs&amp;pestania=2" TargetMode="External"/><Relationship Id="rId7" Type="http://schemas.openxmlformats.org/officeDocument/2006/relationships/hyperlink" Target="https://concesiones.mop.gob.cl/project/primera-concesion-aeropuerto-diego-aracena-de-iquique/" TargetMode="External"/><Relationship Id="rId12" Type="http://schemas.openxmlformats.org/officeDocument/2006/relationships/hyperlink" Target="https://concesiones.mop.gob.cl/project/primera-concesion-acceso-vial-aeropuerto-arturo-merino-benitez/" TargetMode="External"/><Relationship Id="rId17" Type="http://schemas.openxmlformats.org/officeDocument/2006/relationships/hyperlink" Target="https://www.cmfchile.cl/institucional/mercados/entidad.php?auth=&amp;send=&amp;mercado=O&amp;rut=78089131&amp;grupo=&amp;tipoentidad=RGEIN&amp;vig=VI&amp;row=AAAwy2ACTAAAQjEAAA&amp;control=svs&amp;pestania=1" TargetMode="External"/><Relationship Id="rId2" Type="http://schemas.openxmlformats.org/officeDocument/2006/relationships/hyperlink" Target="https://www.cmfchile.cl/institucional/mercados/entidad.php?mercado=V&amp;rut=96778310&amp;grupo=&amp;tipoentidad=RVEMI&amp;row=AAAwy2ACTAAABzAAAj&amp;vig=NV&amp;control=svs&amp;pestania=5" TargetMode="External"/><Relationship Id="rId16" Type="http://schemas.openxmlformats.org/officeDocument/2006/relationships/hyperlink" Target="https://concesiones.mop.gob.cl/project/concesion-centro-metropolitano-de-vehiculos-retirados-de-circulacion/" TargetMode="External"/><Relationship Id="rId1" Type="http://schemas.openxmlformats.org/officeDocument/2006/relationships/hyperlink" Target="https://www.cmfchile.cl/institucional/mercados/entidad.php?mercado=O&amp;rut=77930767&amp;grupo=&amp;tipoentidad=RGEIN&amp;row=AAAwy2ACTAAAGD2AA5&amp;vig=VI&amp;control=svs&amp;pestania=1" TargetMode="External"/><Relationship Id="rId6" Type="http://schemas.openxmlformats.org/officeDocument/2006/relationships/hyperlink" Target="https://concesiones.mop.gob.cl/project/camino-de-la-madera/" TargetMode="External"/><Relationship Id="rId11" Type="http://schemas.openxmlformats.org/officeDocument/2006/relationships/hyperlink" Target="https://concesiones.mop.gob.cl/project/primera-concesion-camino-nogales-puchuncavi/" TargetMode="External"/><Relationship Id="rId5" Type="http://schemas.openxmlformats.org/officeDocument/2006/relationships/hyperlink" Target="https://concesiones.mop.gob.cl/project/primera-concesion-tunel-el-melon/" TargetMode="External"/><Relationship Id="rId15" Type="http://schemas.openxmlformats.org/officeDocument/2006/relationships/hyperlink" Target="https://concesiones.mop.gob.cl/project/concesion-sistema-americo-vespucio-sur-ruta-78-av-grecia/" TargetMode="External"/><Relationship Id="rId10" Type="http://schemas.openxmlformats.org/officeDocument/2006/relationships/hyperlink" Target="https://concesiones.mop.gob.cl/project/primera-concesion-autopista-santiago-san-antonio-ruta-78/" TargetMode="External"/><Relationship Id="rId19" Type="http://schemas.openxmlformats.org/officeDocument/2006/relationships/table" Target="../tables/table1.xml"/><Relationship Id="rId4" Type="http://schemas.openxmlformats.org/officeDocument/2006/relationships/hyperlink" Target="https://www.cmfchile.cl/institucional/mercados/entidad.php?auth=&amp;send=&amp;mercado=O&amp;rut=77996929&amp;grupo=&amp;tipoentidad=RGEIN&amp;vig=VI&amp;row=AAAwy2ACTAAACiqAAG&amp;control=svs&amp;pestania=1" TargetMode="External"/><Relationship Id="rId9" Type="http://schemas.openxmlformats.org/officeDocument/2006/relationships/hyperlink" Target="https://concesiones.mop.gob.cl/project/ruta-del-itata-concesion-acceso-norte-a-concepcion/" TargetMode="External"/><Relationship Id="rId14" Type="http://schemas.openxmlformats.org/officeDocument/2006/relationships/hyperlink" Target="https://concesiones.mop.gob.cl/project/primera-concesion-ruta-5-tramo-talca-chillan/"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E23AC-138D-44B6-B9E7-8AF2601C5A8D}">
  <dimension ref="A3:D30"/>
  <sheetViews>
    <sheetView topLeftCell="A7" workbookViewId="0">
      <selection activeCell="B20" sqref="B20"/>
    </sheetView>
  </sheetViews>
  <sheetFormatPr baseColWidth="10" defaultRowHeight="14.4" x14ac:dyDescent="0.3"/>
  <cols>
    <col min="1" max="1" width="38.109375" bestFit="1" customWidth="1"/>
    <col min="2" max="2" width="23.33203125" bestFit="1" customWidth="1"/>
    <col min="3" max="3" width="19.5546875" bestFit="1" customWidth="1"/>
    <col min="4" max="4" width="17.109375" bestFit="1" customWidth="1"/>
    <col min="5" max="5" width="9.33203125" bestFit="1" customWidth="1"/>
    <col min="6" max="6" width="17" bestFit="1" customWidth="1"/>
    <col min="7" max="7" width="15.88671875" bestFit="1" customWidth="1"/>
    <col min="8" max="8" width="8.44140625" bestFit="1" customWidth="1"/>
    <col min="9" max="9" width="18.109375" bestFit="1" customWidth="1"/>
    <col min="10" max="10" width="68.33203125" bestFit="1" customWidth="1"/>
    <col min="11" max="11" width="6.33203125" bestFit="1" customWidth="1"/>
    <col min="12" max="12" width="17.88671875" bestFit="1" customWidth="1"/>
    <col min="13" max="13" width="22" bestFit="1" customWidth="1"/>
    <col min="14" max="14" width="9.6640625" bestFit="1" customWidth="1"/>
    <col min="15" max="15" width="42.6640625" bestFit="1" customWidth="1"/>
    <col min="17" max="17" width="19.33203125" bestFit="1" customWidth="1"/>
    <col min="18" max="18" width="33.109375" bestFit="1" customWidth="1"/>
    <col min="19" max="19" width="8.6640625" bestFit="1" customWidth="1"/>
    <col min="20" max="20" width="16.44140625" bestFit="1" customWidth="1"/>
    <col min="21" max="21" width="30.88671875" bestFit="1" customWidth="1"/>
    <col min="22" max="22" width="6" bestFit="1" customWidth="1"/>
    <col min="23" max="23" width="11.88671875" bestFit="1" customWidth="1"/>
    <col min="24" max="24" width="12.6640625" bestFit="1" customWidth="1"/>
    <col min="25" max="25" width="22.88671875" bestFit="1" customWidth="1"/>
    <col min="26" max="26" width="62.33203125" bestFit="1" customWidth="1"/>
    <col min="27" max="27" width="30.5546875" bestFit="1" customWidth="1"/>
    <col min="28" max="28" width="6" bestFit="1" customWidth="1"/>
    <col min="29" max="29" width="12.33203125" bestFit="1" customWidth="1"/>
    <col min="30" max="30" width="23.88671875" bestFit="1" customWidth="1"/>
    <col min="31" max="31" width="8.6640625" bestFit="1" customWidth="1"/>
    <col min="32" max="32" width="51.5546875" bestFit="1" customWidth="1"/>
    <col min="33" max="33" width="9.88671875" bestFit="1" customWidth="1"/>
    <col min="34" max="34" width="32.88671875" bestFit="1" customWidth="1"/>
    <col min="35" max="35" width="66.109375" bestFit="1" customWidth="1"/>
  </cols>
  <sheetData>
    <row r="3" spans="1:4" x14ac:dyDescent="0.3">
      <c r="A3" s="31" t="s">
        <v>1034</v>
      </c>
      <c r="B3" t="s">
        <v>1036</v>
      </c>
      <c r="C3" s="49" t="s">
        <v>1732</v>
      </c>
    </row>
    <row r="4" spans="1:4" x14ac:dyDescent="0.3">
      <c r="A4" s="32" t="s">
        <v>693</v>
      </c>
      <c r="B4" s="54">
        <v>20</v>
      </c>
      <c r="C4" s="53">
        <f>SUM(C5:C10)</f>
        <v>20</v>
      </c>
    </row>
    <row r="5" spans="1:4" x14ac:dyDescent="0.3">
      <c r="A5" s="50" t="s">
        <v>385</v>
      </c>
      <c r="B5" s="33">
        <v>1</v>
      </c>
      <c r="C5" s="52">
        <v>1</v>
      </c>
    </row>
    <row r="6" spans="1:4" x14ac:dyDescent="0.3">
      <c r="A6" s="50" t="s">
        <v>535</v>
      </c>
      <c r="B6" s="33">
        <v>10</v>
      </c>
      <c r="C6" s="52">
        <v>10</v>
      </c>
    </row>
    <row r="7" spans="1:4" x14ac:dyDescent="0.3">
      <c r="A7" s="50" t="s">
        <v>309</v>
      </c>
      <c r="B7" s="33">
        <v>1</v>
      </c>
      <c r="C7" s="52">
        <v>1</v>
      </c>
    </row>
    <row r="8" spans="1:4" x14ac:dyDescent="0.3">
      <c r="A8" s="50" t="s">
        <v>263</v>
      </c>
      <c r="B8" s="33">
        <v>2</v>
      </c>
      <c r="C8" s="52">
        <v>2</v>
      </c>
      <c r="D8" s="55" t="s">
        <v>1733</v>
      </c>
    </row>
    <row r="9" spans="1:4" x14ac:dyDescent="0.3">
      <c r="A9" s="50" t="s">
        <v>36</v>
      </c>
      <c r="B9" s="33">
        <v>2</v>
      </c>
      <c r="C9" s="52">
        <v>2</v>
      </c>
      <c r="D9" s="55" t="s">
        <v>1733</v>
      </c>
    </row>
    <row r="10" spans="1:4" x14ac:dyDescent="0.3">
      <c r="A10" s="50" t="s">
        <v>111</v>
      </c>
      <c r="B10" s="33">
        <v>4</v>
      </c>
      <c r="C10" s="52">
        <v>4</v>
      </c>
    </row>
    <row r="11" spans="1:4" x14ac:dyDescent="0.3">
      <c r="A11" s="32" t="s">
        <v>662</v>
      </c>
      <c r="B11" s="33">
        <v>19</v>
      </c>
      <c r="C11" s="53">
        <f>SUM(C12:C14)</f>
        <v>19</v>
      </c>
    </row>
    <row r="12" spans="1:4" x14ac:dyDescent="0.3">
      <c r="A12" s="50" t="s">
        <v>64</v>
      </c>
      <c r="B12" s="33">
        <v>5</v>
      </c>
      <c r="C12" s="52">
        <v>5</v>
      </c>
    </row>
    <row r="13" spans="1:4" x14ac:dyDescent="0.3">
      <c r="A13" s="50" t="s">
        <v>36</v>
      </c>
      <c r="B13" s="33">
        <v>13</v>
      </c>
      <c r="C13" s="52">
        <v>13</v>
      </c>
      <c r="D13" s="55" t="s">
        <v>1733</v>
      </c>
    </row>
    <row r="14" spans="1:4" x14ac:dyDescent="0.3">
      <c r="A14" s="50" t="s">
        <v>111</v>
      </c>
      <c r="B14" s="33">
        <v>1</v>
      </c>
      <c r="C14" s="52">
        <v>1</v>
      </c>
    </row>
    <row r="15" spans="1:4" x14ac:dyDescent="0.3">
      <c r="A15" s="32" t="s">
        <v>43</v>
      </c>
      <c r="B15" s="33">
        <v>44</v>
      </c>
      <c r="C15" s="53">
        <f>SUM(C16:C21)</f>
        <v>41</v>
      </c>
    </row>
    <row r="16" spans="1:4" x14ac:dyDescent="0.3">
      <c r="A16" s="50" t="s">
        <v>64</v>
      </c>
      <c r="B16" s="33">
        <v>19</v>
      </c>
      <c r="C16" s="52">
        <v>19</v>
      </c>
      <c r="D16" s="55" t="s">
        <v>1733</v>
      </c>
    </row>
    <row r="17" spans="1:4" x14ac:dyDescent="0.3">
      <c r="A17" s="50" t="s">
        <v>385</v>
      </c>
      <c r="B17" s="33">
        <v>4</v>
      </c>
      <c r="C17" s="52">
        <v>4</v>
      </c>
    </row>
    <row r="18" spans="1:4" x14ac:dyDescent="0.3">
      <c r="A18" s="50" t="s">
        <v>309</v>
      </c>
      <c r="B18" s="33">
        <v>1</v>
      </c>
      <c r="C18" s="52">
        <v>0</v>
      </c>
      <c r="D18" s="55" t="s">
        <v>1733</v>
      </c>
    </row>
    <row r="19" spans="1:4" x14ac:dyDescent="0.3">
      <c r="A19" s="50" t="s">
        <v>263</v>
      </c>
      <c r="B19" s="33">
        <v>2</v>
      </c>
      <c r="C19" s="52">
        <v>2</v>
      </c>
      <c r="D19" s="55" t="s">
        <v>1733</v>
      </c>
    </row>
    <row r="20" spans="1:4" x14ac:dyDescent="0.3">
      <c r="A20" s="50" t="s">
        <v>36</v>
      </c>
      <c r="B20" s="33">
        <v>16</v>
      </c>
      <c r="C20" s="52">
        <v>14</v>
      </c>
      <c r="D20" s="55" t="s">
        <v>1733</v>
      </c>
    </row>
    <row r="21" spans="1:4" x14ac:dyDescent="0.3">
      <c r="A21" s="50" t="s">
        <v>111</v>
      </c>
      <c r="B21" s="33">
        <v>2</v>
      </c>
      <c r="C21" s="52">
        <v>2</v>
      </c>
      <c r="D21" s="55" t="s">
        <v>1733</v>
      </c>
    </row>
    <row r="22" spans="1:4" x14ac:dyDescent="0.3">
      <c r="A22" s="32" t="s">
        <v>133</v>
      </c>
      <c r="B22" s="33">
        <v>44</v>
      </c>
      <c r="C22" s="53">
        <f>SUM(C23:C29)</f>
        <v>44</v>
      </c>
    </row>
    <row r="23" spans="1:4" x14ac:dyDescent="0.3">
      <c r="A23" s="50" t="s">
        <v>64</v>
      </c>
      <c r="B23" s="33">
        <v>5</v>
      </c>
      <c r="C23" s="52">
        <v>5</v>
      </c>
      <c r="D23" s="55" t="s">
        <v>1733</v>
      </c>
    </row>
    <row r="24" spans="1:4" x14ac:dyDescent="0.3">
      <c r="A24" s="50" t="s">
        <v>385</v>
      </c>
      <c r="B24" s="33">
        <v>7</v>
      </c>
      <c r="C24" s="52">
        <v>7</v>
      </c>
    </row>
    <row r="25" spans="1:4" x14ac:dyDescent="0.3">
      <c r="A25" s="50" t="s">
        <v>535</v>
      </c>
      <c r="B25" s="33">
        <v>3</v>
      </c>
      <c r="C25" s="52">
        <v>3</v>
      </c>
    </row>
    <row r="26" spans="1:4" x14ac:dyDescent="0.3">
      <c r="A26" s="50" t="s">
        <v>309</v>
      </c>
      <c r="B26" s="33">
        <v>4</v>
      </c>
      <c r="C26" s="52">
        <v>4</v>
      </c>
    </row>
    <row r="27" spans="1:4" x14ac:dyDescent="0.3">
      <c r="A27" s="50" t="s">
        <v>263</v>
      </c>
      <c r="B27" s="33">
        <v>1</v>
      </c>
      <c r="C27" s="52">
        <v>1</v>
      </c>
    </row>
    <row r="28" spans="1:4" x14ac:dyDescent="0.3">
      <c r="A28" s="50" t="s">
        <v>36</v>
      </c>
      <c r="B28" s="33">
        <v>16</v>
      </c>
      <c r="C28" s="52">
        <v>16</v>
      </c>
      <c r="D28" t="s">
        <v>1733</v>
      </c>
    </row>
    <row r="29" spans="1:4" x14ac:dyDescent="0.3">
      <c r="A29" s="50" t="s">
        <v>111</v>
      </c>
      <c r="B29" s="33">
        <v>8</v>
      </c>
      <c r="C29" s="53">
        <v>8</v>
      </c>
    </row>
    <row r="30" spans="1:4" x14ac:dyDescent="0.3">
      <c r="A30" s="32" t="s">
        <v>1035</v>
      </c>
      <c r="B30" s="33">
        <v>127</v>
      </c>
      <c r="C30" s="51">
        <f>+C4+C11+C15+C22</f>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40258-79EC-4B6B-9344-9FB50696C2EB}">
  <dimension ref="A1:AK128"/>
  <sheetViews>
    <sheetView tabSelected="1" zoomScale="70" zoomScaleNormal="70" workbookViewId="0">
      <pane ySplit="1" topLeftCell="A36" activePane="bottomLeft" state="frozen"/>
      <selection pane="bottomLeft" activeCell="F1" sqref="F1"/>
    </sheetView>
  </sheetViews>
  <sheetFormatPr baseColWidth="10" defaultRowHeight="14.4" x14ac:dyDescent="0.3"/>
  <cols>
    <col min="3" max="3" width="8.88671875" bestFit="1" customWidth="1"/>
    <col min="5" max="5" width="17.109375" customWidth="1"/>
    <col min="6" max="6" width="24.5546875" customWidth="1"/>
    <col min="8" max="8" width="32" customWidth="1"/>
    <col min="9" max="9" width="59.77734375" customWidth="1"/>
    <col min="10" max="10" width="20" customWidth="1"/>
    <col min="11" max="11" width="18.109375" customWidth="1"/>
    <col min="12" max="12" width="23.44140625" customWidth="1"/>
    <col min="13" max="13" width="8.88671875" customWidth="1"/>
    <col min="14" max="14" width="12.44140625" customWidth="1"/>
    <col min="15" max="15" width="27.88671875" customWidth="1"/>
    <col min="16" max="16" width="10.109375" customWidth="1"/>
    <col min="17" max="17" width="86.88671875" bestFit="1" customWidth="1"/>
    <col min="18" max="18" width="11.33203125" bestFit="1" customWidth="1"/>
    <col min="19" max="19" width="20.6640625" customWidth="1"/>
    <col min="20" max="20" width="22.88671875" customWidth="1"/>
    <col min="21" max="21" width="28.21875" bestFit="1" customWidth="1"/>
    <col min="22" max="22" width="23.44140625" customWidth="1"/>
    <col min="23" max="23" width="25.6640625" customWidth="1"/>
    <col min="24" max="24" width="26.33203125" customWidth="1"/>
    <col min="25" max="25" width="36.33203125" customWidth="1"/>
    <col min="26" max="26" width="26.33203125" customWidth="1"/>
    <col min="27" max="27" width="37.33203125" bestFit="1" customWidth="1"/>
    <col min="28" max="28" width="23" bestFit="1" customWidth="1"/>
    <col min="29" max="29" width="35.5546875" customWidth="1"/>
    <col min="30" max="30" width="33.77734375" bestFit="1" customWidth="1"/>
    <col min="31" max="31" width="19.88671875" customWidth="1"/>
    <col min="32" max="32" width="20.6640625" customWidth="1"/>
    <col min="33" max="33" width="30.44140625" customWidth="1"/>
    <col min="34" max="34" width="30" customWidth="1"/>
    <col min="35" max="35" width="31.44140625" customWidth="1"/>
    <col min="36" max="36" width="21.6640625" customWidth="1"/>
    <col min="37" max="37" width="12.21875" customWidth="1"/>
    <col min="38" max="38" width="6.44140625" customWidth="1"/>
  </cols>
  <sheetData>
    <row r="1" spans="1:37" ht="37.200000000000003" customHeight="1" x14ac:dyDescent="0.3">
      <c r="A1" t="s">
        <v>1887</v>
      </c>
      <c r="B1" s="28" t="s">
        <v>1747</v>
      </c>
      <c r="C1" t="s">
        <v>1746</v>
      </c>
      <c r="D1" s="28" t="s">
        <v>1745</v>
      </c>
      <c r="E1" s="28" t="s">
        <v>0</v>
      </c>
      <c r="F1" s="29" t="s">
        <v>1</v>
      </c>
      <c r="G1" s="28" t="s">
        <v>2</v>
      </c>
      <c r="H1" s="28" t="s">
        <v>3</v>
      </c>
      <c r="I1" s="28" t="s">
        <v>4</v>
      </c>
      <c r="J1" s="28" t="s">
        <v>5</v>
      </c>
      <c r="K1" s="28" t="s">
        <v>6</v>
      </c>
      <c r="L1" s="28" t="s">
        <v>7</v>
      </c>
      <c r="M1" s="28" t="s">
        <v>8</v>
      </c>
      <c r="N1" s="28" t="s">
        <v>9</v>
      </c>
      <c r="O1" s="28" t="s">
        <v>10</v>
      </c>
      <c r="P1" s="28" t="s">
        <v>11</v>
      </c>
      <c r="Q1" s="28" t="s">
        <v>12</v>
      </c>
      <c r="R1" s="28" t="s">
        <v>13</v>
      </c>
      <c r="S1" s="28" t="s">
        <v>14</v>
      </c>
      <c r="T1" s="28" t="s">
        <v>15</v>
      </c>
      <c r="U1" s="28" t="s">
        <v>16</v>
      </c>
      <c r="V1" s="28" t="s">
        <v>17</v>
      </c>
      <c r="W1" s="28" t="s">
        <v>18</v>
      </c>
      <c r="X1" s="28" t="s">
        <v>19</v>
      </c>
      <c r="Y1" s="28" t="s">
        <v>20</v>
      </c>
      <c r="Z1" s="28" t="s">
        <v>21</v>
      </c>
      <c r="AA1" s="28" t="s">
        <v>22</v>
      </c>
      <c r="AB1" s="28" t="s">
        <v>23</v>
      </c>
      <c r="AC1" s="28" t="s">
        <v>24</v>
      </c>
      <c r="AD1" s="28" t="s">
        <v>25</v>
      </c>
      <c r="AE1" s="28" t="s">
        <v>26</v>
      </c>
      <c r="AF1" s="28" t="s">
        <v>27</v>
      </c>
      <c r="AG1" s="28" t="s">
        <v>28</v>
      </c>
      <c r="AH1" s="28" t="s">
        <v>29</v>
      </c>
      <c r="AI1" s="30" t="s">
        <v>30</v>
      </c>
      <c r="AJ1" s="28" t="s">
        <v>31</v>
      </c>
      <c r="AK1" s="28" t="s">
        <v>1743</v>
      </c>
    </row>
    <row r="2" spans="1:37" ht="115.2" x14ac:dyDescent="0.3">
      <c r="B2" s="1">
        <f t="shared" ref="B2" si="0">MAX($C$2:$C$128)</f>
        <v>190</v>
      </c>
      <c r="C2" cm="1">
        <f t="array" ref="C2">IFERROR(MAX(--_xlfn.TEXTSPLIT(D2,";")),0)</f>
        <v>190</v>
      </c>
      <c r="D2" s="89">
        <v>190</v>
      </c>
      <c r="E2" s="1" t="s">
        <v>381</v>
      </c>
      <c r="F2" s="1" t="s">
        <v>382</v>
      </c>
      <c r="G2" s="1">
        <v>1</v>
      </c>
      <c r="H2" s="1" t="s">
        <v>383</v>
      </c>
      <c r="I2" s="1" t="s">
        <v>384</v>
      </c>
      <c r="J2" s="1" t="s">
        <v>385</v>
      </c>
      <c r="K2" s="1" t="s">
        <v>112</v>
      </c>
      <c r="L2" s="1" t="s">
        <v>38</v>
      </c>
      <c r="M2" s="1" t="s">
        <v>39</v>
      </c>
      <c r="N2" s="2" t="s">
        <v>40</v>
      </c>
      <c r="O2" s="3">
        <v>800000</v>
      </c>
      <c r="P2" s="3" t="s">
        <v>41</v>
      </c>
      <c r="Q2" s="1" t="s">
        <v>386</v>
      </c>
      <c r="R2" s="1" t="s">
        <v>43</v>
      </c>
      <c r="S2" s="3" t="s">
        <v>123</v>
      </c>
      <c r="T2" s="3" t="s">
        <v>200</v>
      </c>
      <c r="U2" s="2">
        <v>37773</v>
      </c>
      <c r="V2" s="2">
        <v>37986</v>
      </c>
      <c r="W2" s="2">
        <v>38013</v>
      </c>
      <c r="X2" s="2">
        <v>38072</v>
      </c>
      <c r="Y2" s="2">
        <v>38120</v>
      </c>
      <c r="Z2" s="3" t="s">
        <v>387</v>
      </c>
      <c r="AA2" s="3" t="s">
        <v>388</v>
      </c>
      <c r="AB2" s="3" t="s">
        <v>389</v>
      </c>
      <c r="AC2" s="2">
        <v>38120</v>
      </c>
      <c r="AD2" s="2">
        <v>39079</v>
      </c>
      <c r="AE2" s="2" t="s">
        <v>49</v>
      </c>
      <c r="AF2" s="2" t="s">
        <v>50</v>
      </c>
      <c r="AG2" s="2">
        <v>39228</v>
      </c>
      <c r="AH2" s="2">
        <v>39470</v>
      </c>
      <c r="AI2" s="5">
        <v>294554.44999999995</v>
      </c>
      <c r="AJ2" s="6">
        <v>0</v>
      </c>
      <c r="AK2" s="69" t="str">
        <f t="shared" ref="AK2" si="1">MID(E2,5,LEN(E2)-4)</f>
        <v>EIMQ1</v>
      </c>
    </row>
    <row r="3" spans="1:37" ht="118.95" customHeight="1" x14ac:dyDescent="0.3">
      <c r="B3" s="1">
        <f t="shared" ref="B3:B34" si="2">MAX($C$2:$C$128)</f>
        <v>190</v>
      </c>
      <c r="C3" cm="1">
        <f t="array" ref="C3">IFERROR(MAX(--_xlfn.TEXTSPLIT(D3,";")),0)</f>
        <v>188</v>
      </c>
      <c r="D3" s="1">
        <v>188</v>
      </c>
      <c r="E3" s="1" t="s">
        <v>365</v>
      </c>
      <c r="F3" s="1" t="s">
        <v>366</v>
      </c>
      <c r="G3" s="1">
        <v>1</v>
      </c>
      <c r="H3" s="1" t="s">
        <v>367</v>
      </c>
      <c r="I3" s="1" t="s">
        <v>1982</v>
      </c>
      <c r="J3" s="1" t="s">
        <v>36</v>
      </c>
      <c r="K3" s="1" t="s">
        <v>75</v>
      </c>
      <c r="L3" s="1" t="s">
        <v>38</v>
      </c>
      <c r="M3" s="1" t="s">
        <v>39</v>
      </c>
      <c r="N3" s="2" t="s">
        <v>40</v>
      </c>
      <c r="O3" s="3">
        <v>14150000</v>
      </c>
      <c r="P3" s="3" t="s">
        <v>41</v>
      </c>
      <c r="Q3" s="1" t="s">
        <v>264</v>
      </c>
      <c r="R3" s="1" t="s">
        <v>43</v>
      </c>
      <c r="S3" s="3" t="s">
        <v>123</v>
      </c>
      <c r="T3" s="3" t="s">
        <v>368</v>
      </c>
      <c r="U3" s="2">
        <v>37291</v>
      </c>
      <c r="V3" s="2">
        <v>38343</v>
      </c>
      <c r="W3" s="2">
        <v>38366</v>
      </c>
      <c r="X3" s="2">
        <v>38469</v>
      </c>
      <c r="Y3" s="2">
        <v>38548</v>
      </c>
      <c r="Z3" s="3" t="s">
        <v>369</v>
      </c>
      <c r="AA3" s="3" t="s">
        <v>370</v>
      </c>
      <c r="AB3" s="3" t="s">
        <v>371</v>
      </c>
      <c r="AC3" s="2">
        <v>38548</v>
      </c>
      <c r="AD3" s="2">
        <v>39106</v>
      </c>
      <c r="AE3" s="2" t="s">
        <v>49</v>
      </c>
      <c r="AF3" s="2" t="s">
        <v>269</v>
      </c>
      <c r="AG3" s="2" t="s">
        <v>269</v>
      </c>
      <c r="AH3" s="2" t="s">
        <v>269</v>
      </c>
      <c r="AI3" s="5">
        <v>344061.75</v>
      </c>
      <c r="AJ3" s="6">
        <v>0</v>
      </c>
      <c r="AK3" s="69" t="str">
        <f t="shared" ref="AK3:AK34" si="3">MID(E3,5,LEN(E3)-4)</f>
        <v>PBCH1</v>
      </c>
    </row>
    <row r="4" spans="1:37" ht="130.19999999999999" customHeight="1" x14ac:dyDescent="0.3">
      <c r="B4" s="1">
        <f t="shared" si="2"/>
        <v>190</v>
      </c>
      <c r="C4" cm="1">
        <f t="array" ref="C4">IFERROR(MAX(--_xlfn.TEXTSPLIT(D4,";")),0)</f>
        <v>187</v>
      </c>
      <c r="D4" t="s">
        <v>1751</v>
      </c>
      <c r="E4" s="56" t="s">
        <v>1749</v>
      </c>
      <c r="F4" s="60" t="s">
        <v>1734</v>
      </c>
      <c r="G4" s="57">
        <v>1</v>
      </c>
      <c r="H4" s="72" t="s">
        <v>1748</v>
      </c>
      <c r="I4" s="1" t="s">
        <v>1983</v>
      </c>
      <c r="J4" s="57" t="s">
        <v>263</v>
      </c>
      <c r="K4" s="57" t="s">
        <v>175</v>
      </c>
      <c r="L4" s="57"/>
      <c r="M4" s="57"/>
      <c r="N4" s="58"/>
      <c r="O4" s="59"/>
      <c r="P4" s="57"/>
      <c r="Q4" s="57"/>
      <c r="R4" s="57" t="s">
        <v>693</v>
      </c>
      <c r="S4" s="57"/>
      <c r="T4" s="57"/>
      <c r="U4" s="58">
        <v>45657</v>
      </c>
      <c r="V4" s="58">
        <v>45944</v>
      </c>
      <c r="W4" s="2"/>
      <c r="X4" s="58">
        <v>46112</v>
      </c>
      <c r="Y4" s="58"/>
      <c r="Z4" s="57"/>
      <c r="AA4" s="3" t="s">
        <v>1984</v>
      </c>
      <c r="AB4" s="57"/>
      <c r="AC4" s="58">
        <v>46123</v>
      </c>
      <c r="AD4" s="58"/>
      <c r="AE4" s="57"/>
      <c r="AF4" s="57"/>
      <c r="AG4" s="2" t="s">
        <v>697</v>
      </c>
      <c r="AH4" s="57"/>
      <c r="AI4" s="22"/>
      <c r="AJ4" s="23"/>
      <c r="AK4" s="69" t="str">
        <f t="shared" si="3"/>
        <v>PDRC1</v>
      </c>
    </row>
    <row r="5" spans="1:37" ht="118.95" customHeight="1" x14ac:dyDescent="0.3">
      <c r="A5" t="s">
        <v>1889</v>
      </c>
      <c r="B5" s="1">
        <f t="shared" si="2"/>
        <v>190</v>
      </c>
      <c r="C5" cm="1">
        <f t="array" ref="C5">IFERROR(MAX(--_xlfn.TEXTSPLIT(D5,";")),0)</f>
        <v>1</v>
      </c>
      <c r="D5" t="s">
        <v>1750</v>
      </c>
      <c r="E5" s="1" t="s">
        <v>479</v>
      </c>
      <c r="F5" s="1" t="s">
        <v>480</v>
      </c>
      <c r="G5" s="1">
        <v>1</v>
      </c>
      <c r="H5" s="1" t="s">
        <v>481</v>
      </c>
      <c r="I5" s="1" t="s">
        <v>482</v>
      </c>
      <c r="J5" s="1" t="s">
        <v>36</v>
      </c>
      <c r="K5" s="1" t="s">
        <v>55</v>
      </c>
      <c r="L5" s="1" t="s">
        <v>38</v>
      </c>
      <c r="M5" s="1" t="s">
        <v>39</v>
      </c>
      <c r="N5" s="2" t="s">
        <v>40</v>
      </c>
      <c r="O5" s="3">
        <v>7700000</v>
      </c>
      <c r="P5" s="3" t="s">
        <v>41</v>
      </c>
      <c r="Q5" s="1" t="s">
        <v>483</v>
      </c>
      <c r="R5" s="1" t="s">
        <v>133</v>
      </c>
      <c r="S5" s="3" t="s">
        <v>44</v>
      </c>
      <c r="T5" s="3" t="s">
        <v>484</v>
      </c>
      <c r="U5" s="2">
        <v>39087</v>
      </c>
      <c r="V5" s="2">
        <v>39511</v>
      </c>
      <c r="W5" s="2">
        <v>39542</v>
      </c>
      <c r="X5" s="2">
        <v>39626</v>
      </c>
      <c r="Y5" s="2">
        <v>39704</v>
      </c>
      <c r="Z5" s="3" t="s">
        <v>485</v>
      </c>
      <c r="AA5" s="3" t="s">
        <v>486</v>
      </c>
      <c r="AB5" s="3" t="s">
        <v>487</v>
      </c>
      <c r="AC5" s="2">
        <v>39704</v>
      </c>
      <c r="AD5" s="2">
        <v>54313</v>
      </c>
      <c r="AE5" s="2" t="s">
        <v>106</v>
      </c>
      <c r="AF5" s="2">
        <v>40552</v>
      </c>
      <c r="AG5" s="2">
        <v>42642</v>
      </c>
      <c r="AH5" s="2">
        <v>42886</v>
      </c>
      <c r="AI5" s="8">
        <v>8391266.1999999993</v>
      </c>
      <c r="AJ5" s="6">
        <v>1</v>
      </c>
      <c r="AK5" s="69" t="str">
        <f t="shared" si="3"/>
        <v>160R1</v>
      </c>
    </row>
    <row r="6" spans="1:37" ht="118.95" customHeight="1" x14ac:dyDescent="0.3">
      <c r="A6" t="s">
        <v>1890</v>
      </c>
      <c r="B6" s="1">
        <f t="shared" si="2"/>
        <v>190</v>
      </c>
      <c r="C6" cm="1">
        <f t="array" ref="C6">IFERROR(MAX(--_xlfn.TEXTSPLIT(D6,";")),0)</f>
        <v>2</v>
      </c>
      <c r="D6" t="s">
        <v>1752</v>
      </c>
      <c r="E6" s="1" t="s">
        <v>674</v>
      </c>
      <c r="F6" s="1" t="s">
        <v>1847</v>
      </c>
      <c r="G6" s="1">
        <v>1</v>
      </c>
      <c r="H6" s="1" t="s">
        <v>675</v>
      </c>
      <c r="I6" s="1" t="s">
        <v>676</v>
      </c>
      <c r="J6" s="1" t="s">
        <v>111</v>
      </c>
      <c r="K6" s="1" t="s">
        <v>112</v>
      </c>
      <c r="L6" s="1" t="s">
        <v>38</v>
      </c>
      <c r="M6" s="1" t="s">
        <v>39</v>
      </c>
      <c r="N6" s="2" t="s">
        <v>40</v>
      </c>
      <c r="O6" s="3">
        <v>21900000</v>
      </c>
      <c r="P6" s="3" t="s">
        <v>41</v>
      </c>
      <c r="Q6" s="1" t="s">
        <v>677</v>
      </c>
      <c r="R6" s="1" t="s">
        <v>133</v>
      </c>
      <c r="S6" s="3" t="s">
        <v>123</v>
      </c>
      <c r="T6" s="3" t="s">
        <v>484</v>
      </c>
      <c r="U6" s="2">
        <v>41485</v>
      </c>
      <c r="V6" s="2">
        <v>41655</v>
      </c>
      <c r="W6" s="2">
        <v>41667</v>
      </c>
      <c r="X6" s="2">
        <v>41670</v>
      </c>
      <c r="Y6" s="2">
        <v>41711</v>
      </c>
      <c r="Z6" s="3" t="s">
        <v>678</v>
      </c>
      <c r="AA6" s="3" t="s">
        <v>679</v>
      </c>
      <c r="AB6" s="3" t="s">
        <v>680</v>
      </c>
      <c r="AC6" s="2">
        <v>41711</v>
      </c>
      <c r="AD6" s="2">
        <v>58146</v>
      </c>
      <c r="AE6" s="2" t="s">
        <v>106</v>
      </c>
      <c r="AF6" s="2">
        <v>43049</v>
      </c>
      <c r="AG6" s="2">
        <v>44770</v>
      </c>
      <c r="AH6" s="2">
        <v>45075</v>
      </c>
      <c r="AI6" s="8">
        <v>28379077.100000001</v>
      </c>
      <c r="AJ6" s="6">
        <v>1</v>
      </c>
      <c r="AK6" s="69" t="str">
        <f t="shared" si="3"/>
        <v>1AVO1</v>
      </c>
    </row>
    <row r="7" spans="1:37" ht="118.95" customHeight="1" x14ac:dyDescent="0.3">
      <c r="B7" s="1">
        <f t="shared" si="2"/>
        <v>190</v>
      </c>
      <c r="C7" cm="1">
        <f t="array" ref="C7">IFERROR(MAX(--_xlfn.TEXTSPLIT(D7,";")),0)</f>
        <v>185</v>
      </c>
      <c r="D7" t="s">
        <v>1823</v>
      </c>
      <c r="E7" s="1" t="s">
        <v>999</v>
      </c>
      <c r="F7" s="1" t="s">
        <v>1000</v>
      </c>
      <c r="G7" s="1">
        <v>1</v>
      </c>
      <c r="H7" s="1" t="s">
        <v>1001</v>
      </c>
      <c r="I7" s="1" t="s">
        <v>1002</v>
      </c>
      <c r="J7" s="1" t="s">
        <v>309</v>
      </c>
      <c r="K7" s="1" t="s">
        <v>866</v>
      </c>
      <c r="L7" s="1" t="s">
        <v>38</v>
      </c>
      <c r="M7" s="1" t="s">
        <v>39</v>
      </c>
      <c r="N7" s="2"/>
      <c r="O7" s="26">
        <v>1400000</v>
      </c>
      <c r="P7" s="1" t="s">
        <v>41</v>
      </c>
      <c r="Q7" s="1" t="s">
        <v>1003</v>
      </c>
      <c r="R7" s="1" t="s">
        <v>133</v>
      </c>
      <c r="S7" s="3" t="s">
        <v>44</v>
      </c>
      <c r="T7" s="3" t="s">
        <v>301</v>
      </c>
      <c r="U7" s="2">
        <v>45304</v>
      </c>
      <c r="V7" s="2">
        <v>45498</v>
      </c>
      <c r="W7" s="2">
        <v>45524</v>
      </c>
      <c r="X7" s="2">
        <v>45561</v>
      </c>
      <c r="Y7" s="2">
        <v>45600</v>
      </c>
      <c r="Z7" s="1" t="s">
        <v>1004</v>
      </c>
      <c r="AA7" s="1" t="s">
        <v>1005</v>
      </c>
      <c r="AB7" s="3" t="s">
        <v>1006</v>
      </c>
      <c r="AC7" s="2">
        <v>45600</v>
      </c>
      <c r="AD7" s="2">
        <v>51703</v>
      </c>
      <c r="AE7" s="2" t="s">
        <v>106</v>
      </c>
      <c r="AF7" s="1" t="s">
        <v>269</v>
      </c>
      <c r="AG7" s="1" t="s">
        <v>269</v>
      </c>
      <c r="AH7" s="1" t="s">
        <v>269</v>
      </c>
      <c r="AI7" s="22">
        <v>1400000</v>
      </c>
      <c r="AJ7" s="23" t="s">
        <v>269</v>
      </c>
      <c r="AK7" s="69" t="str">
        <f t="shared" si="3"/>
        <v>PP4T1</v>
      </c>
    </row>
    <row r="8" spans="1:37" ht="118.95" customHeight="1" x14ac:dyDescent="0.3">
      <c r="B8" s="1">
        <f t="shared" si="2"/>
        <v>190</v>
      </c>
      <c r="C8" cm="1">
        <f t="array" ref="C8">IFERROR(MAX(--_xlfn.TEXTSPLIT(D8,";")),0)</f>
        <v>184</v>
      </c>
      <c r="D8" t="s">
        <v>1822</v>
      </c>
      <c r="E8" s="1" t="s">
        <v>372</v>
      </c>
      <c r="F8" s="1" t="s">
        <v>1875</v>
      </c>
      <c r="G8" s="1">
        <v>1</v>
      </c>
      <c r="H8" s="1" t="s">
        <v>373</v>
      </c>
      <c r="I8" s="1" t="s">
        <v>374</v>
      </c>
      <c r="J8" s="1" t="s">
        <v>309</v>
      </c>
      <c r="K8" s="1" t="s">
        <v>375</v>
      </c>
      <c r="L8" s="1" t="s">
        <v>38</v>
      </c>
      <c r="M8" s="1" t="s">
        <v>39</v>
      </c>
      <c r="N8" s="2" t="s">
        <v>40</v>
      </c>
      <c r="O8" s="3">
        <v>2750000</v>
      </c>
      <c r="P8" s="3" t="s">
        <v>41</v>
      </c>
      <c r="Q8" s="1" t="s">
        <v>376</v>
      </c>
      <c r="R8" s="1" t="s">
        <v>133</v>
      </c>
      <c r="S8" s="3" t="s">
        <v>123</v>
      </c>
      <c r="T8" s="3" t="s">
        <v>312</v>
      </c>
      <c r="U8" s="2">
        <v>37632</v>
      </c>
      <c r="V8" s="2">
        <v>37973</v>
      </c>
      <c r="W8" s="2">
        <v>37985</v>
      </c>
      <c r="X8" s="2">
        <v>38023</v>
      </c>
      <c r="Y8" s="2">
        <v>38079</v>
      </c>
      <c r="Z8" s="3" t="s">
        <v>377</v>
      </c>
      <c r="AA8" s="3" t="s">
        <v>378</v>
      </c>
      <c r="AB8" s="3" t="s">
        <v>379</v>
      </c>
      <c r="AC8" s="2">
        <v>38079</v>
      </c>
      <c r="AD8" s="2">
        <v>46699</v>
      </c>
      <c r="AE8" s="2" t="s">
        <v>49</v>
      </c>
      <c r="AF8" s="2" t="s">
        <v>50</v>
      </c>
      <c r="AG8" s="2" t="s">
        <v>380</v>
      </c>
      <c r="AH8" s="2">
        <v>39394</v>
      </c>
      <c r="AI8" s="5">
        <v>4410508.8400000008</v>
      </c>
      <c r="AJ8" s="6">
        <v>1</v>
      </c>
      <c r="AK8" s="69" t="str">
        <f t="shared" si="3"/>
        <v>PP3G1</v>
      </c>
    </row>
    <row r="9" spans="1:37" ht="118.95" customHeight="1" x14ac:dyDescent="0.3">
      <c r="A9" t="s">
        <v>1891</v>
      </c>
      <c r="B9" s="1">
        <f t="shared" si="2"/>
        <v>190</v>
      </c>
      <c r="C9" cm="1">
        <f t="array" ref="C9">IFERROR(MAX(--_xlfn.TEXTSPLIT(D9,";")),0)</f>
        <v>6</v>
      </c>
      <c r="D9" t="s">
        <v>1755</v>
      </c>
      <c r="E9" s="1" t="s">
        <v>615</v>
      </c>
      <c r="F9" s="1" t="s">
        <v>1850</v>
      </c>
      <c r="G9" s="1">
        <v>1</v>
      </c>
      <c r="H9" s="1" t="s">
        <v>616</v>
      </c>
      <c r="I9" s="1" t="s">
        <v>617</v>
      </c>
      <c r="J9" s="1" t="s">
        <v>36</v>
      </c>
      <c r="K9" s="1" t="s">
        <v>175</v>
      </c>
      <c r="L9" s="1" t="s">
        <v>38</v>
      </c>
      <c r="M9" s="1" t="s">
        <v>39</v>
      </c>
      <c r="N9" s="2" t="s">
        <v>40</v>
      </c>
      <c r="O9" s="3">
        <v>5100000</v>
      </c>
      <c r="P9" s="3" t="s">
        <v>41</v>
      </c>
      <c r="Q9" s="1" t="s">
        <v>618</v>
      </c>
      <c r="R9" s="1" t="s">
        <v>133</v>
      </c>
      <c r="S9" s="3" t="s">
        <v>123</v>
      </c>
      <c r="T9" s="3" t="s">
        <v>484</v>
      </c>
      <c r="U9" s="2">
        <v>40858</v>
      </c>
      <c r="V9" s="2">
        <v>41201</v>
      </c>
      <c r="W9" s="2">
        <v>41208</v>
      </c>
      <c r="X9" s="2">
        <v>41339</v>
      </c>
      <c r="Y9" s="2">
        <v>41425</v>
      </c>
      <c r="Z9" s="3" t="s">
        <v>619</v>
      </c>
      <c r="AA9" s="3" t="s">
        <v>620</v>
      </c>
      <c r="AB9" s="3" t="s">
        <v>621</v>
      </c>
      <c r="AC9" s="2">
        <v>41425</v>
      </c>
      <c r="AD9" s="2">
        <v>59687</v>
      </c>
      <c r="AE9" s="2" t="s">
        <v>106</v>
      </c>
      <c r="AF9" s="2">
        <v>41844</v>
      </c>
      <c r="AG9" s="2">
        <v>43289</v>
      </c>
      <c r="AH9" s="2">
        <v>43469</v>
      </c>
      <c r="AI9" s="8">
        <v>5612046.0600000005</v>
      </c>
      <c r="AJ9" s="6">
        <v>1</v>
      </c>
      <c r="AK9" s="69" t="str">
        <f t="shared" si="3"/>
        <v>43RU1</v>
      </c>
    </row>
    <row r="10" spans="1:37" ht="118.95" customHeight="1" x14ac:dyDescent="0.3">
      <c r="A10" t="s">
        <v>1892</v>
      </c>
      <c r="B10" s="1">
        <f t="shared" si="2"/>
        <v>190</v>
      </c>
      <c r="C10" cm="1">
        <f t="array" ref="C10">IFERROR(MAX(--_xlfn.TEXTSPLIT(D10,";")),0)</f>
        <v>181</v>
      </c>
      <c r="D10" t="s">
        <v>1821</v>
      </c>
      <c r="E10" s="1" t="s">
        <v>349</v>
      </c>
      <c r="F10" s="1" t="s">
        <v>350</v>
      </c>
      <c r="G10" s="1">
        <v>1</v>
      </c>
      <c r="H10" s="1" t="s">
        <v>351</v>
      </c>
      <c r="I10" s="1" t="s">
        <v>352</v>
      </c>
      <c r="J10" s="1" t="s">
        <v>309</v>
      </c>
      <c r="K10" s="1" t="s">
        <v>353</v>
      </c>
      <c r="L10" s="1" t="s">
        <v>38</v>
      </c>
      <c r="M10" s="1" t="s">
        <v>39</v>
      </c>
      <c r="N10" s="2" t="s">
        <v>40</v>
      </c>
      <c r="O10" s="3">
        <v>1800000</v>
      </c>
      <c r="P10" s="3" t="s">
        <v>41</v>
      </c>
      <c r="Q10" s="1" t="s">
        <v>264</v>
      </c>
      <c r="R10" s="1" t="s">
        <v>43</v>
      </c>
      <c r="S10" s="3" t="s">
        <v>123</v>
      </c>
      <c r="T10" s="3" t="s">
        <v>312</v>
      </c>
      <c r="U10" s="2">
        <v>37185</v>
      </c>
      <c r="V10" s="2">
        <v>37425</v>
      </c>
      <c r="W10" s="2">
        <v>37468</v>
      </c>
      <c r="X10" s="2">
        <v>37596</v>
      </c>
      <c r="Y10" s="2">
        <v>37686</v>
      </c>
      <c r="Z10" s="3" t="s">
        <v>354</v>
      </c>
      <c r="AA10" s="3" t="s">
        <v>355</v>
      </c>
      <c r="AB10" s="3" t="s">
        <v>356</v>
      </c>
      <c r="AC10" s="2">
        <v>37686</v>
      </c>
      <c r="AD10" s="2">
        <v>38960</v>
      </c>
      <c r="AE10" s="2" t="s">
        <v>49</v>
      </c>
      <c r="AF10" s="2" t="s">
        <v>269</v>
      </c>
      <c r="AG10" s="2" t="s">
        <v>269</v>
      </c>
      <c r="AH10" s="2" t="s">
        <v>269</v>
      </c>
      <c r="AI10" s="5">
        <v>1328957.22</v>
      </c>
      <c r="AJ10" s="6">
        <v>0</v>
      </c>
      <c r="AK10" s="69" t="str">
        <f t="shared" si="3"/>
        <v>PP2G1</v>
      </c>
    </row>
    <row r="11" spans="1:37" ht="172.8" x14ac:dyDescent="0.3">
      <c r="A11" t="s">
        <v>1893</v>
      </c>
      <c r="B11" s="1">
        <f t="shared" si="2"/>
        <v>190</v>
      </c>
      <c r="C11" cm="1">
        <f t="array" ref="C11">IFERROR(MAX(--_xlfn.TEXTSPLIT(D11,";")),0)</f>
        <v>9</v>
      </c>
      <c r="D11" t="s">
        <v>1757</v>
      </c>
      <c r="E11" s="1" t="s">
        <v>333</v>
      </c>
      <c r="F11" s="1" t="s">
        <v>334</v>
      </c>
      <c r="G11" s="1">
        <v>1</v>
      </c>
      <c r="H11" s="1" t="s">
        <v>335</v>
      </c>
      <c r="I11" s="1" t="s">
        <v>336</v>
      </c>
      <c r="J11" s="1" t="s">
        <v>36</v>
      </c>
      <c r="K11" s="1" t="s">
        <v>37</v>
      </c>
      <c r="L11" s="1" t="s">
        <v>38</v>
      </c>
      <c r="M11" s="1" t="s">
        <v>39</v>
      </c>
      <c r="N11" s="2" t="s">
        <v>40</v>
      </c>
      <c r="O11" s="3">
        <v>6680000</v>
      </c>
      <c r="P11" s="3" t="s">
        <v>41</v>
      </c>
      <c r="Q11" s="1" t="s">
        <v>337</v>
      </c>
      <c r="R11" s="1" t="s">
        <v>133</v>
      </c>
      <c r="S11" s="3" t="s">
        <v>123</v>
      </c>
      <c r="T11" s="3" t="s">
        <v>248</v>
      </c>
      <c r="U11" s="2">
        <v>37141</v>
      </c>
      <c r="V11" s="2">
        <v>37286</v>
      </c>
      <c r="W11" s="2">
        <v>37327</v>
      </c>
      <c r="X11" s="2">
        <v>37551</v>
      </c>
      <c r="Y11" s="2">
        <v>37648</v>
      </c>
      <c r="Z11" s="3" t="s">
        <v>338</v>
      </c>
      <c r="AA11" s="3" t="s">
        <v>339</v>
      </c>
      <c r="AB11" s="3" t="s">
        <v>340</v>
      </c>
      <c r="AC11" s="2">
        <v>37648</v>
      </c>
      <c r="AD11" s="2">
        <v>49877</v>
      </c>
      <c r="AE11" s="2" t="s">
        <v>49</v>
      </c>
      <c r="AF11" s="2">
        <v>38379</v>
      </c>
      <c r="AG11" s="2">
        <v>43489</v>
      </c>
      <c r="AH11" s="2">
        <v>43685</v>
      </c>
      <c r="AI11" s="8">
        <v>12335209.380517498</v>
      </c>
      <c r="AJ11" s="6">
        <v>1</v>
      </c>
      <c r="AK11" s="69" t="str">
        <f t="shared" si="3"/>
        <v>60RU1</v>
      </c>
    </row>
    <row r="12" spans="1:37" ht="118.95" customHeight="1" x14ac:dyDescent="0.3">
      <c r="B12" s="1">
        <f t="shared" si="2"/>
        <v>190</v>
      </c>
      <c r="C12" cm="1">
        <f t="array" ref="C12">IFERROR(MAX(--_xlfn.TEXTSPLIT(D12,";")),0)</f>
        <v>181</v>
      </c>
      <c r="D12" t="s">
        <v>1821</v>
      </c>
      <c r="E12" s="1" t="s">
        <v>569</v>
      </c>
      <c r="F12" s="1" t="s">
        <v>350</v>
      </c>
      <c r="G12" s="1">
        <v>2</v>
      </c>
      <c r="H12" s="1" t="s">
        <v>570</v>
      </c>
      <c r="I12" s="1" t="s">
        <v>571</v>
      </c>
      <c r="J12" s="1" t="s">
        <v>309</v>
      </c>
      <c r="K12" s="1" t="s">
        <v>353</v>
      </c>
      <c r="L12" s="1" t="s">
        <v>38</v>
      </c>
      <c r="M12" s="1" t="s">
        <v>39</v>
      </c>
      <c r="N12" s="2" t="s">
        <v>40</v>
      </c>
      <c r="O12" s="3">
        <v>400000</v>
      </c>
      <c r="P12" s="3" t="s">
        <v>41</v>
      </c>
      <c r="Q12" s="1" t="s">
        <v>572</v>
      </c>
      <c r="R12" s="1" t="s">
        <v>133</v>
      </c>
      <c r="S12" s="3" t="s">
        <v>123</v>
      </c>
      <c r="T12" s="3" t="s">
        <v>301</v>
      </c>
      <c r="U12" s="2">
        <v>39909</v>
      </c>
      <c r="V12" s="2">
        <v>40170</v>
      </c>
      <c r="W12" s="2">
        <v>40192</v>
      </c>
      <c r="X12" s="2">
        <v>40211</v>
      </c>
      <c r="Y12" s="2">
        <v>40285</v>
      </c>
      <c r="Z12" s="3" t="s">
        <v>573</v>
      </c>
      <c r="AA12" s="3" t="s">
        <v>574</v>
      </c>
      <c r="AB12" s="3" t="s">
        <v>575</v>
      </c>
      <c r="AC12" s="2">
        <v>40285</v>
      </c>
      <c r="AD12" s="2">
        <v>46979</v>
      </c>
      <c r="AE12" s="2" t="s">
        <v>49</v>
      </c>
      <c r="AF12" s="2" t="s">
        <v>50</v>
      </c>
      <c r="AG12" s="2" t="s">
        <v>576</v>
      </c>
      <c r="AH12" s="2">
        <v>41500</v>
      </c>
      <c r="AI12" s="12">
        <v>478814.1</v>
      </c>
      <c r="AJ12" s="6">
        <v>1</v>
      </c>
      <c r="AK12" s="69" t="str">
        <f t="shared" si="3"/>
        <v>PP2G2</v>
      </c>
    </row>
    <row r="13" spans="1:37" ht="216" x14ac:dyDescent="0.3">
      <c r="A13" t="s">
        <v>1894</v>
      </c>
      <c r="B13" s="1">
        <f t="shared" si="2"/>
        <v>190</v>
      </c>
      <c r="C13" cm="1">
        <f t="array" ref="C13">IFERROR(MAX(--_xlfn.TEXTSPLIT(D13,";")),0)</f>
        <v>162</v>
      </c>
      <c r="D13" t="s">
        <v>1839</v>
      </c>
      <c r="E13" s="45" t="s">
        <v>1017</v>
      </c>
      <c r="F13" s="57" t="s">
        <v>1883</v>
      </c>
      <c r="G13" s="1">
        <v>2</v>
      </c>
      <c r="H13" s="45" t="s">
        <v>1884</v>
      </c>
      <c r="I13" s="1" t="s">
        <v>1019</v>
      </c>
      <c r="J13" s="1" t="s">
        <v>36</v>
      </c>
      <c r="K13" s="1" t="s">
        <v>1020</v>
      </c>
      <c r="L13" s="1" t="s">
        <v>38</v>
      </c>
      <c r="M13" s="1" t="s">
        <v>39</v>
      </c>
      <c r="N13" s="2"/>
      <c r="O13" s="3">
        <v>19330000</v>
      </c>
      <c r="P13" s="1" t="s">
        <v>41</v>
      </c>
      <c r="Q13" s="1" t="s">
        <v>1021</v>
      </c>
      <c r="R13" s="1" t="s">
        <v>662</v>
      </c>
      <c r="S13" s="1" t="s">
        <v>44</v>
      </c>
      <c r="T13" s="1" t="s">
        <v>1022</v>
      </c>
      <c r="U13" s="2">
        <v>45288</v>
      </c>
      <c r="V13" s="2">
        <v>45681</v>
      </c>
      <c r="W13" s="2">
        <v>45723</v>
      </c>
      <c r="X13" s="2">
        <v>45831</v>
      </c>
      <c r="Y13" s="2">
        <v>45937</v>
      </c>
      <c r="Z13" s="1" t="s">
        <v>1023</v>
      </c>
      <c r="AA13" s="1" t="s">
        <v>1024</v>
      </c>
      <c r="AB13" s="1" t="s">
        <v>1025</v>
      </c>
      <c r="AC13" s="2">
        <v>45937</v>
      </c>
      <c r="AD13" s="2">
        <v>60912</v>
      </c>
      <c r="AE13" s="1" t="s">
        <v>106</v>
      </c>
      <c r="AF13" s="1" t="s">
        <v>855</v>
      </c>
      <c r="AG13" s="1" t="s">
        <v>697</v>
      </c>
      <c r="AH13" s="1" t="s">
        <v>697</v>
      </c>
      <c r="AI13" s="22">
        <v>19330000</v>
      </c>
      <c r="AJ13" s="23">
        <v>0</v>
      </c>
      <c r="AK13" s="69" t="str">
        <f t="shared" si="3"/>
        <v>TERB2</v>
      </c>
    </row>
    <row r="14" spans="1:37" ht="118.95" customHeight="1" x14ac:dyDescent="0.3">
      <c r="B14" s="1">
        <f t="shared" si="2"/>
        <v>190</v>
      </c>
      <c r="C14" cm="1">
        <f t="array" ref="C14">IFERROR(MAX(--_xlfn.TEXTSPLIT(D14,";")),0)</f>
        <v>160</v>
      </c>
      <c r="D14" t="s">
        <v>1838</v>
      </c>
      <c r="E14" s="1" t="s">
        <v>778</v>
      </c>
      <c r="F14" s="1" t="s">
        <v>1882</v>
      </c>
      <c r="G14" s="1">
        <v>1</v>
      </c>
      <c r="H14" s="1" t="s">
        <v>779</v>
      </c>
      <c r="I14" s="1" t="s">
        <v>780</v>
      </c>
      <c r="J14" s="1" t="s">
        <v>385</v>
      </c>
      <c r="K14" s="1" t="s">
        <v>112</v>
      </c>
      <c r="L14" s="1" t="s">
        <v>38</v>
      </c>
      <c r="M14" s="1" t="s">
        <v>66</v>
      </c>
      <c r="N14" s="2">
        <v>40865</v>
      </c>
      <c r="O14" s="3">
        <v>1948603</v>
      </c>
      <c r="P14" s="3" t="s">
        <v>41</v>
      </c>
      <c r="Q14" s="1" t="s">
        <v>781</v>
      </c>
      <c r="R14" s="1" t="s">
        <v>693</v>
      </c>
      <c r="S14" s="3" t="s">
        <v>44</v>
      </c>
      <c r="T14" s="3" t="s">
        <v>152</v>
      </c>
      <c r="U14" s="2">
        <v>42927</v>
      </c>
      <c r="V14" s="2">
        <v>43084</v>
      </c>
      <c r="W14" s="2">
        <v>43112</v>
      </c>
      <c r="X14" s="2">
        <v>43186</v>
      </c>
      <c r="Y14" s="2">
        <v>43239</v>
      </c>
      <c r="Z14" s="3" t="s">
        <v>782</v>
      </c>
      <c r="AA14" s="3" t="s">
        <v>783</v>
      </c>
      <c r="AB14" s="3" t="s">
        <v>784</v>
      </c>
      <c r="AC14" s="2">
        <v>43239</v>
      </c>
      <c r="AD14" s="2">
        <v>56593</v>
      </c>
      <c r="AE14" s="2" t="s">
        <v>106</v>
      </c>
      <c r="AF14" s="2">
        <v>45280</v>
      </c>
      <c r="AG14" s="2" t="s">
        <v>697</v>
      </c>
      <c r="AH14" s="2" t="s">
        <v>697</v>
      </c>
      <c r="AI14" s="5">
        <v>1948603</v>
      </c>
      <c r="AJ14" s="13">
        <v>0.57709999999999995</v>
      </c>
      <c r="AK14" s="69" t="str">
        <f t="shared" si="3"/>
        <v>TELB1</v>
      </c>
    </row>
    <row r="15" spans="1:37" ht="118.95" customHeight="1" x14ac:dyDescent="0.3">
      <c r="A15" t="s">
        <v>1895</v>
      </c>
      <c r="B15" s="1">
        <f t="shared" si="2"/>
        <v>190</v>
      </c>
      <c r="C15" cm="1">
        <f t="array" ref="C15">IFERROR(MAX(--_xlfn.TEXTSPLIT(D15,";")),0)</f>
        <v>13</v>
      </c>
      <c r="D15" t="s">
        <v>1760</v>
      </c>
      <c r="E15" s="1" t="s">
        <v>592</v>
      </c>
      <c r="F15" s="1" t="s">
        <v>593</v>
      </c>
      <c r="G15" s="1">
        <v>1</v>
      </c>
      <c r="H15" s="1" t="s">
        <v>594</v>
      </c>
      <c r="I15" s="1" t="s">
        <v>595</v>
      </c>
      <c r="J15" s="1" t="s">
        <v>36</v>
      </c>
      <c r="K15" s="1" t="s">
        <v>65</v>
      </c>
      <c r="L15" s="1" t="s">
        <v>38</v>
      </c>
      <c r="M15" s="1" t="s">
        <v>66</v>
      </c>
      <c r="N15" s="2" t="s">
        <v>40</v>
      </c>
      <c r="O15" s="3">
        <v>5040000</v>
      </c>
      <c r="P15" s="3" t="s">
        <v>41</v>
      </c>
      <c r="Q15" s="1" t="s">
        <v>596</v>
      </c>
      <c r="R15" s="1" t="s">
        <v>133</v>
      </c>
      <c r="S15" s="3" t="s">
        <v>44</v>
      </c>
      <c r="T15" s="3" t="s">
        <v>512</v>
      </c>
      <c r="U15" s="2">
        <v>40186</v>
      </c>
      <c r="V15" s="2">
        <v>40541</v>
      </c>
      <c r="W15" s="2">
        <v>40562</v>
      </c>
      <c r="X15" s="2">
        <v>40700</v>
      </c>
      <c r="Y15" s="2">
        <v>40789</v>
      </c>
      <c r="Z15" s="3" t="s">
        <v>597</v>
      </c>
      <c r="AA15" s="3" t="s">
        <v>598</v>
      </c>
      <c r="AB15" s="3" t="s">
        <v>599</v>
      </c>
      <c r="AC15" s="2">
        <v>40789</v>
      </c>
      <c r="AD15" s="2">
        <v>52475</v>
      </c>
      <c r="AE15" s="2" t="s">
        <v>106</v>
      </c>
      <c r="AF15" s="2" t="s">
        <v>50</v>
      </c>
      <c r="AG15" s="2">
        <v>41946</v>
      </c>
      <c r="AH15" s="2">
        <v>42731</v>
      </c>
      <c r="AI15" s="8">
        <v>4411657.9000000004</v>
      </c>
      <c r="AJ15" s="6">
        <v>1</v>
      </c>
      <c r="AK15" s="69" t="str">
        <f t="shared" si="3"/>
        <v>ACIQ1</v>
      </c>
    </row>
    <row r="16" spans="1:37" ht="118.95" customHeight="1" x14ac:dyDescent="0.3">
      <c r="A16" t="s">
        <v>1896</v>
      </c>
      <c r="B16" s="1">
        <f t="shared" si="2"/>
        <v>190</v>
      </c>
      <c r="C16" cm="1">
        <f t="array" ref="C16">IFERROR(MAX(--_xlfn.TEXTSPLIT(D16,";")),0)</f>
        <v>14</v>
      </c>
      <c r="D16" t="s">
        <v>1761</v>
      </c>
      <c r="E16" s="1" t="s">
        <v>357</v>
      </c>
      <c r="F16" s="1" t="s">
        <v>358</v>
      </c>
      <c r="G16" s="1">
        <v>1</v>
      </c>
      <c r="H16" s="1" t="s">
        <v>359</v>
      </c>
      <c r="I16" s="1" t="s">
        <v>360</v>
      </c>
      <c r="J16" s="1" t="s">
        <v>111</v>
      </c>
      <c r="K16" s="1" t="s">
        <v>112</v>
      </c>
      <c r="L16" s="1" t="s">
        <v>38</v>
      </c>
      <c r="M16" s="1" t="s">
        <v>66</v>
      </c>
      <c r="N16" s="2" t="s">
        <v>40</v>
      </c>
      <c r="O16" s="3">
        <v>5468000</v>
      </c>
      <c r="P16" s="3" t="s">
        <v>41</v>
      </c>
      <c r="Q16" s="1" t="s">
        <v>361</v>
      </c>
      <c r="R16" s="1" t="s">
        <v>133</v>
      </c>
      <c r="S16" s="3" t="s">
        <v>44</v>
      </c>
      <c r="T16" s="3" t="s">
        <v>152</v>
      </c>
      <c r="U16" s="2">
        <v>37264</v>
      </c>
      <c r="V16" s="2">
        <v>37840</v>
      </c>
      <c r="W16" s="2">
        <v>37862</v>
      </c>
      <c r="X16" s="2">
        <v>37924</v>
      </c>
      <c r="Y16" s="2">
        <v>37993</v>
      </c>
      <c r="Z16" s="3" t="s">
        <v>362</v>
      </c>
      <c r="AA16" s="3" t="s">
        <v>363</v>
      </c>
      <c r="AB16" s="3" t="s">
        <v>364</v>
      </c>
      <c r="AC16" s="2">
        <v>37993</v>
      </c>
      <c r="AD16" s="2">
        <v>52908</v>
      </c>
      <c r="AE16" s="2" t="s">
        <v>106</v>
      </c>
      <c r="AF16" s="2" t="s">
        <v>50</v>
      </c>
      <c r="AG16" s="2">
        <v>39484</v>
      </c>
      <c r="AH16" s="2">
        <v>43100</v>
      </c>
      <c r="AI16" s="8">
        <v>8769723.2791693248</v>
      </c>
      <c r="AJ16" s="6">
        <v>1</v>
      </c>
      <c r="AK16" s="69" t="str">
        <f t="shared" si="3"/>
        <v>ACNO1</v>
      </c>
    </row>
    <row r="17" spans="1:37" ht="118.95" customHeight="1" x14ac:dyDescent="0.3">
      <c r="A17" t="s">
        <v>1897</v>
      </c>
      <c r="B17" s="1">
        <f t="shared" si="2"/>
        <v>190</v>
      </c>
      <c r="C17" cm="1">
        <f t="array" ref="C17">IFERROR(MAX(--_xlfn.TEXTSPLIT(D17,";")),0)</f>
        <v>16</v>
      </c>
      <c r="D17" t="s">
        <v>1762</v>
      </c>
      <c r="E17" s="1" t="s">
        <v>80</v>
      </c>
      <c r="F17" s="57" t="s">
        <v>1846</v>
      </c>
      <c r="G17" s="1">
        <v>1</v>
      </c>
      <c r="H17" s="1" t="s">
        <v>81</v>
      </c>
      <c r="I17" s="1" t="s">
        <v>82</v>
      </c>
      <c r="J17" s="1" t="s">
        <v>36</v>
      </c>
      <c r="K17" s="1" t="s">
        <v>83</v>
      </c>
      <c r="L17" s="1" t="s">
        <v>38</v>
      </c>
      <c r="M17" s="1" t="s">
        <v>39</v>
      </c>
      <c r="N17" s="2" t="s">
        <v>40</v>
      </c>
      <c r="O17" s="3">
        <v>3403643</v>
      </c>
      <c r="P17" s="3" t="s">
        <v>41</v>
      </c>
      <c r="Q17" s="4" t="s">
        <v>84</v>
      </c>
      <c r="R17" s="1" t="s">
        <v>43</v>
      </c>
      <c r="S17" s="3" t="s">
        <v>44</v>
      </c>
      <c r="T17" s="3" t="s">
        <v>85</v>
      </c>
      <c r="U17" s="2">
        <v>34645</v>
      </c>
      <c r="V17" s="2">
        <v>34653</v>
      </c>
      <c r="W17" s="2">
        <v>34698</v>
      </c>
      <c r="X17" s="2">
        <v>34705</v>
      </c>
      <c r="Y17" s="2">
        <v>34794</v>
      </c>
      <c r="Z17" s="3" t="s">
        <v>86</v>
      </c>
      <c r="AA17" s="3" t="s">
        <v>87</v>
      </c>
      <c r="AB17" s="3" t="s">
        <v>88</v>
      </c>
      <c r="AC17" s="2">
        <v>34801</v>
      </c>
      <c r="AD17" s="2">
        <v>45747</v>
      </c>
      <c r="AE17" s="2" t="s">
        <v>49</v>
      </c>
      <c r="AF17" s="2" t="s">
        <v>50</v>
      </c>
      <c r="AG17" s="2">
        <v>35999</v>
      </c>
      <c r="AH17" s="2">
        <v>36160</v>
      </c>
      <c r="AI17" s="5">
        <v>7091175.5760826981</v>
      </c>
      <c r="AJ17" s="6">
        <v>1</v>
      </c>
      <c r="AK17" s="69" t="str">
        <f t="shared" si="3"/>
        <v>ANCO1</v>
      </c>
    </row>
    <row r="18" spans="1:37" ht="118.95" customHeight="1" x14ac:dyDescent="0.3">
      <c r="B18" s="1">
        <f t="shared" si="2"/>
        <v>190</v>
      </c>
      <c r="C18" cm="1">
        <f t="array" ref="C18">IFERROR(MAX(--_xlfn.TEXTSPLIT(D18,";")),0)</f>
        <v>159</v>
      </c>
      <c r="D18" t="s">
        <v>1837</v>
      </c>
      <c r="E18" s="1" t="s">
        <v>848</v>
      </c>
      <c r="F18" s="1" t="s">
        <v>1881</v>
      </c>
      <c r="G18" s="1">
        <v>2</v>
      </c>
      <c r="H18" s="1" t="s">
        <v>849</v>
      </c>
      <c r="I18" s="1" t="s">
        <v>850</v>
      </c>
      <c r="J18" s="1" t="s">
        <v>36</v>
      </c>
      <c r="K18" s="1" t="s">
        <v>121</v>
      </c>
      <c r="L18" s="1" t="s">
        <v>38</v>
      </c>
      <c r="M18" s="1" t="s">
        <v>39</v>
      </c>
      <c r="N18" s="2" t="s">
        <v>40</v>
      </c>
      <c r="O18" s="3">
        <v>19180000</v>
      </c>
      <c r="P18" s="3" t="s">
        <v>41</v>
      </c>
      <c r="Q18" s="1" t="s">
        <v>851</v>
      </c>
      <c r="R18" s="1" t="s">
        <v>662</v>
      </c>
      <c r="S18" s="3" t="s">
        <v>44</v>
      </c>
      <c r="T18" s="3" t="s">
        <v>152</v>
      </c>
      <c r="U18" s="2">
        <v>43757</v>
      </c>
      <c r="V18" s="2">
        <v>44134</v>
      </c>
      <c r="W18" s="2">
        <v>44162</v>
      </c>
      <c r="X18" s="2">
        <v>44203</v>
      </c>
      <c r="Y18" s="2">
        <v>44268</v>
      </c>
      <c r="Z18" s="3" t="s">
        <v>852</v>
      </c>
      <c r="AA18" s="3" t="s">
        <v>853</v>
      </c>
      <c r="AB18" s="59" t="s">
        <v>854</v>
      </c>
      <c r="AC18" s="2">
        <v>44268</v>
      </c>
      <c r="AD18" s="2">
        <v>55956</v>
      </c>
      <c r="AE18" s="2" t="s">
        <v>106</v>
      </c>
      <c r="AF18" s="2" t="s">
        <v>855</v>
      </c>
      <c r="AG18" s="2" t="s">
        <v>697</v>
      </c>
      <c r="AH18" s="2" t="s">
        <v>697</v>
      </c>
      <c r="AI18" s="5">
        <v>19180000</v>
      </c>
      <c r="AJ18" s="6">
        <v>0</v>
      </c>
      <c r="AK18" s="69" t="str">
        <f t="shared" si="3"/>
        <v>TACH2</v>
      </c>
    </row>
    <row r="19" spans="1:37" ht="118.95" customHeight="1" x14ac:dyDescent="0.3">
      <c r="B19" s="1">
        <f t="shared" si="2"/>
        <v>190</v>
      </c>
      <c r="C19" cm="1">
        <f t="array" ref="C19">IFERROR(MAX(--_xlfn.TEXTSPLIT(D19,";")),0)</f>
        <v>17</v>
      </c>
      <c r="D19" t="s">
        <v>1763</v>
      </c>
      <c r="E19" s="1" t="s">
        <v>706</v>
      </c>
      <c r="F19" s="1" t="s">
        <v>205</v>
      </c>
      <c r="G19" s="1">
        <v>2</v>
      </c>
      <c r="H19" s="1" t="s">
        <v>707</v>
      </c>
      <c r="I19" s="1" t="s">
        <v>708</v>
      </c>
      <c r="J19" s="1" t="s">
        <v>64</v>
      </c>
      <c r="K19" s="1" t="s">
        <v>112</v>
      </c>
      <c r="L19" s="1" t="s">
        <v>38</v>
      </c>
      <c r="M19" s="1" t="s">
        <v>39</v>
      </c>
      <c r="N19" s="2" t="s">
        <v>40</v>
      </c>
      <c r="O19" s="3">
        <v>14980000</v>
      </c>
      <c r="P19" s="3" t="s">
        <v>41</v>
      </c>
      <c r="Q19" s="1" t="s">
        <v>709</v>
      </c>
      <c r="R19" s="1" t="s">
        <v>133</v>
      </c>
      <c r="S19" s="3" t="s">
        <v>123</v>
      </c>
      <c r="T19" s="3" t="s">
        <v>710</v>
      </c>
      <c r="U19" s="2">
        <v>41810</v>
      </c>
      <c r="V19" s="2">
        <v>42003</v>
      </c>
      <c r="W19" s="2">
        <v>42039</v>
      </c>
      <c r="X19" s="2">
        <v>42075</v>
      </c>
      <c r="Y19" s="2">
        <v>42115</v>
      </c>
      <c r="Z19" s="3" t="s">
        <v>711</v>
      </c>
      <c r="AA19" s="3" t="s">
        <v>712</v>
      </c>
      <c r="AB19" s="3" t="s">
        <v>713</v>
      </c>
      <c r="AC19" s="2">
        <v>42115</v>
      </c>
      <c r="AD19" s="2">
        <v>49583</v>
      </c>
      <c r="AE19" s="2" t="s">
        <v>49</v>
      </c>
      <c r="AF19" s="2">
        <v>42678</v>
      </c>
      <c r="AG19" s="2">
        <v>46021</v>
      </c>
      <c r="AH19" s="2" t="s">
        <v>531</v>
      </c>
      <c r="AI19" s="14">
        <v>28944329.199999999</v>
      </c>
      <c r="AJ19" s="15">
        <v>0.99839999999999995</v>
      </c>
      <c r="AK19" s="69" t="str">
        <f t="shared" si="3"/>
        <v>AAMB2</v>
      </c>
    </row>
    <row r="20" spans="1:37" ht="244.2" customHeight="1" x14ac:dyDescent="0.3">
      <c r="A20" t="s">
        <v>1899</v>
      </c>
      <c r="B20" s="1">
        <f t="shared" si="2"/>
        <v>190</v>
      </c>
      <c r="C20" cm="1">
        <f t="array" ref="C20">IFERROR(MAX(--_xlfn.TEXTSPLIT(D20,";")),0)</f>
        <v>18</v>
      </c>
      <c r="D20" t="s">
        <v>1764</v>
      </c>
      <c r="E20" s="1" t="s">
        <v>398</v>
      </c>
      <c r="F20" s="1" t="s">
        <v>1845</v>
      </c>
      <c r="G20" s="1">
        <v>1</v>
      </c>
      <c r="H20" s="1" t="s">
        <v>399</v>
      </c>
      <c r="I20" s="1" t="s">
        <v>400</v>
      </c>
      <c r="J20" s="1" t="s">
        <v>64</v>
      </c>
      <c r="K20" s="1" t="s">
        <v>401</v>
      </c>
      <c r="L20" s="1" t="s">
        <v>38</v>
      </c>
      <c r="M20" s="1" t="s">
        <v>39</v>
      </c>
      <c r="N20" s="2" t="s">
        <v>40</v>
      </c>
      <c r="O20" s="3">
        <v>327809</v>
      </c>
      <c r="P20" s="3" t="s">
        <v>41</v>
      </c>
      <c r="Q20" s="1" t="s">
        <v>402</v>
      </c>
      <c r="R20" s="1" t="s">
        <v>43</v>
      </c>
      <c r="S20" s="3" t="s">
        <v>123</v>
      </c>
      <c r="T20" s="3" t="s">
        <v>114</v>
      </c>
      <c r="U20" s="2">
        <v>37801</v>
      </c>
      <c r="V20" s="2">
        <v>37938</v>
      </c>
      <c r="W20" s="2">
        <v>37971</v>
      </c>
      <c r="X20" s="2">
        <v>38023</v>
      </c>
      <c r="Y20" s="2">
        <v>38096</v>
      </c>
      <c r="Z20" s="3" t="s">
        <v>403</v>
      </c>
      <c r="AA20" s="3" t="s">
        <v>404</v>
      </c>
      <c r="AB20" s="3" t="s">
        <v>405</v>
      </c>
      <c r="AC20" s="2">
        <v>38096</v>
      </c>
      <c r="AD20" s="2">
        <v>43573</v>
      </c>
      <c r="AE20" s="2" t="s">
        <v>49</v>
      </c>
      <c r="AF20" s="2" t="s">
        <v>50</v>
      </c>
      <c r="AG20" s="2">
        <v>38936</v>
      </c>
      <c r="AH20" s="2">
        <v>39118</v>
      </c>
      <c r="AI20" s="5">
        <v>471611.79000000004</v>
      </c>
      <c r="AJ20" s="6">
        <v>1</v>
      </c>
      <c r="AK20" s="69" t="str">
        <f t="shared" si="3"/>
        <v>ACHA1</v>
      </c>
    </row>
    <row r="21" spans="1:37" ht="118.95" customHeight="1" x14ac:dyDescent="0.3">
      <c r="A21" t="s">
        <v>1898</v>
      </c>
      <c r="B21" s="1">
        <f t="shared" si="2"/>
        <v>190</v>
      </c>
      <c r="C21" cm="1">
        <f t="array" ref="C21">IFERROR(MAX(--_xlfn.TEXTSPLIT(D21,";")),0)</f>
        <v>147</v>
      </c>
      <c r="D21" t="s">
        <v>1832</v>
      </c>
      <c r="E21" s="1" t="s">
        <v>895</v>
      </c>
      <c r="F21" s="57" t="s">
        <v>1739</v>
      </c>
      <c r="G21" s="1">
        <v>2</v>
      </c>
      <c r="H21" s="1" t="s">
        <v>896</v>
      </c>
      <c r="I21" s="1" t="s">
        <v>897</v>
      </c>
      <c r="J21" s="1" t="s">
        <v>36</v>
      </c>
      <c r="K21" s="1" t="s">
        <v>92</v>
      </c>
      <c r="L21" s="1" t="s">
        <v>38</v>
      </c>
      <c r="M21" s="1" t="s">
        <v>39</v>
      </c>
      <c r="N21" s="2" t="s">
        <v>40</v>
      </c>
      <c r="O21" s="3">
        <v>21287000</v>
      </c>
      <c r="P21" s="3" t="s">
        <v>41</v>
      </c>
      <c r="Q21" s="1" t="s">
        <v>898</v>
      </c>
      <c r="R21" s="1" t="s">
        <v>662</v>
      </c>
      <c r="S21" s="3" t="s">
        <v>44</v>
      </c>
      <c r="T21" s="3" t="s">
        <v>152</v>
      </c>
      <c r="U21" s="2">
        <v>44261</v>
      </c>
      <c r="V21" s="2">
        <v>44498</v>
      </c>
      <c r="W21" s="2">
        <v>44526</v>
      </c>
      <c r="X21" s="2">
        <v>44605</v>
      </c>
      <c r="Y21" s="2">
        <v>44631</v>
      </c>
      <c r="Z21" s="3" t="s">
        <v>899</v>
      </c>
      <c r="AA21" s="59" t="s">
        <v>900</v>
      </c>
      <c r="AB21" s="3" t="s">
        <v>901</v>
      </c>
      <c r="AC21" s="2">
        <v>44631</v>
      </c>
      <c r="AD21" s="2">
        <v>56319</v>
      </c>
      <c r="AE21" s="2" t="s">
        <v>106</v>
      </c>
      <c r="AF21" s="2">
        <v>45931</v>
      </c>
      <c r="AG21" s="2" t="s">
        <v>697</v>
      </c>
      <c r="AH21" s="2" t="s">
        <v>697</v>
      </c>
      <c r="AI21" s="5">
        <v>21287000</v>
      </c>
      <c r="AJ21" s="6">
        <v>0</v>
      </c>
      <c r="AK21" s="69" t="str">
        <f t="shared" si="3"/>
        <v>SASA2</v>
      </c>
    </row>
    <row r="22" spans="1:37" ht="118.95" customHeight="1" x14ac:dyDescent="0.3">
      <c r="B22" s="1">
        <f t="shared" si="2"/>
        <v>190</v>
      </c>
      <c r="C22" cm="1">
        <f t="array" ref="C22">IFERROR(MAX(--_xlfn.TEXTSPLIT(D22,";")),0)</f>
        <v>19</v>
      </c>
      <c r="D22" t="s">
        <v>1765</v>
      </c>
      <c r="E22" s="1" t="s">
        <v>252</v>
      </c>
      <c r="F22" s="1" t="s">
        <v>562</v>
      </c>
      <c r="G22" s="1">
        <v>1</v>
      </c>
      <c r="H22" s="1" t="s">
        <v>253</v>
      </c>
      <c r="I22" s="1" t="s">
        <v>254</v>
      </c>
      <c r="J22" s="1" t="s">
        <v>64</v>
      </c>
      <c r="K22" s="1" t="s">
        <v>255</v>
      </c>
      <c r="L22" s="1" t="s">
        <v>38</v>
      </c>
      <c r="M22" s="1" t="s">
        <v>39</v>
      </c>
      <c r="N22" s="2" t="s">
        <v>40</v>
      </c>
      <c r="O22" s="3">
        <v>320573</v>
      </c>
      <c r="P22" s="3" t="s">
        <v>41</v>
      </c>
      <c r="Q22" s="1" t="s">
        <v>256</v>
      </c>
      <c r="R22" s="1" t="s">
        <v>43</v>
      </c>
      <c r="S22" s="3" t="s">
        <v>44</v>
      </c>
      <c r="T22" s="3" t="s">
        <v>257</v>
      </c>
      <c r="U22" s="2">
        <v>36370</v>
      </c>
      <c r="V22" s="2">
        <v>36447</v>
      </c>
      <c r="W22" s="2">
        <v>36487</v>
      </c>
      <c r="X22" s="2">
        <v>36564</v>
      </c>
      <c r="Y22" s="2">
        <v>36640</v>
      </c>
      <c r="Z22" s="3" t="s">
        <v>258</v>
      </c>
      <c r="AA22" s="3" t="s">
        <v>259</v>
      </c>
      <c r="AB22" s="7" t="s">
        <v>260</v>
      </c>
      <c r="AC22" s="2">
        <v>36640</v>
      </c>
      <c r="AD22" s="2">
        <v>40260</v>
      </c>
      <c r="AE22" s="2" t="s">
        <v>49</v>
      </c>
      <c r="AF22" s="2" t="s">
        <v>50</v>
      </c>
      <c r="AG22" s="2">
        <v>37606</v>
      </c>
      <c r="AH22" s="2" t="s">
        <v>50</v>
      </c>
      <c r="AI22" s="5">
        <v>324423.18</v>
      </c>
      <c r="AJ22" s="6">
        <v>1</v>
      </c>
      <c r="AK22" s="69" t="str">
        <f t="shared" si="3"/>
        <v>ACIP1</v>
      </c>
    </row>
    <row r="23" spans="1:37" ht="118.95" customHeight="1" x14ac:dyDescent="0.3">
      <c r="B23" s="1">
        <f t="shared" si="2"/>
        <v>190</v>
      </c>
      <c r="C23" cm="1">
        <f t="array" ref="C23">IFERROR(MAX(--_xlfn.TEXTSPLIT(D23,";")),0)</f>
        <v>19</v>
      </c>
      <c r="D23" t="s">
        <v>1765</v>
      </c>
      <c r="E23" s="1" t="s">
        <v>561</v>
      </c>
      <c r="F23" s="1" t="s">
        <v>562</v>
      </c>
      <c r="G23" s="1">
        <v>2</v>
      </c>
      <c r="H23" s="1" t="s">
        <v>563</v>
      </c>
      <c r="I23" s="1" t="s">
        <v>564</v>
      </c>
      <c r="J23" s="1" t="s">
        <v>64</v>
      </c>
      <c r="K23" s="1" t="s">
        <v>255</v>
      </c>
      <c r="L23" s="1" t="s">
        <v>38</v>
      </c>
      <c r="M23" s="1" t="s">
        <v>39</v>
      </c>
      <c r="N23" s="2" t="s">
        <v>40</v>
      </c>
      <c r="O23" s="3">
        <v>314115</v>
      </c>
      <c r="P23" s="3" t="s">
        <v>41</v>
      </c>
      <c r="Q23" s="1" t="s">
        <v>565</v>
      </c>
      <c r="R23" s="1" t="s">
        <v>43</v>
      </c>
      <c r="S23" s="3" t="s">
        <v>123</v>
      </c>
      <c r="T23" s="3" t="s">
        <v>152</v>
      </c>
      <c r="U23" s="2">
        <v>39818</v>
      </c>
      <c r="V23" s="2">
        <v>40017</v>
      </c>
      <c r="W23" s="2">
        <v>40039</v>
      </c>
      <c r="X23" s="2">
        <v>40127</v>
      </c>
      <c r="Y23" s="2">
        <v>40191</v>
      </c>
      <c r="Z23" s="3" t="s">
        <v>566</v>
      </c>
      <c r="AA23" s="3" t="s">
        <v>567</v>
      </c>
      <c r="AB23" s="3" t="s">
        <v>568</v>
      </c>
      <c r="AC23" s="2">
        <v>40191</v>
      </c>
      <c r="AD23" s="2">
        <v>44286</v>
      </c>
      <c r="AE23" s="2" t="s">
        <v>49</v>
      </c>
      <c r="AF23" s="2" t="s">
        <v>50</v>
      </c>
      <c r="AG23" s="2">
        <v>40934</v>
      </c>
      <c r="AH23" s="2">
        <v>41155</v>
      </c>
      <c r="AI23" s="5">
        <v>339463.12000000005</v>
      </c>
      <c r="AJ23" s="6">
        <v>1</v>
      </c>
      <c r="AK23" s="69" t="str">
        <f t="shared" si="3"/>
        <v>ACIP2</v>
      </c>
    </row>
    <row r="24" spans="1:37" ht="118.95" customHeight="1" x14ac:dyDescent="0.3">
      <c r="B24" s="1">
        <f t="shared" si="2"/>
        <v>190</v>
      </c>
      <c r="C24" cm="1">
        <f t="array" ref="C24">IFERROR(MAX(--_xlfn.TEXTSPLIT(D24,";")),0)</f>
        <v>144</v>
      </c>
      <c r="D24" t="s">
        <v>1831</v>
      </c>
      <c r="E24" s="1" t="s">
        <v>977</v>
      </c>
      <c r="F24" s="1" t="s">
        <v>1878</v>
      </c>
      <c r="G24" s="1">
        <v>2</v>
      </c>
      <c r="H24" s="1" t="s">
        <v>978</v>
      </c>
      <c r="I24" s="1" t="s">
        <v>979</v>
      </c>
      <c r="J24" s="1" t="s">
        <v>36</v>
      </c>
      <c r="K24" s="1" t="s">
        <v>141</v>
      </c>
      <c r="L24" s="1" t="s">
        <v>38</v>
      </c>
      <c r="M24" s="1" t="s">
        <v>39</v>
      </c>
      <c r="N24" s="2"/>
      <c r="O24" s="3">
        <v>28288000</v>
      </c>
      <c r="P24" s="1" t="s">
        <v>41</v>
      </c>
      <c r="Q24" s="1" t="s">
        <v>827</v>
      </c>
      <c r="R24" s="1" t="s">
        <v>662</v>
      </c>
      <c r="S24" s="3" t="s">
        <v>44</v>
      </c>
      <c r="T24" s="3" t="s">
        <v>152</v>
      </c>
      <c r="U24" s="2">
        <v>45121</v>
      </c>
      <c r="V24" s="2">
        <v>45491</v>
      </c>
      <c r="W24" s="2">
        <v>45518</v>
      </c>
      <c r="X24" s="2">
        <v>45618</v>
      </c>
      <c r="Y24" s="2">
        <v>45708</v>
      </c>
      <c r="Z24" s="1" t="s">
        <v>980</v>
      </c>
      <c r="AA24" s="1" t="s">
        <v>981</v>
      </c>
      <c r="AB24" s="1" t="s">
        <v>982</v>
      </c>
      <c r="AC24" s="2">
        <v>45708</v>
      </c>
      <c r="AD24" s="2">
        <v>56665</v>
      </c>
      <c r="AE24" s="2" t="s">
        <v>106</v>
      </c>
      <c r="AF24" s="2" t="s">
        <v>855</v>
      </c>
      <c r="AG24" s="2" t="s">
        <v>697</v>
      </c>
      <c r="AH24" s="2" t="s">
        <v>697</v>
      </c>
      <c r="AI24" s="22">
        <v>28288000</v>
      </c>
      <c r="AJ24" s="6">
        <v>0</v>
      </c>
      <c r="AK24" s="69" t="str">
        <f t="shared" si="3"/>
        <v>SALV2</v>
      </c>
    </row>
    <row r="25" spans="1:37" ht="118.95" customHeight="1" x14ac:dyDescent="0.3">
      <c r="B25" s="1">
        <f t="shared" si="2"/>
        <v>190</v>
      </c>
      <c r="C25" cm="1">
        <f t="array" ref="C25">IFERROR(MAX(--_xlfn.TEXTSPLIT(D25,";")),0)</f>
        <v>20</v>
      </c>
      <c r="D25" t="s">
        <v>1766</v>
      </c>
      <c r="E25" s="1" t="s">
        <v>237</v>
      </c>
      <c r="F25" s="1" t="s">
        <v>608</v>
      </c>
      <c r="G25" s="1">
        <v>1</v>
      </c>
      <c r="H25" s="1" t="s">
        <v>238</v>
      </c>
      <c r="I25" s="1" t="s">
        <v>239</v>
      </c>
      <c r="J25" s="1" t="s">
        <v>64</v>
      </c>
      <c r="K25" s="1" t="s">
        <v>190</v>
      </c>
      <c r="L25" s="1" t="s">
        <v>38</v>
      </c>
      <c r="M25" s="1" t="s">
        <v>66</v>
      </c>
      <c r="N25" s="2" t="s">
        <v>40</v>
      </c>
      <c r="O25" s="3">
        <v>250000</v>
      </c>
      <c r="P25" s="3" t="s">
        <v>41</v>
      </c>
      <c r="Q25" s="1" t="s">
        <v>240</v>
      </c>
      <c r="R25" s="1" t="s">
        <v>43</v>
      </c>
      <c r="S25" s="3" t="s">
        <v>44</v>
      </c>
      <c r="T25" s="3" t="s">
        <v>143</v>
      </c>
      <c r="U25" s="2">
        <v>36271</v>
      </c>
      <c r="V25" s="2">
        <v>36356</v>
      </c>
      <c r="W25" s="2">
        <v>36389</v>
      </c>
      <c r="X25" s="2">
        <v>36462</v>
      </c>
      <c r="Y25" s="2">
        <v>36545</v>
      </c>
      <c r="Z25" s="3" t="s">
        <v>241</v>
      </c>
      <c r="AA25" s="3" t="s">
        <v>242</v>
      </c>
      <c r="AB25" s="3" t="s">
        <v>243</v>
      </c>
      <c r="AC25" s="2">
        <v>36545</v>
      </c>
      <c r="AD25" s="2">
        <v>40890</v>
      </c>
      <c r="AE25" s="2" t="s">
        <v>49</v>
      </c>
      <c r="AF25" s="2" t="s">
        <v>50</v>
      </c>
      <c r="AG25" s="2">
        <v>36905</v>
      </c>
      <c r="AH25" s="2">
        <v>37377</v>
      </c>
      <c r="AI25" s="5">
        <v>268749.30999999994</v>
      </c>
      <c r="AJ25" s="6">
        <v>1</v>
      </c>
      <c r="AK25" s="69" t="str">
        <f t="shared" si="3"/>
        <v>ACMA1</v>
      </c>
    </row>
    <row r="26" spans="1:37" ht="118.95" customHeight="1" x14ac:dyDescent="0.3">
      <c r="B26" s="1">
        <f t="shared" si="2"/>
        <v>190</v>
      </c>
      <c r="C26" cm="1">
        <f t="array" ref="C26">IFERROR(MAX(--_xlfn.TEXTSPLIT(D26,";")),0)</f>
        <v>20</v>
      </c>
      <c r="D26" t="s">
        <v>1766</v>
      </c>
      <c r="E26" s="1" t="s">
        <v>607</v>
      </c>
      <c r="F26" s="1" t="s">
        <v>608</v>
      </c>
      <c r="G26" s="1">
        <v>2</v>
      </c>
      <c r="H26" s="1" t="s">
        <v>609</v>
      </c>
      <c r="I26" s="1" t="s">
        <v>610</v>
      </c>
      <c r="J26" s="1" t="s">
        <v>64</v>
      </c>
      <c r="K26" s="1" t="s">
        <v>190</v>
      </c>
      <c r="L26" s="1" t="s">
        <v>38</v>
      </c>
      <c r="M26" s="1" t="s">
        <v>39</v>
      </c>
      <c r="N26" s="2" t="s">
        <v>40</v>
      </c>
      <c r="O26" s="3">
        <v>665000</v>
      </c>
      <c r="P26" s="3" t="s">
        <v>41</v>
      </c>
      <c r="Q26" s="1" t="s">
        <v>611</v>
      </c>
      <c r="R26" s="1" t="s">
        <v>43</v>
      </c>
      <c r="S26" s="3" t="s">
        <v>123</v>
      </c>
      <c r="T26" s="3" t="s">
        <v>152</v>
      </c>
      <c r="U26" s="2">
        <v>40543</v>
      </c>
      <c r="V26" s="2">
        <v>40752</v>
      </c>
      <c r="W26" s="2">
        <v>40780</v>
      </c>
      <c r="X26" s="2">
        <v>40830</v>
      </c>
      <c r="Y26" s="2">
        <v>40865</v>
      </c>
      <c r="Z26" s="3" t="s">
        <v>612</v>
      </c>
      <c r="AA26" s="3" t="s">
        <v>613</v>
      </c>
      <c r="AB26" s="3" t="s">
        <v>614</v>
      </c>
      <c r="AC26" s="2">
        <v>40865</v>
      </c>
      <c r="AD26" s="2">
        <v>46081</v>
      </c>
      <c r="AE26" s="2" t="s">
        <v>49</v>
      </c>
      <c r="AF26" s="2" t="s">
        <v>50</v>
      </c>
      <c r="AG26" s="2">
        <v>40892</v>
      </c>
      <c r="AH26" s="2">
        <v>42175</v>
      </c>
      <c r="AI26" s="8">
        <v>824926.70000000007</v>
      </c>
      <c r="AJ26" s="6">
        <v>1</v>
      </c>
      <c r="AK26" s="69" t="str">
        <f t="shared" si="3"/>
        <v>ACMA2</v>
      </c>
    </row>
    <row r="27" spans="1:37" ht="118.95" customHeight="1" x14ac:dyDescent="0.3">
      <c r="B27" s="1">
        <f t="shared" si="2"/>
        <v>190</v>
      </c>
      <c r="C27" cm="1">
        <f t="array" ref="C27">IFERROR(MAX(--_xlfn.TEXTSPLIT(D27,";")),0)</f>
        <v>24</v>
      </c>
      <c r="D27" t="s">
        <v>1767</v>
      </c>
      <c r="E27" s="1" t="s">
        <v>577</v>
      </c>
      <c r="F27" s="1" t="s">
        <v>1851</v>
      </c>
      <c r="G27" s="1">
        <v>1</v>
      </c>
      <c r="H27" s="1" t="s">
        <v>578</v>
      </c>
      <c r="I27" s="1" t="s">
        <v>579</v>
      </c>
      <c r="J27" s="1" t="s">
        <v>36</v>
      </c>
      <c r="K27" s="1" t="s">
        <v>190</v>
      </c>
      <c r="L27" s="1" t="s">
        <v>38</v>
      </c>
      <c r="M27" s="1" t="s">
        <v>66</v>
      </c>
      <c r="N27" s="2">
        <v>38603</v>
      </c>
      <c r="O27" s="3">
        <v>7750000</v>
      </c>
      <c r="P27" s="3" t="s">
        <v>41</v>
      </c>
      <c r="Q27" s="1" t="s">
        <v>580</v>
      </c>
      <c r="R27" s="1" t="s">
        <v>133</v>
      </c>
      <c r="S27" s="3" t="s">
        <v>44</v>
      </c>
      <c r="T27" s="3" t="s">
        <v>265</v>
      </c>
      <c r="U27" s="2">
        <v>40018</v>
      </c>
      <c r="V27" s="2">
        <v>40178</v>
      </c>
      <c r="W27" s="2">
        <v>40204</v>
      </c>
      <c r="X27" s="2">
        <v>40224</v>
      </c>
      <c r="Y27" s="2">
        <v>40275</v>
      </c>
      <c r="Z27" s="3" t="s">
        <v>581</v>
      </c>
      <c r="AA27" s="3" t="s">
        <v>582</v>
      </c>
      <c r="AB27" s="3" t="s">
        <v>583</v>
      </c>
      <c r="AC27" s="2">
        <v>40275</v>
      </c>
      <c r="AD27" s="2">
        <v>47733</v>
      </c>
      <c r="AE27" s="2" t="s">
        <v>49</v>
      </c>
      <c r="AF27" s="2" t="s">
        <v>50</v>
      </c>
      <c r="AG27" s="2">
        <v>41730</v>
      </c>
      <c r="AH27" s="2">
        <v>42004</v>
      </c>
      <c r="AI27" s="8">
        <v>7635989.3900000006</v>
      </c>
      <c r="AJ27" s="6">
        <v>1</v>
      </c>
      <c r="AK27" s="69" t="str">
        <f t="shared" si="3"/>
        <v>AURA1</v>
      </c>
    </row>
    <row r="28" spans="1:37" ht="118.95" customHeight="1" x14ac:dyDescent="0.3">
      <c r="A28" t="s">
        <v>1900</v>
      </c>
      <c r="B28" s="1">
        <f t="shared" si="2"/>
        <v>190</v>
      </c>
      <c r="C28" cm="1">
        <f t="array" ref="C28">IFERROR(MAX(--_xlfn.TEXTSPLIT(D28,";")),0)</f>
        <v>25</v>
      </c>
      <c r="D28" t="s">
        <v>1768</v>
      </c>
      <c r="E28" s="1" t="s">
        <v>230</v>
      </c>
      <c r="F28" s="1" t="s">
        <v>738</v>
      </c>
      <c r="G28" s="1">
        <v>1</v>
      </c>
      <c r="H28" s="1" t="s">
        <v>231</v>
      </c>
      <c r="I28" s="1" t="s">
        <v>232</v>
      </c>
      <c r="J28" s="1" t="s">
        <v>64</v>
      </c>
      <c r="K28" s="1" t="s">
        <v>55</v>
      </c>
      <c r="L28" s="1" t="s">
        <v>38</v>
      </c>
      <c r="M28" s="1" t="s">
        <v>66</v>
      </c>
      <c r="N28" s="2" t="s">
        <v>40</v>
      </c>
      <c r="O28" s="3">
        <v>629300</v>
      </c>
      <c r="P28" s="3" t="s">
        <v>41</v>
      </c>
      <c r="Q28" s="1" t="s">
        <v>233</v>
      </c>
      <c r="R28" s="1" t="s">
        <v>43</v>
      </c>
      <c r="S28" s="3" t="s">
        <v>44</v>
      </c>
      <c r="T28" s="3" t="s">
        <v>143</v>
      </c>
      <c r="U28" s="2">
        <v>36012</v>
      </c>
      <c r="V28" s="2">
        <v>36083</v>
      </c>
      <c r="W28" s="2">
        <v>36109</v>
      </c>
      <c r="X28" s="2">
        <v>36180</v>
      </c>
      <c r="Y28" s="2">
        <v>36278</v>
      </c>
      <c r="Z28" s="3" t="s">
        <v>234</v>
      </c>
      <c r="AA28" s="3" t="s">
        <v>235</v>
      </c>
      <c r="AB28" s="3" t="s">
        <v>236</v>
      </c>
      <c r="AC28" s="2">
        <v>36184</v>
      </c>
      <c r="AD28" s="2">
        <v>42605</v>
      </c>
      <c r="AE28" s="2" t="s">
        <v>49</v>
      </c>
      <c r="AF28" s="2" t="s">
        <v>50</v>
      </c>
      <c r="AG28" s="2">
        <v>36875</v>
      </c>
      <c r="AH28" s="2">
        <v>37084</v>
      </c>
      <c r="AI28" s="5">
        <v>945229.47</v>
      </c>
      <c r="AJ28" s="6">
        <v>1</v>
      </c>
      <c r="AK28" s="69" t="str">
        <f t="shared" si="3"/>
        <v>ACSU1</v>
      </c>
    </row>
    <row r="29" spans="1:37" ht="118.95" customHeight="1" x14ac:dyDescent="0.3">
      <c r="A29" t="s">
        <v>1901</v>
      </c>
      <c r="B29" s="1">
        <f t="shared" si="2"/>
        <v>190</v>
      </c>
      <c r="C29" cm="1">
        <f t="array" ref="C29">IFERROR(MAX(--_xlfn.TEXTSPLIT(D29,";")),0)</f>
        <v>25</v>
      </c>
      <c r="D29" t="s">
        <v>1768</v>
      </c>
      <c r="E29" s="1" t="s">
        <v>737</v>
      </c>
      <c r="F29" s="1" t="s">
        <v>738</v>
      </c>
      <c r="G29" s="1">
        <v>2</v>
      </c>
      <c r="H29" s="1" t="s">
        <v>739</v>
      </c>
      <c r="I29" s="1" t="s">
        <v>740</v>
      </c>
      <c r="J29" s="1" t="s">
        <v>64</v>
      </c>
      <c r="K29" s="1" t="s">
        <v>55</v>
      </c>
      <c r="L29" s="1" t="s">
        <v>38</v>
      </c>
      <c r="M29" s="1" t="s">
        <v>39</v>
      </c>
      <c r="N29" s="2" t="s">
        <v>40</v>
      </c>
      <c r="O29" s="3">
        <v>770000</v>
      </c>
      <c r="P29" s="3" t="s">
        <v>41</v>
      </c>
      <c r="Q29" s="1" t="s">
        <v>741</v>
      </c>
      <c r="R29" s="1" t="s">
        <v>133</v>
      </c>
      <c r="S29" s="3" t="s">
        <v>123</v>
      </c>
      <c r="T29" s="3" t="s">
        <v>710</v>
      </c>
      <c r="U29" s="2">
        <v>42352</v>
      </c>
      <c r="V29" s="2">
        <v>42488</v>
      </c>
      <c r="W29" s="2">
        <v>42516</v>
      </c>
      <c r="X29" s="2">
        <v>42552</v>
      </c>
      <c r="Y29" s="2">
        <v>42601</v>
      </c>
      <c r="Z29" s="3" t="s">
        <v>742</v>
      </c>
      <c r="AA29" s="3" t="s">
        <v>743</v>
      </c>
      <c r="AB29" s="3" t="s">
        <v>744</v>
      </c>
      <c r="AC29" s="2">
        <v>42601</v>
      </c>
      <c r="AD29" s="2">
        <v>48084</v>
      </c>
      <c r="AE29" s="2" t="s">
        <v>49</v>
      </c>
      <c r="AF29" s="2" t="s">
        <v>50</v>
      </c>
      <c r="AG29" s="2">
        <v>44110</v>
      </c>
      <c r="AH29" s="2">
        <v>44921</v>
      </c>
      <c r="AI29" s="14">
        <v>1206656.6000000001</v>
      </c>
      <c r="AJ29" s="6">
        <v>1</v>
      </c>
      <c r="AK29" s="69" t="str">
        <f t="shared" si="3"/>
        <v>ACSU2</v>
      </c>
    </row>
    <row r="30" spans="1:37" ht="118.95" customHeight="1" x14ac:dyDescent="0.3">
      <c r="B30" s="1">
        <f t="shared" si="2"/>
        <v>190</v>
      </c>
      <c r="C30" cm="1">
        <f t="array" ref="C30">IFERROR(MAX(--_xlfn.TEXTSPLIT(D30,";")),0)</f>
        <v>26</v>
      </c>
      <c r="D30" t="s">
        <v>1769</v>
      </c>
      <c r="E30" s="57" t="s">
        <v>61</v>
      </c>
      <c r="F30" s="57" t="s">
        <v>746</v>
      </c>
      <c r="G30" s="1">
        <v>1</v>
      </c>
      <c r="H30" s="57" t="s">
        <v>62</v>
      </c>
      <c r="I30" s="1" t="s">
        <v>63</v>
      </c>
      <c r="J30" s="1" t="s">
        <v>64</v>
      </c>
      <c r="K30" s="1" t="s">
        <v>65</v>
      </c>
      <c r="L30" s="1" t="s">
        <v>38</v>
      </c>
      <c r="M30" s="1" t="s">
        <v>66</v>
      </c>
      <c r="N30" s="2" t="s">
        <v>40</v>
      </c>
      <c r="O30" s="3">
        <v>158980</v>
      </c>
      <c r="P30" s="3" t="s">
        <v>41</v>
      </c>
      <c r="Q30" s="4" t="s">
        <v>67</v>
      </c>
      <c r="R30" s="1" t="s">
        <v>43</v>
      </c>
      <c r="S30" s="3" t="s">
        <v>44</v>
      </c>
      <c r="T30" s="3" t="s">
        <v>68</v>
      </c>
      <c r="U30" s="2">
        <v>34639</v>
      </c>
      <c r="V30" s="2">
        <v>34870</v>
      </c>
      <c r="W30" s="2">
        <v>34900</v>
      </c>
      <c r="X30" s="2">
        <v>34929</v>
      </c>
      <c r="Y30" s="2">
        <v>35056</v>
      </c>
      <c r="Z30" s="3" t="s">
        <v>69</v>
      </c>
      <c r="AA30" s="3" t="s">
        <v>70</v>
      </c>
      <c r="AB30" s="7" t="s">
        <v>71</v>
      </c>
      <c r="AC30" s="2">
        <v>35056</v>
      </c>
      <c r="AD30" s="2">
        <v>39438</v>
      </c>
      <c r="AE30" s="2" t="s">
        <v>49</v>
      </c>
      <c r="AF30" s="2" t="s">
        <v>50</v>
      </c>
      <c r="AG30" s="2">
        <v>35541</v>
      </c>
      <c r="AH30" s="2" t="s">
        <v>50</v>
      </c>
      <c r="AI30" s="5">
        <v>177301.90000000002</v>
      </c>
      <c r="AJ30" s="6">
        <v>1</v>
      </c>
      <c r="AK30" s="69" t="str">
        <f t="shared" si="3"/>
        <v>ADAI1</v>
      </c>
    </row>
    <row r="31" spans="1:37" ht="118.95" customHeight="1" x14ac:dyDescent="0.3">
      <c r="A31" t="s">
        <v>1903</v>
      </c>
      <c r="B31" s="1">
        <f t="shared" si="2"/>
        <v>190</v>
      </c>
      <c r="C31" cm="1">
        <f t="array" ref="C31">IFERROR(MAX(--_xlfn.TEXTSPLIT(D31,";")),0)</f>
        <v>26</v>
      </c>
      <c r="D31" t="s">
        <v>1769</v>
      </c>
      <c r="E31" s="1" t="s">
        <v>488</v>
      </c>
      <c r="F31" s="57" t="s">
        <v>746</v>
      </c>
      <c r="G31" s="1">
        <v>2</v>
      </c>
      <c r="H31" s="1" t="s">
        <v>489</v>
      </c>
      <c r="I31" s="1" t="s">
        <v>490</v>
      </c>
      <c r="J31" s="1" t="s">
        <v>64</v>
      </c>
      <c r="K31" s="1" t="s">
        <v>65</v>
      </c>
      <c r="L31" s="1" t="s">
        <v>38</v>
      </c>
      <c r="M31" s="1" t="s">
        <v>39</v>
      </c>
      <c r="N31" s="2" t="s">
        <v>40</v>
      </c>
      <c r="O31" s="3">
        <v>371200</v>
      </c>
      <c r="P31" s="3" t="s">
        <v>41</v>
      </c>
      <c r="Q31" s="1" t="s">
        <v>491</v>
      </c>
      <c r="R31" s="1" t="s">
        <v>43</v>
      </c>
      <c r="S31" s="3" t="s">
        <v>123</v>
      </c>
      <c r="T31" s="3" t="s">
        <v>152</v>
      </c>
      <c r="U31" s="2">
        <v>39187</v>
      </c>
      <c r="V31" s="2">
        <v>39335</v>
      </c>
      <c r="W31" s="2">
        <v>39351</v>
      </c>
      <c r="X31" s="2">
        <v>39363</v>
      </c>
      <c r="Y31" s="2">
        <v>39413</v>
      </c>
      <c r="Z31" s="3" t="s">
        <v>492</v>
      </c>
      <c r="AA31" s="3" t="s">
        <v>493</v>
      </c>
      <c r="AB31" s="3" t="s">
        <v>494</v>
      </c>
      <c r="AC31" s="2">
        <v>39413</v>
      </c>
      <c r="AD31" s="2">
        <v>41274</v>
      </c>
      <c r="AE31" s="2" t="s">
        <v>106</v>
      </c>
      <c r="AF31" s="2" t="s">
        <v>50</v>
      </c>
      <c r="AG31" s="2">
        <v>40311</v>
      </c>
      <c r="AH31" s="2">
        <v>40874</v>
      </c>
      <c r="AI31" s="5">
        <v>389830.19999999995</v>
      </c>
      <c r="AJ31" s="6">
        <v>1</v>
      </c>
      <c r="AK31" s="69" t="str">
        <f t="shared" si="3"/>
        <v>ADAI2</v>
      </c>
    </row>
    <row r="32" spans="1:37" ht="118.95" customHeight="1" x14ac:dyDescent="0.3">
      <c r="B32" s="1">
        <f t="shared" si="2"/>
        <v>190</v>
      </c>
      <c r="C32" cm="1">
        <f t="array" ref="C32">IFERROR(MAX(--_xlfn.TEXTSPLIT(D32,";")),0)</f>
        <v>26</v>
      </c>
      <c r="D32" t="s">
        <v>1769</v>
      </c>
      <c r="E32" s="1" t="s">
        <v>635</v>
      </c>
      <c r="F32" s="57" t="s">
        <v>746</v>
      </c>
      <c r="G32" s="1">
        <v>3</v>
      </c>
      <c r="H32" s="1" t="s">
        <v>636</v>
      </c>
      <c r="I32" s="1" t="s">
        <v>637</v>
      </c>
      <c r="J32" s="1" t="s">
        <v>64</v>
      </c>
      <c r="K32" s="1" t="s">
        <v>65</v>
      </c>
      <c r="L32" s="1" t="s">
        <v>38</v>
      </c>
      <c r="M32" s="1" t="s">
        <v>39</v>
      </c>
      <c r="N32" s="2" t="s">
        <v>40</v>
      </c>
      <c r="O32" s="3">
        <v>109000</v>
      </c>
      <c r="P32" s="3" t="s">
        <v>41</v>
      </c>
      <c r="Q32" s="1" t="s">
        <v>638</v>
      </c>
      <c r="R32" s="1" t="s">
        <v>43</v>
      </c>
      <c r="S32" s="3" t="s">
        <v>123</v>
      </c>
      <c r="T32" s="3" t="s">
        <v>639</v>
      </c>
      <c r="U32" s="2">
        <v>40906</v>
      </c>
      <c r="V32" s="2">
        <v>41054</v>
      </c>
      <c r="W32" s="2">
        <v>41075</v>
      </c>
      <c r="X32" s="2">
        <v>41116</v>
      </c>
      <c r="Y32" s="2">
        <v>41204</v>
      </c>
      <c r="Z32" s="3" t="s">
        <v>640</v>
      </c>
      <c r="AA32" s="3" t="s">
        <v>641</v>
      </c>
      <c r="AB32" s="3" t="s">
        <v>642</v>
      </c>
      <c r="AC32" s="2">
        <v>41204</v>
      </c>
      <c r="AD32" s="2">
        <v>43190</v>
      </c>
      <c r="AE32" s="2" t="s">
        <v>49</v>
      </c>
      <c r="AF32" s="2" t="s">
        <v>50</v>
      </c>
      <c r="AG32" s="2">
        <v>41989</v>
      </c>
      <c r="AH32" s="2">
        <v>42319</v>
      </c>
      <c r="AI32" s="5">
        <v>203418.64000000004</v>
      </c>
      <c r="AJ32" s="6">
        <v>1</v>
      </c>
      <c r="AK32" s="69" t="str">
        <f t="shared" si="3"/>
        <v>ADAI3</v>
      </c>
    </row>
    <row r="33" spans="1:37" ht="118.95" customHeight="1" x14ac:dyDescent="0.3">
      <c r="A33" t="s">
        <v>1902</v>
      </c>
      <c r="B33" s="1">
        <f t="shared" si="2"/>
        <v>190</v>
      </c>
      <c r="C33" cm="1">
        <f t="array" ref="C33">IFERROR(MAX(--_xlfn.TEXTSPLIT(D33,";")),0)</f>
        <v>26</v>
      </c>
      <c r="D33" t="s">
        <v>1769</v>
      </c>
      <c r="E33" s="1" t="s">
        <v>745</v>
      </c>
      <c r="F33" s="57" t="s">
        <v>746</v>
      </c>
      <c r="G33" s="1">
        <v>4</v>
      </c>
      <c r="H33" s="1" t="s">
        <v>747</v>
      </c>
      <c r="I33" s="1" t="s">
        <v>748</v>
      </c>
      <c r="J33" s="1" t="s">
        <v>64</v>
      </c>
      <c r="K33" s="1" t="s">
        <v>65</v>
      </c>
      <c r="L33" s="1" t="s">
        <v>38</v>
      </c>
      <c r="M33" s="1" t="s">
        <v>39</v>
      </c>
      <c r="N33" s="2" t="s">
        <v>40</v>
      </c>
      <c r="O33" s="3">
        <v>1420000</v>
      </c>
      <c r="P33" s="3" t="s">
        <v>41</v>
      </c>
      <c r="Q33" s="1" t="s">
        <v>749</v>
      </c>
      <c r="R33" s="1" t="s">
        <v>133</v>
      </c>
      <c r="S33" s="3" t="s">
        <v>123</v>
      </c>
      <c r="T33" s="3" t="s">
        <v>152</v>
      </c>
      <c r="U33" s="2">
        <v>42452</v>
      </c>
      <c r="V33" s="2">
        <v>42843</v>
      </c>
      <c r="W33" s="2">
        <v>42873</v>
      </c>
      <c r="X33" s="2">
        <v>42940</v>
      </c>
      <c r="Y33" s="2">
        <v>43020</v>
      </c>
      <c r="Z33" s="3" t="s">
        <v>750</v>
      </c>
      <c r="AA33" s="3" t="s">
        <v>751</v>
      </c>
      <c r="AB33" s="3" t="s">
        <v>752</v>
      </c>
      <c r="AC33" s="2">
        <v>43020</v>
      </c>
      <c r="AD33" s="2">
        <v>52150</v>
      </c>
      <c r="AE33" s="2" t="s">
        <v>106</v>
      </c>
      <c r="AF33" s="2">
        <v>43686</v>
      </c>
      <c r="AG33" s="2">
        <v>45530</v>
      </c>
      <c r="AH33" s="2" t="s">
        <v>531</v>
      </c>
      <c r="AI33" s="8">
        <v>2122435.1</v>
      </c>
      <c r="AJ33" s="6">
        <v>1</v>
      </c>
      <c r="AK33" s="69" t="str">
        <f t="shared" si="3"/>
        <v>ADAI4</v>
      </c>
    </row>
    <row r="34" spans="1:37" ht="147.6" customHeight="1" x14ac:dyDescent="0.3">
      <c r="B34" s="1">
        <f t="shared" si="2"/>
        <v>190</v>
      </c>
      <c r="C34" cm="1">
        <f t="array" ref="C34">IFERROR(MAX(--_xlfn.TEXTSPLIT(D34,";")),0)</f>
        <v>27</v>
      </c>
      <c r="D34" t="s">
        <v>1770</v>
      </c>
      <c r="E34" s="1" t="s">
        <v>180</v>
      </c>
      <c r="F34" s="1" t="s">
        <v>1852</v>
      </c>
      <c r="G34" s="1">
        <v>1</v>
      </c>
      <c r="H34" s="1" t="s">
        <v>181</v>
      </c>
      <c r="I34" s="1" t="s">
        <v>182</v>
      </c>
      <c r="J34" s="1" t="s">
        <v>64</v>
      </c>
      <c r="K34" s="1" t="s">
        <v>175</v>
      </c>
      <c r="L34" s="1" t="s">
        <v>38</v>
      </c>
      <c r="M34" s="1" t="s">
        <v>39</v>
      </c>
      <c r="N34" s="2" t="s">
        <v>40</v>
      </c>
      <c r="O34" s="3">
        <v>74294</v>
      </c>
      <c r="P34" s="3" t="s">
        <v>41</v>
      </c>
      <c r="Q34" s="1" t="s">
        <v>183</v>
      </c>
      <c r="R34" s="1" t="s">
        <v>43</v>
      </c>
      <c r="S34" s="3" t="s">
        <v>44</v>
      </c>
      <c r="T34" s="3" t="s">
        <v>124</v>
      </c>
      <c r="U34" s="2">
        <v>35416</v>
      </c>
      <c r="V34" s="2">
        <v>35578</v>
      </c>
      <c r="W34" s="2">
        <v>35608</v>
      </c>
      <c r="X34" s="2">
        <v>35661</v>
      </c>
      <c r="Y34" s="2">
        <v>35746</v>
      </c>
      <c r="Z34" s="3" t="s">
        <v>184</v>
      </c>
      <c r="AA34" s="3" t="s">
        <v>185</v>
      </c>
      <c r="AB34" s="3" t="s">
        <v>186</v>
      </c>
      <c r="AC34" s="2">
        <v>35813</v>
      </c>
      <c r="AD34" s="2">
        <v>41282</v>
      </c>
      <c r="AE34" s="2" t="s">
        <v>49</v>
      </c>
      <c r="AF34" s="2" t="s">
        <v>50</v>
      </c>
      <c r="AG34" s="2">
        <v>36144</v>
      </c>
      <c r="AH34" s="2">
        <v>36392</v>
      </c>
      <c r="AI34" s="5">
        <v>123739.53</v>
      </c>
      <c r="AJ34" s="6">
        <v>1</v>
      </c>
      <c r="AK34" s="69" t="str">
        <f t="shared" si="3"/>
        <v>ALFS1</v>
      </c>
    </row>
    <row r="35" spans="1:37" ht="118.95" customHeight="1" x14ac:dyDescent="0.3">
      <c r="B35" s="1">
        <f t="shared" ref="B35:B66" si="4">MAX($C$2:$C$128)</f>
        <v>190</v>
      </c>
      <c r="C35" cm="1">
        <f t="array" ref="C35">IFERROR(MAX(--_xlfn.TEXTSPLIT(D35,";")),0)</f>
        <v>27</v>
      </c>
      <c r="D35" t="s">
        <v>1770</v>
      </c>
      <c r="E35" s="1" t="s">
        <v>643</v>
      </c>
      <c r="F35" s="1" t="s">
        <v>1852</v>
      </c>
      <c r="G35" s="1">
        <v>2</v>
      </c>
      <c r="H35" s="1" t="s">
        <v>644</v>
      </c>
      <c r="I35" s="1" t="s">
        <v>645</v>
      </c>
      <c r="J35" s="1" t="s">
        <v>64</v>
      </c>
      <c r="K35" s="1" t="s">
        <v>175</v>
      </c>
      <c r="L35" s="1" t="s">
        <v>38</v>
      </c>
      <c r="M35" s="1" t="s">
        <v>39</v>
      </c>
      <c r="N35" s="2" t="s">
        <v>40</v>
      </c>
      <c r="O35" s="3">
        <v>174000</v>
      </c>
      <c r="P35" s="3" t="s">
        <v>41</v>
      </c>
      <c r="Q35" s="1" t="s">
        <v>646</v>
      </c>
      <c r="R35" s="1" t="s">
        <v>43</v>
      </c>
      <c r="S35" s="3" t="s">
        <v>123</v>
      </c>
      <c r="T35" s="3" t="s">
        <v>152</v>
      </c>
      <c r="U35" s="2">
        <v>40906</v>
      </c>
      <c r="V35" s="2">
        <v>41088</v>
      </c>
      <c r="W35" s="2">
        <v>41109</v>
      </c>
      <c r="X35" s="2">
        <v>41173</v>
      </c>
      <c r="Y35" s="2">
        <v>41255</v>
      </c>
      <c r="Z35" s="3" t="s">
        <v>647</v>
      </c>
      <c r="AA35" s="3" t="s">
        <v>648</v>
      </c>
      <c r="AB35" s="3" t="s">
        <v>649</v>
      </c>
      <c r="AC35" s="2">
        <v>41255</v>
      </c>
      <c r="AD35" s="2">
        <v>44500</v>
      </c>
      <c r="AE35" s="2" t="s">
        <v>49</v>
      </c>
      <c r="AF35" s="2" t="s">
        <v>50</v>
      </c>
      <c r="AG35" s="2">
        <v>42136</v>
      </c>
      <c r="AH35" s="2">
        <v>42423</v>
      </c>
      <c r="AI35" s="5">
        <v>411624.01999999996</v>
      </c>
      <c r="AJ35" s="6">
        <v>1</v>
      </c>
      <c r="AK35" s="69" t="str">
        <f t="shared" ref="AK35:AK66" si="5">MID(E35,5,LEN(E35)-4)</f>
        <v>ALFS2</v>
      </c>
    </row>
    <row r="36" spans="1:37" ht="118.95" customHeight="1" x14ac:dyDescent="0.3">
      <c r="B36" s="1">
        <f t="shared" si="4"/>
        <v>190</v>
      </c>
      <c r="C36" cm="1">
        <f t="array" ref="C36">IFERROR(MAX(--_xlfn.TEXTSPLIT(D36,";")),0)</f>
        <v>136</v>
      </c>
      <c r="D36" t="s">
        <v>1829</v>
      </c>
      <c r="E36" s="56" t="s">
        <v>1992</v>
      </c>
      <c r="F36" s="60" t="s">
        <v>1736</v>
      </c>
      <c r="G36" s="57"/>
      <c r="H36" t="s">
        <v>1736</v>
      </c>
      <c r="I36" s="72" t="s">
        <v>1987</v>
      </c>
      <c r="J36" s="57" t="s">
        <v>36</v>
      </c>
      <c r="K36" s="57" t="s">
        <v>75</v>
      </c>
      <c r="L36" s="57"/>
      <c r="M36" s="57"/>
      <c r="N36" s="58"/>
      <c r="O36" s="59"/>
      <c r="P36" s="57"/>
      <c r="Q36" s="57"/>
      <c r="R36" s="57" t="s">
        <v>693</v>
      </c>
      <c r="S36" s="57"/>
      <c r="T36" s="57"/>
      <c r="U36" s="58">
        <v>44355</v>
      </c>
      <c r="V36" s="58">
        <v>45812</v>
      </c>
      <c r="W36" s="58">
        <v>45840</v>
      </c>
      <c r="X36" s="58"/>
      <c r="Y36" s="58"/>
      <c r="Z36" s="57"/>
      <c r="AA36" s="57" t="s">
        <v>1988</v>
      </c>
      <c r="AB36" s="57"/>
      <c r="AC36" s="58">
        <v>46066</v>
      </c>
      <c r="AD36" s="58"/>
      <c r="AE36" s="57"/>
      <c r="AF36" s="57"/>
      <c r="AG36" s="57"/>
      <c r="AH36" s="57"/>
      <c r="AI36" s="22"/>
      <c r="AJ36" s="23"/>
      <c r="AK36" s="69" t="str">
        <f t="shared" si="5"/>
        <v>RTCC1</v>
      </c>
    </row>
    <row r="37" spans="1:37" ht="118.95" customHeight="1" x14ac:dyDescent="0.3">
      <c r="A37" t="s">
        <v>1904</v>
      </c>
      <c r="B37" s="1">
        <f t="shared" si="4"/>
        <v>190</v>
      </c>
      <c r="C37" cm="1">
        <f t="array" ref="C37">IFERROR(MAX(--_xlfn.TEXTSPLIT(D37,";")),0)</f>
        <v>28</v>
      </c>
      <c r="D37" t="s">
        <v>1771</v>
      </c>
      <c r="E37" s="1" t="s">
        <v>187</v>
      </c>
      <c r="F37" s="1" t="s">
        <v>585</v>
      </c>
      <c r="G37" s="1">
        <v>1</v>
      </c>
      <c r="H37" s="1" t="s">
        <v>188</v>
      </c>
      <c r="I37" s="1" t="s">
        <v>189</v>
      </c>
      <c r="J37" s="1" t="s">
        <v>64</v>
      </c>
      <c r="K37" s="1" t="s">
        <v>190</v>
      </c>
      <c r="L37" s="1" t="s">
        <v>38</v>
      </c>
      <c r="M37" s="1" t="s">
        <v>66</v>
      </c>
      <c r="N37" s="2" t="s">
        <v>40</v>
      </c>
      <c r="O37" s="3">
        <v>70800</v>
      </c>
      <c r="P37" s="3" t="s">
        <v>41</v>
      </c>
      <c r="Q37" s="1" t="s">
        <v>191</v>
      </c>
      <c r="R37" s="1" t="s">
        <v>43</v>
      </c>
      <c r="S37" s="3" t="s">
        <v>44</v>
      </c>
      <c r="T37" s="3" t="s">
        <v>143</v>
      </c>
      <c r="U37" s="2">
        <v>35485</v>
      </c>
      <c r="V37" s="2">
        <v>35635</v>
      </c>
      <c r="W37" s="2">
        <v>35664</v>
      </c>
      <c r="X37" s="2">
        <v>35717</v>
      </c>
      <c r="Y37" s="2">
        <v>35900</v>
      </c>
      <c r="Z37" s="3" t="s">
        <v>192</v>
      </c>
      <c r="AA37" s="3" t="s">
        <v>193</v>
      </c>
      <c r="AB37" s="3" t="s">
        <v>194</v>
      </c>
      <c r="AC37" s="2">
        <v>35958</v>
      </c>
      <c r="AD37" s="2">
        <v>40644</v>
      </c>
      <c r="AE37" s="2" t="s">
        <v>49</v>
      </c>
      <c r="AF37" s="2" t="s">
        <v>50</v>
      </c>
      <c r="AG37" s="2">
        <v>36454</v>
      </c>
      <c r="AH37" s="2">
        <v>36648</v>
      </c>
      <c r="AI37" s="5">
        <v>127418.93</v>
      </c>
      <c r="AJ37" s="6">
        <v>1</v>
      </c>
      <c r="AK37" s="69" t="str">
        <f t="shared" si="5"/>
        <v>ALOA1</v>
      </c>
    </row>
    <row r="38" spans="1:37" ht="118.95" customHeight="1" x14ac:dyDescent="0.3">
      <c r="A38" t="s">
        <v>1905</v>
      </c>
      <c r="B38" s="1">
        <f t="shared" si="4"/>
        <v>190</v>
      </c>
      <c r="C38" cm="1">
        <f t="array" ref="C38">IFERROR(MAX(--_xlfn.TEXTSPLIT(D38,";")),0)</f>
        <v>28</v>
      </c>
      <c r="D38" t="s">
        <v>1771</v>
      </c>
      <c r="E38" s="1" t="s">
        <v>584</v>
      </c>
      <c r="F38" s="1" t="s">
        <v>585</v>
      </c>
      <c r="G38" s="1">
        <v>2</v>
      </c>
      <c r="H38" s="1" t="s">
        <v>586</v>
      </c>
      <c r="I38" s="1" t="s">
        <v>587</v>
      </c>
      <c r="J38" s="1" t="s">
        <v>64</v>
      </c>
      <c r="K38" s="1" t="s">
        <v>190</v>
      </c>
      <c r="L38" s="1" t="s">
        <v>38</v>
      </c>
      <c r="M38" s="1" t="s">
        <v>39</v>
      </c>
      <c r="N38" s="2" t="s">
        <v>40</v>
      </c>
      <c r="O38" s="3">
        <v>880000</v>
      </c>
      <c r="P38" s="3" t="s">
        <v>41</v>
      </c>
      <c r="Q38" s="1" t="s">
        <v>588</v>
      </c>
      <c r="R38" s="1" t="s">
        <v>43</v>
      </c>
      <c r="S38" s="3" t="s">
        <v>123</v>
      </c>
      <c r="T38" s="3" t="s">
        <v>484</v>
      </c>
      <c r="U38" s="2">
        <v>40186</v>
      </c>
      <c r="V38" s="2">
        <v>40465</v>
      </c>
      <c r="W38" s="2">
        <v>40493</v>
      </c>
      <c r="X38" s="2">
        <v>40564</v>
      </c>
      <c r="Y38" s="2">
        <v>40619</v>
      </c>
      <c r="Z38" s="3" t="s">
        <v>589</v>
      </c>
      <c r="AA38" s="3" t="s">
        <v>590</v>
      </c>
      <c r="AB38" s="3" t="s">
        <v>591</v>
      </c>
      <c r="AC38" s="2">
        <v>40619</v>
      </c>
      <c r="AD38" s="2">
        <v>45199</v>
      </c>
      <c r="AE38" s="2" t="s">
        <v>49</v>
      </c>
      <c r="AF38" s="2">
        <v>41210</v>
      </c>
      <c r="AG38" s="2">
        <v>41897</v>
      </c>
      <c r="AH38" s="2">
        <v>42129</v>
      </c>
      <c r="AI38" s="5">
        <v>1214481.3400000001</v>
      </c>
      <c r="AJ38" s="6">
        <v>1</v>
      </c>
      <c r="AK38" s="69" t="str">
        <f t="shared" si="5"/>
        <v>ALOA2</v>
      </c>
    </row>
    <row r="39" spans="1:37" ht="118.95" customHeight="1" x14ac:dyDescent="0.3">
      <c r="B39" s="1">
        <f t="shared" si="4"/>
        <v>190</v>
      </c>
      <c r="C39" cm="1">
        <f t="array" ref="C39">IFERROR(MAX(--_xlfn.TEXTSPLIT(D39,";")),0)</f>
        <v>134</v>
      </c>
      <c r="D39" t="s">
        <v>1828</v>
      </c>
      <c r="E39" s="56" t="s">
        <v>1844</v>
      </c>
      <c r="F39" s="60" t="s">
        <v>1735</v>
      </c>
      <c r="G39" s="57">
        <v>1</v>
      </c>
      <c r="H39" s="56" t="s">
        <v>1735</v>
      </c>
      <c r="I39" s="57" t="s">
        <v>1985</v>
      </c>
      <c r="J39" s="57" t="s">
        <v>36</v>
      </c>
      <c r="K39" s="57" t="s">
        <v>55</v>
      </c>
      <c r="L39" s="57"/>
      <c r="M39" s="57"/>
      <c r="N39" s="58"/>
      <c r="O39" s="59"/>
      <c r="P39" s="57"/>
      <c r="Q39" s="57"/>
      <c r="R39" s="57" t="s">
        <v>693</v>
      </c>
      <c r="S39" s="57"/>
      <c r="T39" s="57"/>
      <c r="U39" s="58">
        <v>45281</v>
      </c>
      <c r="V39" s="58">
        <v>45930</v>
      </c>
      <c r="W39" s="58">
        <v>45928</v>
      </c>
      <c r="X39" s="58"/>
      <c r="Y39" s="58"/>
      <c r="Z39" s="57"/>
      <c r="AA39" s="3" t="s">
        <v>1986</v>
      </c>
      <c r="AB39" s="57"/>
      <c r="AC39" s="58">
        <v>46197</v>
      </c>
      <c r="AD39" s="58"/>
      <c r="AE39" s="57"/>
      <c r="AF39" s="57"/>
      <c r="AG39" s="57"/>
      <c r="AH39" s="57"/>
      <c r="AI39" s="22"/>
      <c r="AJ39" s="23"/>
      <c r="AK39" s="69" t="str">
        <f t="shared" si="5"/>
        <v>RPMO1</v>
      </c>
    </row>
    <row r="40" spans="1:37" ht="118.95" customHeight="1" x14ac:dyDescent="0.3">
      <c r="B40" s="1">
        <f t="shared" si="4"/>
        <v>190</v>
      </c>
      <c r="C40" cm="1">
        <f t="array" ref="C40">IFERROR(MAX(--_xlfn.TEXTSPLIT(D40,";")),0)</f>
        <v>133</v>
      </c>
      <c r="D40" t="s">
        <v>1827</v>
      </c>
      <c r="E40" s="1" t="s">
        <v>760</v>
      </c>
      <c r="F40" s="1" t="s">
        <v>761</v>
      </c>
      <c r="G40" s="1">
        <v>1</v>
      </c>
      <c r="H40" s="1" t="s">
        <v>762</v>
      </c>
      <c r="I40" s="1" t="s">
        <v>763</v>
      </c>
      <c r="J40" s="1" t="s">
        <v>36</v>
      </c>
      <c r="K40" s="1" t="s">
        <v>764</v>
      </c>
      <c r="L40" s="1" t="s">
        <v>38</v>
      </c>
      <c r="M40" s="1" t="s">
        <v>66</v>
      </c>
      <c r="N40" s="2">
        <v>38670</v>
      </c>
      <c r="O40" s="3">
        <v>6125000</v>
      </c>
      <c r="P40" s="3" t="s">
        <v>41</v>
      </c>
      <c r="Q40" s="4" t="s">
        <v>765</v>
      </c>
      <c r="R40" s="1" t="s">
        <v>662</v>
      </c>
      <c r="S40" s="3" t="s">
        <v>44</v>
      </c>
      <c r="T40" s="3" t="s">
        <v>484</v>
      </c>
      <c r="U40" s="2">
        <v>42690</v>
      </c>
      <c r="V40" s="2">
        <v>42964</v>
      </c>
      <c r="W40" s="2">
        <v>42992</v>
      </c>
      <c r="X40" s="2">
        <v>43080</v>
      </c>
      <c r="Y40" s="2">
        <v>43200</v>
      </c>
      <c r="Z40" s="3" t="s">
        <v>766</v>
      </c>
      <c r="AA40" s="3" t="s">
        <v>767</v>
      </c>
      <c r="AB40" s="3" t="s">
        <v>768</v>
      </c>
      <c r="AC40" s="2">
        <v>43200</v>
      </c>
      <c r="AD40" s="2">
        <v>55983</v>
      </c>
      <c r="AE40" s="2" t="s">
        <v>106</v>
      </c>
      <c r="AF40" s="2">
        <v>44124</v>
      </c>
      <c r="AG40" s="2" t="s">
        <v>697</v>
      </c>
      <c r="AH40" s="2" t="s">
        <v>697</v>
      </c>
      <c r="AI40" s="8">
        <v>6658686.9000000004</v>
      </c>
      <c r="AJ40" s="6" t="s">
        <v>769</v>
      </c>
      <c r="AK40" s="69" t="str">
        <f t="shared" si="5"/>
        <v>RNAH1</v>
      </c>
    </row>
    <row r="41" spans="1:37" ht="180" customHeight="1" x14ac:dyDescent="0.3">
      <c r="B41" s="1">
        <f t="shared" si="4"/>
        <v>190</v>
      </c>
      <c r="C41" cm="1">
        <f t="array" ref="C41">IFERROR(MAX(--_xlfn.TEXTSPLIT(D41,";")),0)</f>
        <v>31</v>
      </c>
      <c r="D41" t="s">
        <v>1772</v>
      </c>
      <c r="E41" s="1" t="s">
        <v>524</v>
      </c>
      <c r="F41" s="1" t="s">
        <v>108</v>
      </c>
      <c r="G41" s="1">
        <v>2</v>
      </c>
      <c r="H41" s="1" t="s">
        <v>525</v>
      </c>
      <c r="I41" s="1" t="s">
        <v>526</v>
      </c>
      <c r="J41" s="1" t="s">
        <v>111</v>
      </c>
      <c r="K41" s="1" t="s">
        <v>112</v>
      </c>
      <c r="L41" s="1" t="s">
        <v>38</v>
      </c>
      <c r="M41" s="1" t="s">
        <v>39</v>
      </c>
      <c r="N41" s="2" t="s">
        <v>40</v>
      </c>
      <c r="O41" s="3">
        <v>1500000</v>
      </c>
      <c r="P41" s="3" t="s">
        <v>41</v>
      </c>
      <c r="Q41" s="1" t="s">
        <v>527</v>
      </c>
      <c r="R41" s="1" t="s">
        <v>133</v>
      </c>
      <c r="S41" s="3" t="s">
        <v>123</v>
      </c>
      <c r="T41" s="3" t="s">
        <v>152</v>
      </c>
      <c r="U41" s="2">
        <v>39452</v>
      </c>
      <c r="V41" s="2">
        <v>39609</v>
      </c>
      <c r="W41" s="2">
        <v>39633</v>
      </c>
      <c r="X41" s="2">
        <v>39650</v>
      </c>
      <c r="Y41" s="2">
        <v>39703</v>
      </c>
      <c r="Z41" s="3" t="s">
        <v>528</v>
      </c>
      <c r="AA41" s="3" t="s">
        <v>529</v>
      </c>
      <c r="AB41" s="3" t="s">
        <v>530</v>
      </c>
      <c r="AC41" s="2">
        <v>39703</v>
      </c>
      <c r="AD41" s="2">
        <v>54312</v>
      </c>
      <c r="AE41" s="2" t="s">
        <v>106</v>
      </c>
      <c r="AF41" s="2">
        <v>44364</v>
      </c>
      <c r="AG41" s="2">
        <v>45121</v>
      </c>
      <c r="AH41" s="2" t="s">
        <v>531</v>
      </c>
      <c r="AI41" s="8">
        <v>1795538.8</v>
      </c>
      <c r="AJ41" s="6">
        <v>1</v>
      </c>
      <c r="AK41" s="69" t="str">
        <f t="shared" si="5"/>
        <v>AVAM2</v>
      </c>
    </row>
    <row r="42" spans="1:37" ht="118.95" customHeight="1" x14ac:dyDescent="0.3">
      <c r="B42" s="1">
        <f t="shared" si="4"/>
        <v>190</v>
      </c>
      <c r="C42" cm="1">
        <f t="array" ref="C42">IFERROR(MAX(--_xlfn.TEXTSPLIT(D42,";")),0)</f>
        <v>32</v>
      </c>
      <c r="D42" t="s">
        <v>1773</v>
      </c>
      <c r="E42" s="1" t="s">
        <v>341</v>
      </c>
      <c r="F42" s="1" t="s">
        <v>1853</v>
      </c>
      <c r="G42" s="1">
        <v>1</v>
      </c>
      <c r="H42" s="1" t="s">
        <v>342</v>
      </c>
      <c r="I42" s="1" t="s">
        <v>343</v>
      </c>
      <c r="J42" s="1" t="s">
        <v>64</v>
      </c>
      <c r="K42" s="1" t="s">
        <v>344</v>
      </c>
      <c r="L42" s="1" t="s">
        <v>38</v>
      </c>
      <c r="M42" s="1" t="s">
        <v>39</v>
      </c>
      <c r="N42" s="2" t="s">
        <v>40</v>
      </c>
      <c r="O42" s="3">
        <v>1000574</v>
      </c>
      <c r="P42" s="3" t="s">
        <v>41</v>
      </c>
      <c r="Q42" s="1" t="s">
        <v>345</v>
      </c>
      <c r="R42" s="1" t="s">
        <v>43</v>
      </c>
      <c r="S42" s="3" t="s">
        <v>123</v>
      </c>
      <c r="T42" s="3" t="s">
        <v>301</v>
      </c>
      <c r="U42" s="2">
        <v>37173</v>
      </c>
      <c r="V42" s="2">
        <v>37376</v>
      </c>
      <c r="W42" s="2">
        <v>37407</v>
      </c>
      <c r="X42" s="2">
        <v>37460</v>
      </c>
      <c r="Y42" s="2">
        <v>37532</v>
      </c>
      <c r="Z42" s="3" t="s">
        <v>346</v>
      </c>
      <c r="AA42" s="3" t="s">
        <v>347</v>
      </c>
      <c r="AB42" s="3" t="s">
        <v>348</v>
      </c>
      <c r="AC42" s="2">
        <v>37532</v>
      </c>
      <c r="AD42" s="2">
        <v>45680</v>
      </c>
      <c r="AE42" s="2" t="s">
        <v>49</v>
      </c>
      <c r="AF42" s="2" t="s">
        <v>50</v>
      </c>
      <c r="AG42" s="2">
        <v>38380</v>
      </c>
      <c r="AH42" s="2">
        <v>38622</v>
      </c>
      <c r="AI42" s="5">
        <v>919407.34</v>
      </c>
      <c r="AJ42" s="6">
        <v>1</v>
      </c>
      <c r="AK42" s="69" t="str">
        <f t="shared" si="5"/>
        <v>ARAT1</v>
      </c>
    </row>
    <row r="43" spans="1:37" ht="118.95" customHeight="1" x14ac:dyDescent="0.3">
      <c r="B43" s="1">
        <f t="shared" si="4"/>
        <v>190</v>
      </c>
      <c r="C43" cm="1">
        <f t="array" ref="C43">IFERROR(MAX(--_xlfn.TEXTSPLIT(D43,";")),0)</f>
        <v>132</v>
      </c>
      <c r="D43" t="s">
        <v>1826</v>
      </c>
      <c r="E43" s="1" t="s">
        <v>630</v>
      </c>
      <c r="F43" s="1" t="s">
        <v>1877</v>
      </c>
      <c r="G43" s="1">
        <v>1</v>
      </c>
      <c r="H43" s="1" t="s">
        <v>631</v>
      </c>
      <c r="I43" s="1" t="s">
        <v>632</v>
      </c>
      <c r="J43" s="1" t="s">
        <v>36</v>
      </c>
      <c r="K43" s="1" t="s">
        <v>190</v>
      </c>
      <c r="L43" s="1" t="s">
        <v>38</v>
      </c>
      <c r="M43" s="1" t="s">
        <v>66</v>
      </c>
      <c r="N43" s="2">
        <v>39281</v>
      </c>
      <c r="O43" s="3">
        <v>6560000</v>
      </c>
      <c r="P43" s="3" t="s">
        <v>41</v>
      </c>
      <c r="Q43" s="1" t="s">
        <v>264</v>
      </c>
      <c r="R43" s="1" t="s">
        <v>43</v>
      </c>
      <c r="S43" s="3" t="s">
        <v>44</v>
      </c>
      <c r="T43" s="3" t="s">
        <v>484</v>
      </c>
      <c r="U43" s="2">
        <v>40903</v>
      </c>
      <c r="V43" s="2">
        <v>41249</v>
      </c>
      <c r="W43" s="2">
        <v>41264</v>
      </c>
      <c r="X43" s="2">
        <v>41513</v>
      </c>
      <c r="Y43" s="2">
        <v>41757</v>
      </c>
      <c r="Z43" s="3" t="s">
        <v>633</v>
      </c>
      <c r="AA43" s="3" t="s">
        <v>634</v>
      </c>
      <c r="AB43" s="3" t="s">
        <v>48</v>
      </c>
      <c r="AC43" s="2">
        <v>41757</v>
      </c>
      <c r="AD43" s="2">
        <v>42325</v>
      </c>
      <c r="AE43" s="2" t="s">
        <v>106</v>
      </c>
      <c r="AF43" s="2" t="s">
        <v>269</v>
      </c>
      <c r="AG43" s="2" t="s">
        <v>269</v>
      </c>
      <c r="AH43" s="2" t="s">
        <v>269</v>
      </c>
      <c r="AI43" s="5">
        <v>7780.25</v>
      </c>
      <c r="AJ43" s="6">
        <v>0</v>
      </c>
      <c r="AK43" s="69" t="str">
        <f t="shared" si="5"/>
        <v>RLOA1</v>
      </c>
    </row>
    <row r="44" spans="1:37" ht="118.95" customHeight="1" x14ac:dyDescent="0.3">
      <c r="B44" s="1">
        <f t="shared" si="4"/>
        <v>190</v>
      </c>
      <c r="C44" cm="1">
        <f t="array" ref="C44">IFERROR(MAX(--_xlfn.TEXTSPLIT(D44,";")),0)</f>
        <v>132</v>
      </c>
      <c r="D44" t="s">
        <v>1826</v>
      </c>
      <c r="E44" s="1" t="s">
        <v>770</v>
      </c>
      <c r="F44" s="1" t="s">
        <v>1877</v>
      </c>
      <c r="G44" s="1">
        <v>2</v>
      </c>
      <c r="H44" s="1" t="s">
        <v>771</v>
      </c>
      <c r="I44" s="1" t="s">
        <v>772</v>
      </c>
      <c r="J44" s="1" t="s">
        <v>36</v>
      </c>
      <c r="K44" s="1" t="s">
        <v>190</v>
      </c>
      <c r="L44" s="1" t="s">
        <v>38</v>
      </c>
      <c r="M44" s="1" t="s">
        <v>39</v>
      </c>
      <c r="N44" s="2"/>
      <c r="O44" s="3">
        <v>7330000</v>
      </c>
      <c r="P44" s="3" t="s">
        <v>41</v>
      </c>
      <c r="Q44" s="4" t="s">
        <v>773</v>
      </c>
      <c r="R44" s="1" t="s">
        <v>662</v>
      </c>
      <c r="S44" s="3" t="s">
        <v>44</v>
      </c>
      <c r="T44" s="3" t="s">
        <v>152</v>
      </c>
      <c r="U44" s="2">
        <v>42832</v>
      </c>
      <c r="V44" s="2">
        <v>43027</v>
      </c>
      <c r="W44" s="2">
        <v>43055</v>
      </c>
      <c r="X44" s="2">
        <v>43096</v>
      </c>
      <c r="Y44" s="2">
        <v>43200</v>
      </c>
      <c r="Z44" s="3" t="s">
        <v>774</v>
      </c>
      <c r="AA44" s="3" t="s">
        <v>775</v>
      </c>
      <c r="AB44" s="3" t="s">
        <v>776</v>
      </c>
      <c r="AC44" s="2">
        <v>43200</v>
      </c>
      <c r="AD44" s="2">
        <v>57810</v>
      </c>
      <c r="AE44" s="2" t="s">
        <v>106</v>
      </c>
      <c r="AF44" s="2">
        <v>44060</v>
      </c>
      <c r="AG44" s="2" t="s">
        <v>697</v>
      </c>
      <c r="AH44" s="2" t="s">
        <v>697</v>
      </c>
      <c r="AI44" s="5">
        <v>7330000</v>
      </c>
      <c r="AJ44" s="6" t="s">
        <v>777</v>
      </c>
      <c r="AK44" s="69" t="str">
        <f t="shared" si="5"/>
        <v>RLOA2</v>
      </c>
    </row>
    <row r="45" spans="1:37" ht="118.95" customHeight="1" x14ac:dyDescent="0.3">
      <c r="B45" s="1">
        <f t="shared" si="4"/>
        <v>190</v>
      </c>
      <c r="C45" cm="1">
        <f t="array" ref="C45">IFERROR(MAX(--_xlfn.TEXTSPLIT(D45,";")),0)</f>
        <v>33</v>
      </c>
      <c r="D45" t="s">
        <v>1775</v>
      </c>
      <c r="E45" s="1" t="s">
        <v>495</v>
      </c>
      <c r="F45" s="1" t="s">
        <v>809</v>
      </c>
      <c r="G45" s="1">
        <v>2</v>
      </c>
      <c r="H45" s="1" t="s">
        <v>496</v>
      </c>
      <c r="I45" s="1" t="s">
        <v>497</v>
      </c>
      <c r="J45" s="1" t="s">
        <v>64</v>
      </c>
      <c r="K45" s="1" t="s">
        <v>75</v>
      </c>
      <c r="L45" s="1" t="s">
        <v>38</v>
      </c>
      <c r="M45" s="1" t="s">
        <v>39</v>
      </c>
      <c r="N45" s="2" t="s">
        <v>40</v>
      </c>
      <c r="O45" s="3">
        <v>441300</v>
      </c>
      <c r="P45" s="3" t="s">
        <v>41</v>
      </c>
      <c r="Q45" s="1" t="s">
        <v>498</v>
      </c>
      <c r="R45" s="1" t="s">
        <v>43</v>
      </c>
      <c r="S45" s="3" t="s">
        <v>123</v>
      </c>
      <c r="T45" s="3" t="s">
        <v>152</v>
      </c>
      <c r="U45" s="2">
        <v>39208</v>
      </c>
      <c r="V45" s="2">
        <v>39350</v>
      </c>
      <c r="W45" s="2">
        <v>39373</v>
      </c>
      <c r="X45" s="2">
        <v>39393</v>
      </c>
      <c r="Y45" s="2">
        <v>39475</v>
      </c>
      <c r="Z45" s="3" t="s">
        <v>499</v>
      </c>
      <c r="AA45" s="3" t="s">
        <v>500</v>
      </c>
      <c r="AB45" s="3" t="s">
        <v>501</v>
      </c>
      <c r="AC45" s="2">
        <v>39475</v>
      </c>
      <c r="AD45" s="2">
        <v>41759</v>
      </c>
      <c r="AE45" s="2" t="s">
        <v>106</v>
      </c>
      <c r="AF45" s="2" t="s">
        <v>50</v>
      </c>
      <c r="AG45" s="2">
        <v>40260</v>
      </c>
      <c r="AH45" s="2">
        <v>40492</v>
      </c>
      <c r="AI45" s="5">
        <v>594173.75</v>
      </c>
      <c r="AJ45" s="6">
        <v>1</v>
      </c>
      <c r="AK45" s="69" t="str">
        <f t="shared" si="5"/>
        <v>ATEP2</v>
      </c>
    </row>
    <row r="46" spans="1:37" ht="168.6" customHeight="1" x14ac:dyDescent="0.3">
      <c r="B46" s="1">
        <f t="shared" si="4"/>
        <v>190</v>
      </c>
      <c r="C46" cm="1">
        <f t="array" ref="C46">IFERROR(MAX(--_xlfn.TEXTSPLIT(D46,";")),0)</f>
        <v>33</v>
      </c>
      <c r="D46" t="s">
        <v>1775</v>
      </c>
      <c r="E46" s="1" t="s">
        <v>681</v>
      </c>
      <c r="F46" s="1" t="s">
        <v>809</v>
      </c>
      <c r="G46" s="1">
        <v>3</v>
      </c>
      <c r="H46" s="1" t="s">
        <v>682</v>
      </c>
      <c r="I46" s="1" t="s">
        <v>683</v>
      </c>
      <c r="J46" s="1" t="s">
        <v>64</v>
      </c>
      <c r="K46" s="1" t="s">
        <v>75</v>
      </c>
      <c r="L46" s="1" t="s">
        <v>38</v>
      </c>
      <c r="M46" s="1" t="s">
        <v>39</v>
      </c>
      <c r="N46" s="2" t="s">
        <v>40</v>
      </c>
      <c r="O46" s="3">
        <v>92000</v>
      </c>
      <c r="P46" s="3" t="s">
        <v>41</v>
      </c>
      <c r="Q46" s="1" t="s">
        <v>684</v>
      </c>
      <c r="R46" s="1" t="s">
        <v>43</v>
      </c>
      <c r="S46" s="3" t="s">
        <v>123</v>
      </c>
      <c r="T46" s="3" t="s">
        <v>639</v>
      </c>
      <c r="U46" s="2">
        <v>41516</v>
      </c>
      <c r="V46" s="2">
        <v>41613</v>
      </c>
      <c r="W46" s="2">
        <v>41635</v>
      </c>
      <c r="X46" s="2">
        <v>41681</v>
      </c>
      <c r="Y46" s="2">
        <v>41726</v>
      </c>
      <c r="Z46" s="3" t="s">
        <v>685</v>
      </c>
      <c r="AA46" s="3" t="s">
        <v>686</v>
      </c>
      <c r="AB46" s="3" t="s">
        <v>687</v>
      </c>
      <c r="AC46" s="2">
        <v>41726</v>
      </c>
      <c r="AD46" s="2">
        <v>43220</v>
      </c>
      <c r="AE46" s="2" t="s">
        <v>49</v>
      </c>
      <c r="AF46" s="2">
        <v>41928</v>
      </c>
      <c r="AG46" s="2">
        <v>42415</v>
      </c>
      <c r="AH46" s="2">
        <v>41942</v>
      </c>
      <c r="AI46" s="5">
        <v>99685.88</v>
      </c>
      <c r="AJ46" s="6">
        <v>1</v>
      </c>
      <c r="AK46" s="69" t="str">
        <f t="shared" si="5"/>
        <v>ATEP3</v>
      </c>
    </row>
    <row r="47" spans="1:37" ht="118.95" customHeight="1" x14ac:dyDescent="0.3">
      <c r="B47" s="1">
        <f t="shared" si="4"/>
        <v>190</v>
      </c>
      <c r="C47" cm="1">
        <f t="array" ref="C47">IFERROR(MAX(--_xlfn.TEXTSPLIT(D47,";")),0)</f>
        <v>33</v>
      </c>
      <c r="D47" t="s">
        <v>1775</v>
      </c>
      <c r="E47" s="1" t="s">
        <v>808</v>
      </c>
      <c r="F47" s="1" t="s">
        <v>809</v>
      </c>
      <c r="G47" s="1">
        <v>4</v>
      </c>
      <c r="H47" s="1" t="s">
        <v>810</v>
      </c>
      <c r="I47" s="1" t="s">
        <v>811</v>
      </c>
      <c r="J47" s="1" t="s">
        <v>64</v>
      </c>
      <c r="K47" s="1" t="s">
        <v>75</v>
      </c>
      <c r="L47" s="1" t="s">
        <v>38</v>
      </c>
      <c r="M47" s="1" t="s">
        <v>39</v>
      </c>
      <c r="N47" s="2" t="s">
        <v>40</v>
      </c>
      <c r="O47" s="3">
        <v>810000</v>
      </c>
      <c r="P47" s="3" t="s">
        <v>41</v>
      </c>
      <c r="Q47" s="1" t="s">
        <v>812</v>
      </c>
      <c r="R47" s="1" t="s">
        <v>133</v>
      </c>
      <c r="S47" s="3" t="s">
        <v>44</v>
      </c>
      <c r="T47" s="3" t="s">
        <v>114</v>
      </c>
      <c r="U47" s="2">
        <v>43033</v>
      </c>
      <c r="V47" s="2">
        <v>43126</v>
      </c>
      <c r="W47" s="2">
        <v>43146</v>
      </c>
      <c r="X47" s="2">
        <v>43160</v>
      </c>
      <c r="Y47" s="2">
        <v>43193</v>
      </c>
      <c r="Z47" s="3" t="s">
        <v>813</v>
      </c>
      <c r="AA47" s="3" t="s">
        <v>814</v>
      </c>
      <c r="AB47" s="3" t="s">
        <v>815</v>
      </c>
      <c r="AC47" s="2">
        <v>43221</v>
      </c>
      <c r="AD47" s="2">
        <v>46327</v>
      </c>
      <c r="AE47" s="2" t="s">
        <v>49</v>
      </c>
      <c r="AF47" s="2">
        <v>44421</v>
      </c>
      <c r="AG47" s="2">
        <v>44848</v>
      </c>
      <c r="AH47" s="2">
        <v>45521</v>
      </c>
      <c r="AI47" s="8">
        <v>1306596.7</v>
      </c>
      <c r="AJ47" s="6">
        <v>1</v>
      </c>
      <c r="AK47" s="69" t="str">
        <f t="shared" si="5"/>
        <v>ATEP4</v>
      </c>
    </row>
    <row r="48" spans="1:37" ht="118.95" customHeight="1" x14ac:dyDescent="0.3">
      <c r="B48" s="1">
        <f t="shared" si="4"/>
        <v>190</v>
      </c>
      <c r="C48" cm="1">
        <f t="array" ref="C48">IFERROR(MAX(--_xlfn.TEXTSPLIT(D48,";")),0)</f>
        <v>129</v>
      </c>
      <c r="D48" t="s">
        <v>1825</v>
      </c>
      <c r="E48" s="1" t="s">
        <v>839</v>
      </c>
      <c r="F48" s="1" t="s">
        <v>1876</v>
      </c>
      <c r="G48" s="1">
        <v>1</v>
      </c>
      <c r="H48" s="1" t="s">
        <v>840</v>
      </c>
      <c r="I48" s="1" t="s">
        <v>841</v>
      </c>
      <c r="J48" s="1" t="s">
        <v>64</v>
      </c>
      <c r="K48" s="1" t="s">
        <v>842</v>
      </c>
      <c r="L48" s="1" t="s">
        <v>38</v>
      </c>
      <c r="M48" s="1" t="s">
        <v>39</v>
      </c>
      <c r="N48" s="2" t="s">
        <v>40</v>
      </c>
      <c r="O48" s="3">
        <v>3965000</v>
      </c>
      <c r="P48" s="3" t="s">
        <v>41</v>
      </c>
      <c r="Q48" s="1" t="s">
        <v>843</v>
      </c>
      <c r="R48" s="1" t="s">
        <v>662</v>
      </c>
      <c r="S48" s="3" t="s">
        <v>44</v>
      </c>
      <c r="T48" s="3" t="s">
        <v>152</v>
      </c>
      <c r="U48" s="2">
        <v>43694</v>
      </c>
      <c r="V48" s="2">
        <v>44155</v>
      </c>
      <c r="W48" s="2">
        <v>44187</v>
      </c>
      <c r="X48" s="2">
        <v>44218</v>
      </c>
      <c r="Y48" s="2">
        <v>44277</v>
      </c>
      <c r="Z48" s="3" t="s">
        <v>844</v>
      </c>
      <c r="AA48" s="3" t="s">
        <v>845</v>
      </c>
      <c r="AB48" s="3" t="s">
        <v>846</v>
      </c>
      <c r="AC48" s="2">
        <v>44277</v>
      </c>
      <c r="AD48" s="2">
        <v>55965</v>
      </c>
      <c r="AE48" s="2" t="s">
        <v>106</v>
      </c>
      <c r="AF48" s="2">
        <v>45072</v>
      </c>
      <c r="AG48" s="2" t="s">
        <v>697</v>
      </c>
      <c r="AH48" s="2" t="s">
        <v>697</v>
      </c>
      <c r="AI48" s="5">
        <v>3965000</v>
      </c>
      <c r="AJ48" s="6" t="s">
        <v>847</v>
      </c>
      <c r="AK48" s="69" t="str">
        <f t="shared" si="5"/>
        <v>RAUS1</v>
      </c>
    </row>
    <row r="49" spans="2:37" ht="118.95" customHeight="1" x14ac:dyDescent="0.3">
      <c r="B49" s="1">
        <f t="shared" si="4"/>
        <v>190</v>
      </c>
      <c r="C49" cm="1">
        <f t="array" ref="C49">IFERROR(MAX(--_xlfn.TEXTSPLIT(D49,";")),0)</f>
        <v>34</v>
      </c>
      <c r="D49" t="s">
        <v>1777</v>
      </c>
      <c r="E49" s="1" t="s">
        <v>287</v>
      </c>
      <c r="F49" s="1" t="s">
        <v>288</v>
      </c>
      <c r="G49" s="1">
        <v>1</v>
      </c>
      <c r="H49" s="1" t="s">
        <v>289</v>
      </c>
      <c r="I49" s="1" t="s">
        <v>290</v>
      </c>
      <c r="J49" s="1" t="s">
        <v>111</v>
      </c>
      <c r="K49" s="1" t="s">
        <v>112</v>
      </c>
      <c r="L49" s="1" t="s">
        <v>38</v>
      </c>
      <c r="M49" s="1" t="s">
        <v>66</v>
      </c>
      <c r="N49" s="2" t="s">
        <v>40</v>
      </c>
      <c r="O49" s="3">
        <v>10350000</v>
      </c>
      <c r="P49" s="3" t="s">
        <v>41</v>
      </c>
      <c r="Q49" s="10" t="s">
        <v>291</v>
      </c>
      <c r="R49" s="1" t="s">
        <v>133</v>
      </c>
      <c r="S49" s="3" t="s">
        <v>123</v>
      </c>
      <c r="T49" s="3" t="s">
        <v>292</v>
      </c>
      <c r="U49" s="2">
        <v>36781</v>
      </c>
      <c r="V49" s="2">
        <v>37070</v>
      </c>
      <c r="W49" s="2">
        <v>37096</v>
      </c>
      <c r="X49" s="2">
        <v>37123</v>
      </c>
      <c r="Y49" s="2">
        <v>37170</v>
      </c>
      <c r="Z49" s="3" t="s">
        <v>293</v>
      </c>
      <c r="AA49" s="3" t="s">
        <v>294</v>
      </c>
      <c r="AB49" s="3" t="s">
        <v>295</v>
      </c>
      <c r="AC49" s="2">
        <v>37596</v>
      </c>
      <c r="AD49" s="2">
        <v>48553</v>
      </c>
      <c r="AE49" s="2" t="s">
        <v>106</v>
      </c>
      <c r="AF49" s="2" t="s">
        <v>50</v>
      </c>
      <c r="AG49" s="2">
        <v>38834</v>
      </c>
      <c r="AH49" s="2">
        <v>38959</v>
      </c>
      <c r="AI49" s="8">
        <v>21176669.43</v>
      </c>
      <c r="AJ49" s="6">
        <v>1</v>
      </c>
      <c r="AK49" s="69" t="str">
        <f t="shared" si="5"/>
        <v>AVES1</v>
      </c>
    </row>
    <row r="50" spans="2:37" ht="118.95" customHeight="1" x14ac:dyDescent="0.3">
      <c r="B50" s="1">
        <f t="shared" si="4"/>
        <v>190</v>
      </c>
      <c r="C50" cm="1">
        <f t="array" ref="C50">IFERROR(MAX(--_xlfn.TEXTSPLIT(D50,";")),0)</f>
        <v>35</v>
      </c>
      <c r="D50" t="s">
        <v>1778</v>
      </c>
      <c r="E50" s="1" t="s">
        <v>316</v>
      </c>
      <c r="F50" s="1" t="s">
        <v>317</v>
      </c>
      <c r="G50" s="1">
        <v>1</v>
      </c>
      <c r="H50" s="1" t="s">
        <v>318</v>
      </c>
      <c r="I50" s="1" t="s">
        <v>319</v>
      </c>
      <c r="J50" s="1" t="s">
        <v>111</v>
      </c>
      <c r="K50" s="1" t="s">
        <v>112</v>
      </c>
      <c r="L50" s="1" t="s">
        <v>38</v>
      </c>
      <c r="M50" s="1" t="s">
        <v>66</v>
      </c>
      <c r="N50" s="2" t="s">
        <v>40</v>
      </c>
      <c r="O50" s="3">
        <v>10100000</v>
      </c>
      <c r="P50" s="3" t="s">
        <v>41</v>
      </c>
      <c r="Q50" s="1" t="s">
        <v>320</v>
      </c>
      <c r="R50" s="1" t="s">
        <v>133</v>
      </c>
      <c r="S50" s="3" t="s">
        <v>123</v>
      </c>
      <c r="T50" s="3" t="s">
        <v>275</v>
      </c>
      <c r="U50" s="2">
        <v>37077</v>
      </c>
      <c r="V50" s="2">
        <v>37224</v>
      </c>
      <c r="W50" s="2">
        <v>37246</v>
      </c>
      <c r="X50" s="2">
        <v>37320</v>
      </c>
      <c r="Y50" s="2">
        <v>37399</v>
      </c>
      <c r="Z50" s="3" t="s">
        <v>321</v>
      </c>
      <c r="AA50" s="3" t="s">
        <v>322</v>
      </c>
      <c r="AB50" s="3" t="s">
        <v>323</v>
      </c>
      <c r="AC50" s="2">
        <v>37734</v>
      </c>
      <c r="AD50" s="2">
        <v>48692</v>
      </c>
      <c r="AE50" s="2" t="s">
        <v>106</v>
      </c>
      <c r="AF50" s="2" t="s">
        <v>50</v>
      </c>
      <c r="AG50" s="2">
        <v>38721</v>
      </c>
      <c r="AH50" s="2">
        <v>42604</v>
      </c>
      <c r="AI50" s="8">
        <v>21794859.77</v>
      </c>
      <c r="AJ50" s="6">
        <v>1</v>
      </c>
      <c r="AK50" s="69" t="str">
        <f t="shared" si="5"/>
        <v>AVNP1</v>
      </c>
    </row>
    <row r="51" spans="2:37" ht="118.95" customHeight="1" x14ac:dyDescent="0.3">
      <c r="B51" s="1">
        <f t="shared" si="4"/>
        <v>190</v>
      </c>
      <c r="C51" cm="1">
        <f t="array" ref="C51">IFERROR(MAX(--_xlfn.TEXTSPLIT(D51,";")),0)</f>
        <v>36</v>
      </c>
      <c r="D51" t="s">
        <v>1779</v>
      </c>
      <c r="E51" s="1" t="s">
        <v>51</v>
      </c>
      <c r="F51" s="57" t="s">
        <v>52</v>
      </c>
      <c r="G51" s="1">
        <v>1</v>
      </c>
      <c r="H51" s="1" t="s">
        <v>53</v>
      </c>
      <c r="I51" s="1" t="s">
        <v>54</v>
      </c>
      <c r="J51" s="1" t="s">
        <v>36</v>
      </c>
      <c r="K51" s="1" t="s">
        <v>55</v>
      </c>
      <c r="L51" s="1" t="s">
        <v>38</v>
      </c>
      <c r="M51" s="1" t="s">
        <v>39</v>
      </c>
      <c r="N51" s="2" t="s">
        <v>40</v>
      </c>
      <c r="O51" s="3">
        <v>600000</v>
      </c>
      <c r="P51" s="3" t="s">
        <v>41</v>
      </c>
      <c r="Q51" s="4" t="s">
        <v>56</v>
      </c>
      <c r="R51" s="1" t="s">
        <v>43</v>
      </c>
      <c r="S51" s="3" t="s">
        <v>44</v>
      </c>
      <c r="T51" s="3" t="s">
        <v>57</v>
      </c>
      <c r="U51" s="2">
        <v>34122</v>
      </c>
      <c r="V51" s="2">
        <v>34415</v>
      </c>
      <c r="W51" s="2">
        <v>34445</v>
      </c>
      <c r="X51" s="2">
        <v>34453</v>
      </c>
      <c r="Y51" s="2">
        <v>34519</v>
      </c>
      <c r="Z51" s="3" t="s">
        <v>58</v>
      </c>
      <c r="AA51" s="3" t="s">
        <v>59</v>
      </c>
      <c r="AB51" s="3" t="s">
        <v>60</v>
      </c>
      <c r="AC51" s="2">
        <v>34509</v>
      </c>
      <c r="AD51" s="2">
        <v>41274</v>
      </c>
      <c r="AE51" s="2" t="s">
        <v>49</v>
      </c>
      <c r="AF51" s="2" t="s">
        <v>50</v>
      </c>
      <c r="AG51" s="2">
        <v>35391</v>
      </c>
      <c r="AH51" s="2">
        <v>35248</v>
      </c>
      <c r="AI51" s="5">
        <v>1090333.0000000002</v>
      </c>
      <c r="AJ51" s="6">
        <v>1</v>
      </c>
      <c r="AK51" s="69" t="str">
        <f t="shared" si="5"/>
        <v>CDMA1</v>
      </c>
    </row>
    <row r="52" spans="2:37" ht="118.95" customHeight="1" x14ac:dyDescent="0.3">
      <c r="B52" s="1">
        <f t="shared" si="4"/>
        <v>190</v>
      </c>
      <c r="C52" cm="1">
        <f t="array" ref="C52">IFERROR(MAX(--_xlfn.TEXTSPLIT(D52,";")),0)</f>
        <v>37</v>
      </c>
      <c r="D52" t="s">
        <v>1780</v>
      </c>
      <c r="E52" s="1" t="s">
        <v>156</v>
      </c>
      <c r="F52" s="1" t="s">
        <v>1854</v>
      </c>
      <c r="G52" s="1">
        <v>1</v>
      </c>
      <c r="H52" s="1" t="s">
        <v>157</v>
      </c>
      <c r="I52" s="1" t="s">
        <v>158</v>
      </c>
      <c r="J52" s="1" t="s">
        <v>36</v>
      </c>
      <c r="K52" s="1" t="s">
        <v>159</v>
      </c>
      <c r="L52" s="1" t="s">
        <v>38</v>
      </c>
      <c r="M52" s="1" t="s">
        <v>39</v>
      </c>
      <c r="N52" s="2" t="s">
        <v>40</v>
      </c>
      <c r="O52" s="3">
        <v>6640000</v>
      </c>
      <c r="P52" s="3" t="s">
        <v>41</v>
      </c>
      <c r="Q52" s="1" t="s">
        <v>160</v>
      </c>
      <c r="R52" s="1" t="s">
        <v>43</v>
      </c>
      <c r="S52" s="3" t="s">
        <v>123</v>
      </c>
      <c r="T52" s="3" t="s">
        <v>124</v>
      </c>
      <c r="U52" s="2">
        <v>35370</v>
      </c>
      <c r="V52" s="2">
        <v>35493</v>
      </c>
      <c r="W52" s="2">
        <v>35506</v>
      </c>
      <c r="X52" s="2">
        <v>35611</v>
      </c>
      <c r="Y52" s="2">
        <v>35717</v>
      </c>
      <c r="Z52" s="3" t="s">
        <v>161</v>
      </c>
      <c r="AA52" s="3" t="s">
        <v>162</v>
      </c>
      <c r="AB52" s="3" t="s">
        <v>163</v>
      </c>
      <c r="AC52" s="2">
        <v>35956</v>
      </c>
      <c r="AD52" s="2">
        <v>44971</v>
      </c>
      <c r="AE52" s="2" t="s">
        <v>49</v>
      </c>
      <c r="AF52" s="2" t="s">
        <v>50</v>
      </c>
      <c r="AG52" s="2">
        <v>37452</v>
      </c>
      <c r="AH52" s="2">
        <v>37812</v>
      </c>
      <c r="AI52" s="5">
        <v>9603667.0933703333</v>
      </c>
      <c r="AJ52" s="6">
        <v>1</v>
      </c>
      <c r="AK52" s="69" t="str">
        <f t="shared" si="5"/>
        <v>CHCO1</v>
      </c>
    </row>
    <row r="53" spans="2:37" ht="242.4" customHeight="1" x14ac:dyDescent="0.3">
      <c r="B53" s="1">
        <f t="shared" si="4"/>
        <v>190</v>
      </c>
      <c r="C53" cm="1">
        <f t="array" ref="C53">IFERROR(MAX(--_xlfn.TEXTSPLIT(D53,";")),0)</f>
        <v>126</v>
      </c>
      <c r="D53" t="s">
        <v>1817</v>
      </c>
      <c r="E53" s="71" t="s">
        <v>1744</v>
      </c>
      <c r="F53" s="1" t="s">
        <v>1873</v>
      </c>
      <c r="G53" s="57"/>
      <c r="H53" s="60" t="s">
        <v>1737</v>
      </c>
      <c r="I53" s="1" t="s">
        <v>1989</v>
      </c>
      <c r="J53" s="57" t="s">
        <v>36</v>
      </c>
      <c r="K53" s="1" t="s">
        <v>198</v>
      </c>
      <c r="L53" s="57"/>
      <c r="M53" s="57" t="s">
        <v>39</v>
      </c>
      <c r="N53" s="58"/>
      <c r="O53" s="59"/>
      <c r="P53" s="57"/>
      <c r="Q53" s="57"/>
      <c r="R53" s="57" t="s">
        <v>662</v>
      </c>
      <c r="S53" s="57"/>
      <c r="T53" s="57"/>
      <c r="U53" s="58">
        <v>45835</v>
      </c>
      <c r="V53" s="58">
        <v>46085</v>
      </c>
      <c r="W53" s="58">
        <v>46113</v>
      </c>
      <c r="X53" s="58"/>
      <c r="Y53" s="58"/>
      <c r="Z53" s="57"/>
      <c r="AA53" s="57" t="s">
        <v>1990</v>
      </c>
      <c r="AB53" s="57"/>
      <c r="AC53" s="58">
        <v>46186</v>
      </c>
      <c r="AD53" s="58"/>
      <c r="AE53" s="57" t="s">
        <v>106</v>
      </c>
      <c r="AF53" s="57"/>
      <c r="AG53" s="57"/>
      <c r="AH53" s="57"/>
      <c r="AI53" s="22"/>
      <c r="AJ53" s="23"/>
      <c r="AK53" s="69" t="str">
        <f t="shared" si="5"/>
        <v>RBPM2</v>
      </c>
    </row>
    <row r="54" spans="2:37" ht="118.95" customHeight="1" x14ac:dyDescent="0.3">
      <c r="B54" s="1">
        <f t="shared" si="4"/>
        <v>190</v>
      </c>
      <c r="C54" cm="1">
        <f t="array" ref="C54">IFERROR(MAX(--_xlfn.TEXTSPLIT(D54,";")),0)</f>
        <v>38</v>
      </c>
      <c r="D54" t="s">
        <v>1781</v>
      </c>
      <c r="E54" s="1" t="s">
        <v>98</v>
      </c>
      <c r="F54" s="1" t="s">
        <v>99</v>
      </c>
      <c r="G54" s="1">
        <v>1</v>
      </c>
      <c r="H54" s="1" t="s">
        <v>100</v>
      </c>
      <c r="I54" s="1" t="s">
        <v>101</v>
      </c>
      <c r="J54" s="1" t="s">
        <v>36</v>
      </c>
      <c r="K54" s="1" t="s">
        <v>37</v>
      </c>
      <c r="L54" s="1" t="s">
        <v>38</v>
      </c>
      <c r="M54" s="1" t="s">
        <v>39</v>
      </c>
      <c r="N54" s="2" t="s">
        <v>40</v>
      </c>
      <c r="O54" s="3">
        <v>298000</v>
      </c>
      <c r="P54" s="3" t="s">
        <v>41</v>
      </c>
      <c r="Q54" s="4" t="s">
        <v>102</v>
      </c>
      <c r="R54" s="1" t="s">
        <v>43</v>
      </c>
      <c r="S54" s="3" t="s">
        <v>44</v>
      </c>
      <c r="T54" s="3" t="s">
        <v>85</v>
      </c>
      <c r="U54" s="2">
        <v>34758</v>
      </c>
      <c r="V54" s="2">
        <v>34851</v>
      </c>
      <c r="W54" s="2">
        <v>34884</v>
      </c>
      <c r="X54" s="2">
        <v>34908</v>
      </c>
      <c r="Y54" s="2">
        <v>35006</v>
      </c>
      <c r="Z54" s="3" t="s">
        <v>103</v>
      </c>
      <c r="AA54" s="3" t="s">
        <v>104</v>
      </c>
      <c r="AB54" s="59" t="s">
        <v>105</v>
      </c>
      <c r="AC54" s="2">
        <v>35011</v>
      </c>
      <c r="AD54" s="2">
        <v>42613</v>
      </c>
      <c r="AE54" s="2" t="s">
        <v>106</v>
      </c>
      <c r="AF54" s="2" t="s">
        <v>50</v>
      </c>
      <c r="AG54" s="2">
        <v>35504</v>
      </c>
      <c r="AH54" s="2">
        <v>35732</v>
      </c>
      <c r="AI54" s="5">
        <v>430872.77</v>
      </c>
      <c r="AJ54" s="6">
        <v>1</v>
      </c>
      <c r="AK54" s="69" t="str">
        <f t="shared" si="5"/>
        <v>CNPU1</v>
      </c>
    </row>
    <row r="55" spans="2:37" ht="118.95" customHeight="1" x14ac:dyDescent="0.3">
      <c r="B55" s="1">
        <f t="shared" si="4"/>
        <v>190</v>
      </c>
      <c r="C55" cm="1">
        <f t="array" ref="C55">IFERROR(MAX(--_xlfn.TEXTSPLIT(D55,";")),0)</f>
        <v>42</v>
      </c>
      <c r="D55" t="s">
        <v>1782</v>
      </c>
      <c r="E55" s="1" t="s">
        <v>666</v>
      </c>
      <c r="F55" s="1" t="s">
        <v>667</v>
      </c>
      <c r="G55" s="1">
        <v>1</v>
      </c>
      <c r="H55" s="1" t="s">
        <v>668</v>
      </c>
      <c r="I55" s="1" t="s">
        <v>669</v>
      </c>
      <c r="J55" s="1" t="s">
        <v>385</v>
      </c>
      <c r="K55" s="1" t="s">
        <v>37</v>
      </c>
      <c r="L55" s="1" t="s">
        <v>38</v>
      </c>
      <c r="M55" s="1" t="s">
        <v>39</v>
      </c>
      <c r="N55" s="2" t="s">
        <v>40</v>
      </c>
      <c r="O55" s="3">
        <v>1924500</v>
      </c>
      <c r="P55" s="3" t="s">
        <v>41</v>
      </c>
      <c r="Q55" s="1" t="s">
        <v>670</v>
      </c>
      <c r="R55" s="1" t="s">
        <v>133</v>
      </c>
      <c r="S55" s="3" t="s">
        <v>44</v>
      </c>
      <c r="T55" s="3" t="s">
        <v>301</v>
      </c>
      <c r="U55" s="2">
        <v>41274</v>
      </c>
      <c r="V55" s="2">
        <v>41969</v>
      </c>
      <c r="W55" s="2">
        <v>41992</v>
      </c>
      <c r="X55" s="2">
        <v>42082</v>
      </c>
      <c r="Y55" s="2">
        <v>42142</v>
      </c>
      <c r="Z55" s="3" t="s">
        <v>671</v>
      </c>
      <c r="AA55" s="3" t="s">
        <v>672</v>
      </c>
      <c r="AB55" s="3" t="s">
        <v>673</v>
      </c>
      <c r="AC55" s="2">
        <v>42142</v>
      </c>
      <c r="AD55" s="2">
        <v>47804</v>
      </c>
      <c r="AE55" s="2" t="s">
        <v>49</v>
      </c>
      <c r="AF55" s="2">
        <v>42748</v>
      </c>
      <c r="AG55" s="2">
        <v>43669</v>
      </c>
      <c r="AH55" s="2">
        <v>43793</v>
      </c>
      <c r="AI55" s="8">
        <v>2032422.63</v>
      </c>
      <c r="AJ55" s="6">
        <v>1</v>
      </c>
      <c r="AK55" s="69" t="str">
        <f t="shared" si="5"/>
        <v>CFLL1</v>
      </c>
    </row>
    <row r="56" spans="2:37" ht="118.95" customHeight="1" x14ac:dyDescent="0.3">
      <c r="B56" s="1">
        <f t="shared" si="4"/>
        <v>190</v>
      </c>
      <c r="C56" cm="1">
        <f t="array" ref="C56">IFERROR(MAX(--_xlfn.TEXTSPLIT(D56,";")),0)</f>
        <v>124</v>
      </c>
      <c r="D56" t="s">
        <v>1815</v>
      </c>
      <c r="E56" s="44" t="s">
        <v>1007</v>
      </c>
      <c r="F56" s="45" t="s">
        <v>1008</v>
      </c>
      <c r="G56" s="1">
        <v>2</v>
      </c>
      <c r="H56" s="44" t="s">
        <v>1009</v>
      </c>
      <c r="I56" s="1" t="s">
        <v>1010</v>
      </c>
      <c r="J56" s="1" t="s">
        <v>64</v>
      </c>
      <c r="K56" s="1" t="s">
        <v>1011</v>
      </c>
      <c r="L56" s="1" t="s">
        <v>38</v>
      </c>
      <c r="M56" s="1" t="s">
        <v>39</v>
      </c>
      <c r="N56" s="2"/>
      <c r="O56" s="3">
        <v>3070000</v>
      </c>
      <c r="P56" s="1" t="s">
        <v>41</v>
      </c>
      <c r="Q56" s="1" t="s">
        <v>1012</v>
      </c>
      <c r="R56" s="1" t="s">
        <v>662</v>
      </c>
      <c r="S56" s="1" t="s">
        <v>44</v>
      </c>
      <c r="T56" s="1" t="s">
        <v>1013</v>
      </c>
      <c r="U56" s="2">
        <v>45233</v>
      </c>
      <c r="V56" s="2">
        <v>45252</v>
      </c>
      <c r="W56" s="2">
        <v>45646</v>
      </c>
      <c r="X56" s="2">
        <v>45737</v>
      </c>
      <c r="Y56" s="2">
        <v>45888</v>
      </c>
      <c r="Z56" s="1" t="s">
        <v>1014</v>
      </c>
      <c r="AA56" s="1" t="s">
        <v>1015</v>
      </c>
      <c r="AB56" s="1" t="s">
        <v>1016</v>
      </c>
      <c r="AC56" s="2">
        <v>45888</v>
      </c>
      <c r="AD56" s="2">
        <v>55384</v>
      </c>
      <c r="AE56" s="1" t="s">
        <v>106</v>
      </c>
      <c r="AF56" s="1" t="s">
        <v>855</v>
      </c>
      <c r="AG56" s="1" t="s">
        <v>697</v>
      </c>
      <c r="AH56" s="1" t="s">
        <v>697</v>
      </c>
      <c r="AI56" s="47">
        <v>3070000</v>
      </c>
      <c r="AJ56" s="23">
        <v>0</v>
      </c>
      <c r="AK56" s="69" t="str">
        <f t="shared" si="5"/>
        <v>NARA2</v>
      </c>
    </row>
    <row r="57" spans="2:37" ht="118.95" customHeight="1" x14ac:dyDescent="0.3">
      <c r="B57" s="1">
        <f t="shared" si="4"/>
        <v>190</v>
      </c>
      <c r="C57" cm="1">
        <f t="array" ref="C57">IFERROR(MAX(--_xlfn.TEXTSPLIT(D57,";")),0)</f>
        <v>43</v>
      </c>
      <c r="D57" t="s">
        <v>1784</v>
      </c>
      <c r="E57" s="1" t="s">
        <v>600</v>
      </c>
      <c r="F57" s="1" t="s">
        <v>1855</v>
      </c>
      <c r="G57" s="1">
        <v>1</v>
      </c>
      <c r="H57" s="1" t="s">
        <v>601</v>
      </c>
      <c r="I57" s="1" t="s">
        <v>602</v>
      </c>
      <c r="J57" s="1" t="s">
        <v>36</v>
      </c>
      <c r="K57" s="1" t="s">
        <v>83</v>
      </c>
      <c r="L57" s="1" t="s">
        <v>38</v>
      </c>
      <c r="M57" s="1" t="s">
        <v>66</v>
      </c>
      <c r="N57" s="2">
        <v>38646</v>
      </c>
      <c r="O57" s="3">
        <v>8400000</v>
      </c>
      <c r="P57" s="3" t="s">
        <v>41</v>
      </c>
      <c r="Q57" s="1" t="s">
        <v>603</v>
      </c>
      <c r="R57" s="1" t="s">
        <v>133</v>
      </c>
      <c r="S57" s="3" t="s">
        <v>44</v>
      </c>
      <c r="T57" s="3" t="s">
        <v>484</v>
      </c>
      <c r="U57" s="2">
        <v>40186</v>
      </c>
      <c r="V57" s="2">
        <v>40539</v>
      </c>
      <c r="W57" s="2">
        <v>40560</v>
      </c>
      <c r="X57" s="2">
        <v>40701</v>
      </c>
      <c r="Y57" s="2">
        <v>40789</v>
      </c>
      <c r="Z57" s="3" t="s">
        <v>604</v>
      </c>
      <c r="AA57" s="3" t="s">
        <v>605</v>
      </c>
      <c r="AB57" s="3" t="s">
        <v>606</v>
      </c>
      <c r="AC57" s="2">
        <v>40789</v>
      </c>
      <c r="AD57" s="2">
        <v>54241</v>
      </c>
      <c r="AE57" s="2" t="s">
        <v>106</v>
      </c>
      <c r="AF57" s="2">
        <v>41086</v>
      </c>
      <c r="AG57" s="2">
        <v>42600</v>
      </c>
      <c r="AH57" s="2">
        <v>43320</v>
      </c>
      <c r="AI57" s="66">
        <v>9125338.2400000002</v>
      </c>
      <c r="AJ57" s="6">
        <v>1</v>
      </c>
      <c r="AK57" s="70" t="str">
        <f t="shared" si="5"/>
        <v>COCA1</v>
      </c>
    </row>
    <row r="58" spans="2:37" ht="118.95" customHeight="1" x14ac:dyDescent="0.3">
      <c r="B58" s="1">
        <f t="shared" si="4"/>
        <v>190</v>
      </c>
      <c r="C58" cm="1">
        <f t="array" ref="C58">IFERROR(MAX(--_xlfn.TEXTSPLIT(D58,";")),0)</f>
        <v>44</v>
      </c>
      <c r="D58" t="s">
        <v>1785</v>
      </c>
      <c r="E58" s="1" t="s">
        <v>516</v>
      </c>
      <c r="F58" s="1" t="s">
        <v>517</v>
      </c>
      <c r="G58" s="1">
        <v>1</v>
      </c>
      <c r="H58" s="1" t="s">
        <v>518</v>
      </c>
      <c r="I58" s="1" t="s">
        <v>519</v>
      </c>
      <c r="J58" s="1" t="s">
        <v>385</v>
      </c>
      <c r="K58" s="1" t="s">
        <v>112</v>
      </c>
      <c r="L58" s="1" t="s">
        <v>38</v>
      </c>
      <c r="M58" s="1" t="s">
        <v>66</v>
      </c>
      <c r="N58" s="2">
        <v>37337</v>
      </c>
      <c r="O58" s="3">
        <v>482000</v>
      </c>
      <c r="P58" s="3" t="s">
        <v>41</v>
      </c>
      <c r="Q58" s="4" t="s">
        <v>520</v>
      </c>
      <c r="R58" s="1" t="s">
        <v>133</v>
      </c>
      <c r="S58" s="3" t="s">
        <v>44</v>
      </c>
      <c r="T58" s="3" t="s">
        <v>114</v>
      </c>
      <c r="U58" s="2">
        <v>39451</v>
      </c>
      <c r="V58" s="2">
        <v>40121</v>
      </c>
      <c r="W58" s="2">
        <v>40149</v>
      </c>
      <c r="X58" s="2">
        <v>40224</v>
      </c>
      <c r="Y58" s="2">
        <v>40303</v>
      </c>
      <c r="Z58" s="3" t="s">
        <v>521</v>
      </c>
      <c r="AA58" s="3" t="s">
        <v>522</v>
      </c>
      <c r="AB58" s="3" t="s">
        <v>523</v>
      </c>
      <c r="AC58" s="2">
        <v>40303</v>
      </c>
      <c r="AD58" s="2">
        <v>50987</v>
      </c>
      <c r="AE58" s="2" t="s">
        <v>49</v>
      </c>
      <c r="AF58" s="2">
        <v>41281</v>
      </c>
      <c r="AG58" s="2">
        <v>41856</v>
      </c>
      <c r="AH58" s="2">
        <v>42034</v>
      </c>
      <c r="AI58" s="8">
        <v>449094</v>
      </c>
      <c r="AJ58" s="6">
        <v>1</v>
      </c>
      <c r="AK58" s="69" t="str">
        <f t="shared" si="5"/>
        <v>CMVR1</v>
      </c>
    </row>
    <row r="59" spans="2:37" ht="118.95" customHeight="1" x14ac:dyDescent="0.3">
      <c r="B59" s="1">
        <f t="shared" si="4"/>
        <v>190</v>
      </c>
      <c r="C59" cm="1">
        <f t="array" ref="C59">IFERROR(MAX(--_xlfn.TEXTSPLIT(D59,";")),0)</f>
        <v>45</v>
      </c>
      <c r="D59" t="s">
        <v>1786</v>
      </c>
      <c r="E59" s="1" t="s">
        <v>213</v>
      </c>
      <c r="F59" s="1" t="s">
        <v>1856</v>
      </c>
      <c r="G59" s="1">
        <v>1</v>
      </c>
      <c r="H59" s="1" t="s">
        <v>214</v>
      </c>
      <c r="I59" s="1" t="s">
        <v>215</v>
      </c>
      <c r="J59" s="1" t="s">
        <v>36</v>
      </c>
      <c r="K59" s="1" t="s">
        <v>216</v>
      </c>
      <c r="L59" s="1" t="s">
        <v>38</v>
      </c>
      <c r="M59" s="1" t="s">
        <v>39</v>
      </c>
      <c r="N59" s="2" t="s">
        <v>40</v>
      </c>
      <c r="O59" s="3">
        <v>7131000</v>
      </c>
      <c r="P59" s="3" t="s">
        <v>41</v>
      </c>
      <c r="Q59" s="1" t="s">
        <v>217</v>
      </c>
      <c r="R59" s="1" t="s">
        <v>133</v>
      </c>
      <c r="S59" s="3" t="s">
        <v>123</v>
      </c>
      <c r="T59" s="3" t="s">
        <v>200</v>
      </c>
      <c r="U59" s="2">
        <v>35707</v>
      </c>
      <c r="V59" s="2">
        <v>35748</v>
      </c>
      <c r="W59" s="2">
        <v>35769</v>
      </c>
      <c r="X59" s="2">
        <v>35905</v>
      </c>
      <c r="Y59" s="2">
        <v>35984</v>
      </c>
      <c r="Z59" s="3" t="s">
        <v>218</v>
      </c>
      <c r="AA59" s="3" t="s">
        <v>219</v>
      </c>
      <c r="AB59" s="3" t="s">
        <v>220</v>
      </c>
      <c r="AC59" s="2">
        <v>36236</v>
      </c>
      <c r="AD59" s="2">
        <v>46326</v>
      </c>
      <c r="AE59" s="2" t="s">
        <v>49</v>
      </c>
      <c r="AF59" s="2" t="s">
        <v>50</v>
      </c>
      <c r="AG59" s="2">
        <v>37620</v>
      </c>
      <c r="AH59" s="2">
        <v>37914</v>
      </c>
      <c r="AI59" s="9">
        <v>13949740.699999999</v>
      </c>
      <c r="AJ59" s="6">
        <v>1</v>
      </c>
      <c r="AK59" s="69" t="str">
        <f t="shared" si="5"/>
        <v>COTE1</v>
      </c>
    </row>
    <row r="60" spans="2:37" ht="118.95" customHeight="1" x14ac:dyDescent="0.3">
      <c r="B60" s="1">
        <f t="shared" si="4"/>
        <v>190</v>
      </c>
      <c r="C60" cm="1">
        <f t="array" ref="C60">IFERROR(MAX(--_xlfn.TEXTSPLIT(D60,";")),0)</f>
        <v>48</v>
      </c>
      <c r="D60" t="s">
        <v>1787</v>
      </c>
      <c r="E60" s="1" t="s">
        <v>147</v>
      </c>
      <c r="F60" s="1" t="s">
        <v>148</v>
      </c>
      <c r="G60" s="1">
        <v>1</v>
      </c>
      <c r="H60" s="1" t="s">
        <v>149</v>
      </c>
      <c r="I60" s="1" t="s">
        <v>150</v>
      </c>
      <c r="J60" s="1" t="s">
        <v>36</v>
      </c>
      <c r="K60" s="1" t="s">
        <v>92</v>
      </c>
      <c r="L60" s="1" t="s">
        <v>38</v>
      </c>
      <c r="M60" s="1" t="s">
        <v>39</v>
      </c>
      <c r="N60" s="2" t="s">
        <v>40</v>
      </c>
      <c r="O60" s="3">
        <v>12090000</v>
      </c>
      <c r="P60" s="3" t="s">
        <v>41</v>
      </c>
      <c r="Q60" s="1" t="s">
        <v>151</v>
      </c>
      <c r="R60" s="1" t="s">
        <v>43</v>
      </c>
      <c r="S60" s="3" t="s">
        <v>123</v>
      </c>
      <c r="T60" s="3" t="s">
        <v>152</v>
      </c>
      <c r="U60" s="2">
        <v>35219</v>
      </c>
      <c r="V60" s="2">
        <v>35828</v>
      </c>
      <c r="W60" s="2">
        <v>35845</v>
      </c>
      <c r="X60" s="2">
        <v>35944</v>
      </c>
      <c r="Y60" s="2">
        <v>36038</v>
      </c>
      <c r="Z60" s="3" t="s">
        <v>153</v>
      </c>
      <c r="AA60" s="3" t="s">
        <v>154</v>
      </c>
      <c r="AB60" s="3" t="s">
        <v>155</v>
      </c>
      <c r="AC60" s="2">
        <v>36382</v>
      </c>
      <c r="AD60" s="2">
        <v>45838</v>
      </c>
      <c r="AE60" s="2" t="s">
        <v>49</v>
      </c>
      <c r="AF60" s="2" t="s">
        <v>50</v>
      </c>
      <c r="AG60" s="2">
        <v>37819</v>
      </c>
      <c r="AH60" s="2">
        <v>38090</v>
      </c>
      <c r="AI60" s="5">
        <v>15427175.559999999</v>
      </c>
      <c r="AJ60" s="6">
        <v>1</v>
      </c>
      <c r="AK60" s="69" t="str">
        <f t="shared" si="5"/>
        <v>ISVV1</v>
      </c>
    </row>
    <row r="61" spans="2:37" ht="118.95" customHeight="1" x14ac:dyDescent="0.3">
      <c r="B61" s="1">
        <f t="shared" si="4"/>
        <v>190</v>
      </c>
      <c r="C61" cm="1">
        <f t="array" ref="C61">IFERROR(MAX(--_xlfn.TEXTSPLIT(D61,";")),0)</f>
        <v>123</v>
      </c>
      <c r="D61" t="s">
        <v>1814</v>
      </c>
      <c r="E61" s="20" t="s">
        <v>969</v>
      </c>
      <c r="F61" s="20" t="s">
        <v>970</v>
      </c>
      <c r="G61" s="1">
        <v>1</v>
      </c>
      <c r="H61" s="1" t="s">
        <v>971</v>
      </c>
      <c r="I61" s="1" t="s">
        <v>972</v>
      </c>
      <c r="J61" s="1" t="s">
        <v>111</v>
      </c>
      <c r="K61" s="25" t="s">
        <v>912</v>
      </c>
      <c r="L61" s="1" t="s">
        <v>38</v>
      </c>
      <c r="M61" s="1" t="s">
        <v>66</v>
      </c>
      <c r="N61" s="2">
        <v>42531</v>
      </c>
      <c r="O61" s="26">
        <v>11967720</v>
      </c>
      <c r="P61" s="1" t="s">
        <v>41</v>
      </c>
      <c r="Q61" s="1" t="s">
        <v>973</v>
      </c>
      <c r="R61" s="1" t="s">
        <v>693</v>
      </c>
      <c r="S61" s="3" t="s">
        <v>44</v>
      </c>
      <c r="T61" s="3" t="s">
        <v>152</v>
      </c>
      <c r="U61" s="2">
        <v>44989</v>
      </c>
      <c r="V61" s="2">
        <v>45230</v>
      </c>
      <c r="W61" s="2">
        <v>45260</v>
      </c>
      <c r="X61" s="2">
        <v>45388</v>
      </c>
      <c r="Y61" s="2">
        <v>45447</v>
      </c>
      <c r="Z61" s="3" t="s">
        <v>974</v>
      </c>
      <c r="AA61" s="3" t="s">
        <v>975</v>
      </c>
      <c r="AB61" s="7" t="s">
        <v>976</v>
      </c>
      <c r="AC61" s="2">
        <v>45447</v>
      </c>
      <c r="AD61" s="2">
        <v>62248</v>
      </c>
      <c r="AE61" s="2" t="s">
        <v>106</v>
      </c>
      <c r="AF61" s="1" t="s">
        <v>855</v>
      </c>
      <c r="AG61" s="1" t="s">
        <v>697</v>
      </c>
      <c r="AH61" s="1" t="s">
        <v>697</v>
      </c>
      <c r="AI61" s="64">
        <v>11967720</v>
      </c>
      <c r="AJ61" s="23">
        <v>0</v>
      </c>
      <c r="AK61" s="69" t="str">
        <f t="shared" si="5"/>
        <v>ORSS1</v>
      </c>
    </row>
    <row r="62" spans="2:37" ht="118.95" customHeight="1" x14ac:dyDescent="0.3">
      <c r="B62" s="1">
        <f t="shared" si="4"/>
        <v>190</v>
      </c>
      <c r="C62" cm="1">
        <f t="array" ref="C62">IFERROR(MAX(--_xlfn.TEXTSPLIT(D62,";")),0)</f>
        <v>49</v>
      </c>
      <c r="D62" t="s">
        <v>1788</v>
      </c>
      <c r="E62" s="1" t="s">
        <v>172</v>
      </c>
      <c r="F62" s="1" t="s">
        <v>1857</v>
      </c>
      <c r="G62" s="1">
        <v>1</v>
      </c>
      <c r="H62" s="1" t="s">
        <v>173</v>
      </c>
      <c r="I62" s="1" t="s">
        <v>174</v>
      </c>
      <c r="J62" s="1" t="s">
        <v>36</v>
      </c>
      <c r="K62" s="1" t="s">
        <v>175</v>
      </c>
      <c r="L62" s="1" t="s">
        <v>38</v>
      </c>
      <c r="M62" s="1" t="s">
        <v>39</v>
      </c>
      <c r="N62" s="2" t="s">
        <v>40</v>
      </c>
      <c r="O62" s="3">
        <v>7986345</v>
      </c>
      <c r="P62" s="3" t="s">
        <v>41</v>
      </c>
      <c r="Q62" s="1" t="s">
        <v>176</v>
      </c>
      <c r="R62" s="1" t="s">
        <v>43</v>
      </c>
      <c r="S62" s="3" t="s">
        <v>123</v>
      </c>
      <c r="T62" s="3" t="s">
        <v>124</v>
      </c>
      <c r="U62" s="2">
        <v>35379</v>
      </c>
      <c r="V62" s="2">
        <v>35422</v>
      </c>
      <c r="W62" s="2">
        <v>35430</v>
      </c>
      <c r="X62" s="2">
        <v>35481</v>
      </c>
      <c r="Y62" s="2">
        <v>35543</v>
      </c>
      <c r="Z62" s="3" t="s">
        <v>177</v>
      </c>
      <c r="AA62" s="3" t="s">
        <v>178</v>
      </c>
      <c r="AB62" s="3" t="s">
        <v>179</v>
      </c>
      <c r="AC62" s="2">
        <v>35780</v>
      </c>
      <c r="AD62" s="2">
        <v>44910</v>
      </c>
      <c r="AE62" s="2" t="s">
        <v>49</v>
      </c>
      <c r="AF62" s="2" t="s">
        <v>50</v>
      </c>
      <c r="AG62" s="2">
        <v>36818</v>
      </c>
      <c r="AH62" s="2">
        <v>37326</v>
      </c>
      <c r="AI62" s="5">
        <v>8862210.7300000004</v>
      </c>
      <c r="AJ62" s="6">
        <v>1</v>
      </c>
      <c r="AK62" s="69" t="str">
        <f t="shared" si="5"/>
        <v>LVLS1</v>
      </c>
    </row>
    <row r="63" spans="2:37" ht="118.95" customHeight="1" x14ac:dyDescent="0.3">
      <c r="B63" s="1">
        <f t="shared" si="4"/>
        <v>190</v>
      </c>
      <c r="C63" cm="1">
        <f t="array" ref="C63">IFERROR(MAX(--_xlfn.TEXTSPLIT(D63,";")),0)</f>
        <v>50</v>
      </c>
      <c r="D63" t="s">
        <v>1789</v>
      </c>
      <c r="E63" s="1" t="s">
        <v>406</v>
      </c>
      <c r="F63" s="1" t="s">
        <v>407</v>
      </c>
      <c r="G63" s="1">
        <v>1</v>
      </c>
      <c r="H63" s="1" t="s">
        <v>408</v>
      </c>
      <c r="I63" s="1" t="s">
        <v>409</v>
      </c>
      <c r="J63" s="1" t="s">
        <v>385</v>
      </c>
      <c r="K63" s="1" t="s">
        <v>112</v>
      </c>
      <c r="L63" s="1" t="s">
        <v>38</v>
      </c>
      <c r="M63" s="1" t="s">
        <v>39</v>
      </c>
      <c r="N63" s="2" t="s">
        <v>40</v>
      </c>
      <c r="O63" s="3">
        <v>2354000</v>
      </c>
      <c r="P63" s="3" t="s">
        <v>41</v>
      </c>
      <c r="Q63" s="1" t="s">
        <v>410</v>
      </c>
      <c r="R63" s="1" t="s">
        <v>133</v>
      </c>
      <c r="S63" s="3" t="s">
        <v>123</v>
      </c>
      <c r="T63" s="3" t="s">
        <v>301</v>
      </c>
      <c r="U63" s="2">
        <v>37831</v>
      </c>
      <c r="V63" s="2">
        <v>38050</v>
      </c>
      <c r="W63" s="2">
        <v>38065</v>
      </c>
      <c r="X63" s="2">
        <v>38072</v>
      </c>
      <c r="Y63" s="2">
        <v>38111</v>
      </c>
      <c r="Z63" s="3" t="s">
        <v>411</v>
      </c>
      <c r="AA63" s="3" t="s">
        <v>412</v>
      </c>
      <c r="AB63" s="3" t="s">
        <v>413</v>
      </c>
      <c r="AC63" s="2">
        <v>38111</v>
      </c>
      <c r="AD63" s="2">
        <v>46934</v>
      </c>
      <c r="AE63" s="2" t="s">
        <v>49</v>
      </c>
      <c r="AF63" s="2" t="s">
        <v>50</v>
      </c>
      <c r="AG63" s="2">
        <v>39254</v>
      </c>
      <c r="AH63" s="2">
        <v>39458</v>
      </c>
      <c r="AI63" s="8">
        <v>4551832.1300000008</v>
      </c>
      <c r="AJ63" s="6">
        <v>1</v>
      </c>
      <c r="AK63" s="69" t="str">
        <f t="shared" si="5"/>
        <v>CSJS1</v>
      </c>
    </row>
    <row r="64" spans="2:37" ht="118.95" customHeight="1" x14ac:dyDescent="0.3">
      <c r="B64" s="1">
        <f t="shared" si="4"/>
        <v>190</v>
      </c>
      <c r="C64" cm="1">
        <f t="array" ref="C64">IFERROR(MAX(--_xlfn.TEXTSPLIT(D64,";")),0)</f>
        <v>52</v>
      </c>
      <c r="D64" t="s">
        <v>1790</v>
      </c>
      <c r="E64" s="1" t="s">
        <v>471</v>
      </c>
      <c r="F64" s="1" t="s">
        <v>472</v>
      </c>
      <c r="G64" s="1">
        <v>1</v>
      </c>
      <c r="H64" s="1" t="s">
        <v>473</v>
      </c>
      <c r="I64" s="1" t="s">
        <v>474</v>
      </c>
      <c r="J64" s="1" t="s">
        <v>385</v>
      </c>
      <c r="K64" s="1" t="s">
        <v>112</v>
      </c>
      <c r="L64" s="1" t="s">
        <v>38</v>
      </c>
      <c r="M64" s="1" t="s">
        <v>39</v>
      </c>
      <c r="N64" s="2" t="s">
        <v>40</v>
      </c>
      <c r="O64" s="3">
        <v>2261000</v>
      </c>
      <c r="P64" s="3" t="s">
        <v>41</v>
      </c>
      <c r="Q64" s="1" t="s">
        <v>475</v>
      </c>
      <c r="R64" s="1" t="s">
        <v>43</v>
      </c>
      <c r="S64" s="3" t="s">
        <v>123</v>
      </c>
      <c r="T64" s="3" t="s">
        <v>152</v>
      </c>
      <c r="U64" s="2">
        <v>38528</v>
      </c>
      <c r="V64" s="2">
        <v>38686</v>
      </c>
      <c r="W64" s="2">
        <v>38708</v>
      </c>
      <c r="X64" s="2">
        <v>38734</v>
      </c>
      <c r="Y64" s="2">
        <v>38820</v>
      </c>
      <c r="Z64" s="3" t="s">
        <v>476</v>
      </c>
      <c r="AA64" s="3" t="s">
        <v>477</v>
      </c>
      <c r="AB64" s="3" t="s">
        <v>478</v>
      </c>
      <c r="AC64" s="2">
        <v>38820</v>
      </c>
      <c r="AD64" s="2">
        <v>44621</v>
      </c>
      <c r="AE64" s="2" t="s">
        <v>106</v>
      </c>
      <c r="AF64" s="2" t="s">
        <v>50</v>
      </c>
      <c r="AG64" s="2">
        <v>39520</v>
      </c>
      <c r="AH64" s="2">
        <v>39723</v>
      </c>
      <c r="AI64" s="5">
        <v>3111969.2500000005</v>
      </c>
      <c r="AJ64" s="6">
        <v>1</v>
      </c>
      <c r="AK64" s="69" t="str">
        <f t="shared" si="5"/>
        <v>CTSR1</v>
      </c>
    </row>
    <row r="65" spans="2:37" ht="118.95" customHeight="1" x14ac:dyDescent="0.3">
      <c r="B65" s="1">
        <f t="shared" si="4"/>
        <v>190</v>
      </c>
      <c r="C65" cm="1">
        <f t="array" ref="C65">IFERROR(MAX(--_xlfn.TEXTSPLIT(D65,";")),0)</f>
        <v>53</v>
      </c>
      <c r="D65" t="s">
        <v>1791</v>
      </c>
      <c r="E65" s="1" t="s">
        <v>455</v>
      </c>
      <c r="F65" s="1" t="s">
        <v>456</v>
      </c>
      <c r="G65" s="1">
        <v>1</v>
      </c>
      <c r="H65" s="1" t="s">
        <v>457</v>
      </c>
      <c r="I65" s="1" t="s">
        <v>458</v>
      </c>
      <c r="J65" s="1" t="s">
        <v>385</v>
      </c>
      <c r="K65" s="1" t="s">
        <v>112</v>
      </c>
      <c r="L65" s="1" t="s">
        <v>38</v>
      </c>
      <c r="M65" s="1" t="s">
        <v>39</v>
      </c>
      <c r="N65" s="2" t="s">
        <v>40</v>
      </c>
      <c r="O65" s="3">
        <v>770000</v>
      </c>
      <c r="P65" s="3" t="s">
        <v>41</v>
      </c>
      <c r="Q65" s="1" t="s">
        <v>459</v>
      </c>
      <c r="R65" s="1" t="s">
        <v>43</v>
      </c>
      <c r="S65" s="3" t="s">
        <v>123</v>
      </c>
      <c r="T65" s="3" t="s">
        <v>152</v>
      </c>
      <c r="U65" s="2">
        <v>38255</v>
      </c>
      <c r="V65" s="2">
        <v>38380</v>
      </c>
      <c r="W65" s="2">
        <v>38405</v>
      </c>
      <c r="X65" s="2">
        <v>38433</v>
      </c>
      <c r="Y65" s="2">
        <v>38505</v>
      </c>
      <c r="Z65" s="3" t="s">
        <v>460</v>
      </c>
      <c r="AA65" s="3" t="s">
        <v>461</v>
      </c>
      <c r="AB65" s="3" t="s">
        <v>462</v>
      </c>
      <c r="AC65" s="2">
        <v>38505</v>
      </c>
      <c r="AD65" s="2">
        <v>44165</v>
      </c>
      <c r="AE65" s="2" t="s">
        <v>106</v>
      </c>
      <c r="AF65" s="2" t="s">
        <v>50</v>
      </c>
      <c r="AG65" s="2">
        <v>39052</v>
      </c>
      <c r="AH65" s="2">
        <v>39430</v>
      </c>
      <c r="AI65" s="5">
        <v>846695.53999999992</v>
      </c>
      <c r="AJ65" s="6">
        <v>1</v>
      </c>
      <c r="AK65" s="69" t="str">
        <f t="shared" si="5"/>
        <v>CVSR1</v>
      </c>
    </row>
    <row r="66" spans="2:37" ht="118.95" customHeight="1" x14ac:dyDescent="0.3">
      <c r="B66" s="1">
        <f t="shared" si="4"/>
        <v>190</v>
      </c>
      <c r="C66" cm="1">
        <f t="array" ref="C66">IFERROR(MAX(--_xlfn.TEXTSPLIT(D66,";")),0)</f>
        <v>54</v>
      </c>
      <c r="D66" t="s">
        <v>1792</v>
      </c>
      <c r="E66" s="1" t="s">
        <v>431</v>
      </c>
      <c r="F66" s="1" t="s">
        <v>1858</v>
      </c>
      <c r="G66" s="1">
        <v>1</v>
      </c>
      <c r="H66" s="1" t="s">
        <v>432</v>
      </c>
      <c r="I66" s="1" t="s">
        <v>433</v>
      </c>
      <c r="J66" s="1" t="s">
        <v>263</v>
      </c>
      <c r="K66" s="1" t="s">
        <v>434</v>
      </c>
      <c r="L66" s="1" t="s">
        <v>38</v>
      </c>
      <c r="M66" s="1" t="s">
        <v>39</v>
      </c>
      <c r="N66" s="2" t="s">
        <v>40</v>
      </c>
      <c r="O66" s="3">
        <v>4200000</v>
      </c>
      <c r="P66" s="3" t="s">
        <v>41</v>
      </c>
      <c r="Q66" s="1" t="s">
        <v>435</v>
      </c>
      <c r="R66" s="1" t="s">
        <v>133</v>
      </c>
      <c r="S66" s="3" t="s">
        <v>44</v>
      </c>
      <c r="T66" s="3" t="s">
        <v>301</v>
      </c>
      <c r="U66" s="2">
        <v>38014</v>
      </c>
      <c r="V66" s="2">
        <v>38303</v>
      </c>
      <c r="W66" s="2">
        <v>38331</v>
      </c>
      <c r="X66" s="2">
        <v>38469</v>
      </c>
      <c r="Y66" s="2">
        <v>38537</v>
      </c>
      <c r="Z66" s="3" t="s">
        <v>436</v>
      </c>
      <c r="AA66" s="3" t="s">
        <v>437</v>
      </c>
      <c r="AB66" s="3" t="s">
        <v>438</v>
      </c>
      <c r="AC66" s="2">
        <v>38537</v>
      </c>
      <c r="AD66" s="2">
        <v>50348</v>
      </c>
      <c r="AE66" s="2" t="s">
        <v>49</v>
      </c>
      <c r="AF66" s="2" t="s">
        <v>50</v>
      </c>
      <c r="AG66" s="2">
        <v>43780</v>
      </c>
      <c r="AH66" s="2">
        <v>44081</v>
      </c>
      <c r="AI66" s="8">
        <v>5931101.8199999994</v>
      </c>
      <c r="AJ66" s="6">
        <v>1</v>
      </c>
      <c r="AK66" s="69" t="str">
        <f t="shared" si="5"/>
        <v>ECVI1</v>
      </c>
    </row>
    <row r="67" spans="2:37" ht="118.95" customHeight="1" x14ac:dyDescent="0.3">
      <c r="B67" s="1">
        <f t="shared" ref="B67:B98" si="6">MAX($C$2:$C$128)</f>
        <v>190</v>
      </c>
      <c r="C67" cm="1">
        <f t="array" ref="C67">IFERROR(MAX(--_xlfn.TEXTSPLIT(D67,";")),0)</f>
        <v>121</v>
      </c>
      <c r="D67" t="s">
        <v>1812</v>
      </c>
      <c r="E67" s="1" t="s">
        <v>932</v>
      </c>
      <c r="F67" s="1" t="s">
        <v>1870</v>
      </c>
      <c r="G67" s="1">
        <v>1</v>
      </c>
      <c r="H67" s="1" t="s">
        <v>933</v>
      </c>
      <c r="I67" s="1" t="s">
        <v>934</v>
      </c>
      <c r="J67" s="1" t="s">
        <v>535</v>
      </c>
      <c r="K67" s="1" t="s">
        <v>112</v>
      </c>
      <c r="L67" s="1" t="s">
        <v>38</v>
      </c>
      <c r="M67" s="1" t="s">
        <v>39</v>
      </c>
      <c r="N67" s="2" t="s">
        <v>40</v>
      </c>
      <c r="O67" s="3">
        <v>4704824</v>
      </c>
      <c r="P67" s="3" t="s">
        <v>41</v>
      </c>
      <c r="Q67" s="1" t="s">
        <v>935</v>
      </c>
      <c r="R67" s="1" t="s">
        <v>693</v>
      </c>
      <c r="S67" s="3" t="s">
        <v>123</v>
      </c>
      <c r="T67" s="3" t="s">
        <v>301</v>
      </c>
      <c r="U67" s="2">
        <v>44490</v>
      </c>
      <c r="V67" s="2">
        <v>44749</v>
      </c>
      <c r="W67" s="2">
        <v>44769</v>
      </c>
      <c r="X67" s="2">
        <v>44861</v>
      </c>
      <c r="Y67" s="2">
        <v>44979</v>
      </c>
      <c r="Z67" s="3" t="s">
        <v>936</v>
      </c>
      <c r="AA67" s="3" t="s">
        <v>937</v>
      </c>
      <c r="AB67" s="3" t="s">
        <v>938</v>
      </c>
      <c r="AC67" s="2">
        <v>44979</v>
      </c>
      <c r="AD67" s="2">
        <v>53223</v>
      </c>
      <c r="AE67" s="2" t="s">
        <v>106</v>
      </c>
      <c r="AF67" s="2" t="s">
        <v>855</v>
      </c>
      <c r="AG67" s="2" t="s">
        <v>697</v>
      </c>
      <c r="AH67" s="2" t="s">
        <v>697</v>
      </c>
      <c r="AI67" s="5">
        <v>4704824</v>
      </c>
      <c r="AJ67" s="6">
        <v>0</v>
      </c>
      <c r="AK67" s="69" t="str">
        <f t="shared" ref="AK67:AK98" si="7">MID(E67,5,LEN(E67)-4)</f>
        <v>INAC1</v>
      </c>
    </row>
    <row r="68" spans="2:37" ht="118.95" customHeight="1" x14ac:dyDescent="0.3">
      <c r="B68" s="1">
        <f t="shared" si="6"/>
        <v>190</v>
      </c>
      <c r="C68" cm="1">
        <f t="array" ref="C68">IFERROR(MAX(--_xlfn.TEXTSPLIT(D68,";")),0)</f>
        <v>56</v>
      </c>
      <c r="D68" t="s">
        <v>1794</v>
      </c>
      <c r="E68" s="1" t="s">
        <v>390</v>
      </c>
      <c r="F68" s="1" t="s">
        <v>391</v>
      </c>
      <c r="G68" s="1">
        <v>1</v>
      </c>
      <c r="H68" s="1" t="s">
        <v>392</v>
      </c>
      <c r="I68" s="1" t="s">
        <v>393</v>
      </c>
      <c r="J68" s="1" t="s">
        <v>385</v>
      </c>
      <c r="K68" s="1" t="s">
        <v>112</v>
      </c>
      <c r="L68" s="1" t="s">
        <v>38</v>
      </c>
      <c r="M68" s="1" t="s">
        <v>39</v>
      </c>
      <c r="N68" s="2" t="s">
        <v>40</v>
      </c>
      <c r="O68" s="3">
        <v>1150000</v>
      </c>
      <c r="P68" s="3" t="s">
        <v>41</v>
      </c>
      <c r="Q68" s="1" t="s">
        <v>394</v>
      </c>
      <c r="R68" s="1" t="s">
        <v>133</v>
      </c>
      <c r="S68" s="3" t="s">
        <v>123</v>
      </c>
      <c r="T68" s="3" t="s">
        <v>200</v>
      </c>
      <c r="U68" s="2">
        <v>37773</v>
      </c>
      <c r="V68" s="2">
        <v>37986</v>
      </c>
      <c r="W68" s="2">
        <v>38015</v>
      </c>
      <c r="X68" s="2">
        <v>38072</v>
      </c>
      <c r="Y68" s="2">
        <v>38138</v>
      </c>
      <c r="Z68" s="3" t="s">
        <v>395</v>
      </c>
      <c r="AA68" s="3" t="s">
        <v>396</v>
      </c>
      <c r="AB68" s="3" t="s">
        <v>397</v>
      </c>
      <c r="AC68" s="2">
        <v>38138</v>
      </c>
      <c r="AD68" s="2">
        <v>46532</v>
      </c>
      <c r="AE68" s="2" t="s">
        <v>49</v>
      </c>
      <c r="AF68" s="2" t="s">
        <v>50</v>
      </c>
      <c r="AG68" s="2">
        <v>39227</v>
      </c>
      <c r="AH68" s="2">
        <v>39470</v>
      </c>
      <c r="AI68" s="8">
        <v>2009130.69</v>
      </c>
      <c r="AJ68" s="6">
        <v>1</v>
      </c>
      <c r="AK68" s="69" t="str">
        <f t="shared" si="7"/>
        <v>EIMC1</v>
      </c>
    </row>
    <row r="69" spans="2:37" ht="118.95" customHeight="1" x14ac:dyDescent="0.3">
      <c r="B69" s="1">
        <f t="shared" si="6"/>
        <v>190</v>
      </c>
      <c r="C69" cm="1">
        <f t="array" ref="C69">IFERROR(MAX(--_xlfn.TEXTSPLIT(D69,";")),0)</f>
        <v>120</v>
      </c>
      <c r="D69" t="s">
        <v>1811</v>
      </c>
      <c r="E69" s="1" t="s">
        <v>688</v>
      </c>
      <c r="F69" s="1" t="s">
        <v>689</v>
      </c>
      <c r="G69" s="1">
        <v>1</v>
      </c>
      <c r="H69" s="1" t="s">
        <v>690</v>
      </c>
      <c r="I69" s="1" t="s">
        <v>691</v>
      </c>
      <c r="J69" s="1" t="s">
        <v>535</v>
      </c>
      <c r="K69" s="1" t="s">
        <v>112</v>
      </c>
      <c r="L69" s="1" t="s">
        <v>38</v>
      </c>
      <c r="M69" s="1" t="s">
        <v>39</v>
      </c>
      <c r="N69" s="2" t="s">
        <v>40</v>
      </c>
      <c r="O69" s="3">
        <v>6714000</v>
      </c>
      <c r="P69" s="3" t="s">
        <v>41</v>
      </c>
      <c r="Q69" s="1" t="s">
        <v>692</v>
      </c>
      <c r="R69" s="1" t="s">
        <v>693</v>
      </c>
      <c r="S69" s="3" t="s">
        <v>123</v>
      </c>
      <c r="T69" s="3" t="s">
        <v>301</v>
      </c>
      <c r="U69" s="2">
        <v>41562</v>
      </c>
      <c r="V69" s="2">
        <v>41659</v>
      </c>
      <c r="W69" s="2">
        <v>41668</v>
      </c>
      <c r="X69" s="2">
        <v>41681</v>
      </c>
      <c r="Y69" s="2">
        <v>41787</v>
      </c>
      <c r="Z69" s="3" t="s">
        <v>694</v>
      </c>
      <c r="AA69" s="3" t="s">
        <v>695</v>
      </c>
      <c r="AB69" s="3" t="s">
        <v>696</v>
      </c>
      <c r="AC69" s="2">
        <v>41787</v>
      </c>
      <c r="AD69" s="2">
        <v>51703</v>
      </c>
      <c r="AE69" s="2" t="s">
        <v>106</v>
      </c>
      <c r="AF69" s="2">
        <v>43431</v>
      </c>
      <c r="AG69" s="2" t="s">
        <v>697</v>
      </c>
      <c r="AH69" s="2" t="s">
        <v>697</v>
      </c>
      <c r="AI69" s="46">
        <v>9755462.5999999996</v>
      </c>
      <c r="AJ69" s="13">
        <v>0.92200000000000004</v>
      </c>
      <c r="AK69" s="69" t="str">
        <f t="shared" si="7"/>
        <v>HSSG1</v>
      </c>
    </row>
    <row r="70" spans="2:37" ht="118.95" customHeight="1" x14ac:dyDescent="0.3">
      <c r="B70" s="1">
        <f t="shared" si="6"/>
        <v>190</v>
      </c>
      <c r="C70" cm="1">
        <f t="array" ref="C70">IFERROR(MAX(--_xlfn.TEXTSPLIT(D70,";")),0)</f>
        <v>115</v>
      </c>
      <c r="D70" t="s">
        <v>1807</v>
      </c>
      <c r="E70" s="1" t="s">
        <v>887</v>
      </c>
      <c r="F70" s="1" t="s">
        <v>1869</v>
      </c>
      <c r="G70" s="1">
        <v>1</v>
      </c>
      <c r="H70" s="1" t="s">
        <v>888</v>
      </c>
      <c r="I70" s="1" t="s">
        <v>889</v>
      </c>
      <c r="J70" s="1" t="s">
        <v>535</v>
      </c>
      <c r="K70" s="1" t="s">
        <v>198</v>
      </c>
      <c r="L70" s="1" t="s">
        <v>38</v>
      </c>
      <c r="M70" s="1" t="s">
        <v>39</v>
      </c>
      <c r="N70" s="2" t="s">
        <v>40</v>
      </c>
      <c r="O70" s="3">
        <v>7092812</v>
      </c>
      <c r="P70" s="3" t="s">
        <v>41</v>
      </c>
      <c r="Q70" s="1" t="s">
        <v>890</v>
      </c>
      <c r="R70" s="1" t="s">
        <v>693</v>
      </c>
      <c r="S70" s="3" t="s">
        <v>123</v>
      </c>
      <c r="T70" s="3" t="s">
        <v>301</v>
      </c>
      <c r="U70" s="2">
        <v>44177</v>
      </c>
      <c r="V70" s="2">
        <v>44452</v>
      </c>
      <c r="W70" s="2">
        <v>44473</v>
      </c>
      <c r="X70" s="2">
        <v>44574</v>
      </c>
      <c r="Y70" s="2">
        <v>44631</v>
      </c>
      <c r="Z70" s="3" t="s">
        <v>891</v>
      </c>
      <c r="AA70" s="3" t="s">
        <v>892</v>
      </c>
      <c r="AB70" s="3" t="s">
        <v>893</v>
      </c>
      <c r="AC70" s="2">
        <v>44631</v>
      </c>
      <c r="AD70" s="2">
        <v>52729</v>
      </c>
      <c r="AE70" s="2" t="s">
        <v>106</v>
      </c>
      <c r="AF70" s="2">
        <v>45264</v>
      </c>
      <c r="AG70" s="2" t="s">
        <v>697</v>
      </c>
      <c r="AH70" s="2" t="s">
        <v>697</v>
      </c>
      <c r="AI70" s="5">
        <v>7092812</v>
      </c>
      <c r="AJ70" s="16" t="s">
        <v>894</v>
      </c>
      <c r="AK70" s="69" t="str">
        <f t="shared" si="7"/>
        <v>HRRL1</v>
      </c>
    </row>
    <row r="71" spans="2:37" ht="118.95" customHeight="1" x14ac:dyDescent="0.3">
      <c r="B71" s="1">
        <f t="shared" si="6"/>
        <v>190</v>
      </c>
      <c r="C71" cm="1">
        <f t="array" ref="C71">IFERROR(MAX(--_xlfn.TEXTSPLIT(D71,";")),0)</f>
        <v>111</v>
      </c>
      <c r="D71" t="s">
        <v>1806</v>
      </c>
      <c r="E71" s="1" t="s">
        <v>902</v>
      </c>
      <c r="F71" s="1" t="s">
        <v>1868</v>
      </c>
      <c r="G71" s="1">
        <v>1</v>
      </c>
      <c r="H71" s="1" t="s">
        <v>903</v>
      </c>
      <c r="I71" s="1" t="s">
        <v>904</v>
      </c>
      <c r="J71" s="1" t="s">
        <v>535</v>
      </c>
      <c r="K71" s="1" t="s">
        <v>175</v>
      </c>
      <c r="L71" s="1" t="s">
        <v>38</v>
      </c>
      <c r="M71" s="1" t="s">
        <v>39</v>
      </c>
      <c r="N71" s="2" t="s">
        <v>40</v>
      </c>
      <c r="O71" s="3">
        <v>6146350</v>
      </c>
      <c r="P71" s="3" t="s">
        <v>41</v>
      </c>
      <c r="Q71" s="1" t="s">
        <v>905</v>
      </c>
      <c r="R71" s="1" t="s">
        <v>693</v>
      </c>
      <c r="S71" s="3" t="s">
        <v>123</v>
      </c>
      <c r="T71" s="3" t="s">
        <v>301</v>
      </c>
      <c r="U71" s="2">
        <v>44282</v>
      </c>
      <c r="V71" s="2">
        <v>44484</v>
      </c>
      <c r="W71" s="2">
        <v>44505</v>
      </c>
      <c r="X71" s="2">
        <v>44566</v>
      </c>
      <c r="Y71" s="2">
        <v>44609</v>
      </c>
      <c r="Z71" s="3" t="s">
        <v>906</v>
      </c>
      <c r="AA71" s="3" t="s">
        <v>907</v>
      </c>
      <c r="AB71" s="3" t="s">
        <v>908</v>
      </c>
      <c r="AC71" s="2">
        <v>44609</v>
      </c>
      <c r="AD71" s="2">
        <v>52035</v>
      </c>
      <c r="AE71" s="2" t="s">
        <v>106</v>
      </c>
      <c r="AF71" s="2">
        <v>45709</v>
      </c>
      <c r="AG71" s="2" t="s">
        <v>697</v>
      </c>
      <c r="AH71" s="2" t="s">
        <v>697</v>
      </c>
      <c r="AI71" s="5">
        <v>6146350</v>
      </c>
      <c r="AJ71" s="15">
        <v>0.14749999999999999</v>
      </c>
      <c r="AK71" s="69" t="str">
        <f t="shared" si="7"/>
        <v>HRQS1</v>
      </c>
    </row>
    <row r="72" spans="2:37" ht="150" customHeight="1" x14ac:dyDescent="0.3">
      <c r="B72" s="1">
        <f t="shared" si="6"/>
        <v>190</v>
      </c>
      <c r="C72" cm="1">
        <f t="array" ref="C72">IFERROR(MAX(--_xlfn.TEXTSPLIT(D72,";")),0)</f>
        <v>60</v>
      </c>
      <c r="D72" t="s">
        <v>1798</v>
      </c>
      <c r="E72" s="1" t="s">
        <v>422</v>
      </c>
      <c r="F72" s="1" t="s">
        <v>423</v>
      </c>
      <c r="G72" s="1">
        <v>1</v>
      </c>
      <c r="H72" s="1" t="s">
        <v>424</v>
      </c>
      <c r="I72" s="1" t="s">
        <v>425</v>
      </c>
      <c r="J72" s="1" t="s">
        <v>385</v>
      </c>
      <c r="K72" s="1" t="s">
        <v>112</v>
      </c>
      <c r="L72" s="1" t="s">
        <v>38</v>
      </c>
      <c r="M72" s="1" t="s">
        <v>39</v>
      </c>
      <c r="N72" s="2" t="s">
        <v>40</v>
      </c>
      <c r="O72" s="3">
        <v>245000</v>
      </c>
      <c r="P72" s="3" t="s">
        <v>41</v>
      </c>
      <c r="Q72" s="1" t="s">
        <v>426</v>
      </c>
      <c r="R72" s="1" t="s">
        <v>133</v>
      </c>
      <c r="S72" s="3" t="s">
        <v>44</v>
      </c>
      <c r="T72" s="3" t="s">
        <v>427</v>
      </c>
      <c r="U72" s="2">
        <v>37994</v>
      </c>
      <c r="V72" s="2">
        <v>38126</v>
      </c>
      <c r="W72" s="2">
        <v>38147</v>
      </c>
      <c r="X72" s="2">
        <v>38177</v>
      </c>
      <c r="Y72" s="2">
        <v>38234</v>
      </c>
      <c r="Z72" s="3" t="s">
        <v>428</v>
      </c>
      <c r="AA72" s="3" t="s">
        <v>429</v>
      </c>
      <c r="AB72" s="3" t="s">
        <v>430</v>
      </c>
      <c r="AC72" s="2">
        <v>38234</v>
      </c>
      <c r="AD72" s="2">
        <v>46269</v>
      </c>
      <c r="AE72" s="2" t="s">
        <v>49</v>
      </c>
      <c r="AF72" s="2" t="s">
        <v>50</v>
      </c>
      <c r="AG72" s="2">
        <v>38782</v>
      </c>
      <c r="AH72" s="2">
        <v>38908</v>
      </c>
      <c r="AI72" s="8">
        <v>447674.44000000006</v>
      </c>
      <c r="AJ72" s="6">
        <v>1</v>
      </c>
      <c r="AK72" s="69" t="str">
        <f t="shared" si="7"/>
        <v>ETPO1</v>
      </c>
    </row>
    <row r="73" spans="2:37" ht="118.95" customHeight="1" x14ac:dyDescent="0.3">
      <c r="B73" s="1">
        <f t="shared" si="6"/>
        <v>190</v>
      </c>
      <c r="C73" cm="1">
        <f t="array" ref="C73">IFERROR(MAX(--_xlfn.TEXTSPLIT(D73,";")),0)</f>
        <v>98</v>
      </c>
      <c r="D73" t="s">
        <v>1799</v>
      </c>
      <c r="E73" s="1" t="s">
        <v>463</v>
      </c>
      <c r="F73" s="1" t="s">
        <v>464</v>
      </c>
      <c r="G73" s="1">
        <v>1</v>
      </c>
      <c r="H73" s="1" t="s">
        <v>465</v>
      </c>
      <c r="I73" s="1" t="s">
        <v>466</v>
      </c>
      <c r="J73" s="1" t="s">
        <v>385</v>
      </c>
      <c r="K73" s="1" t="s">
        <v>112</v>
      </c>
      <c r="L73" s="1" t="s">
        <v>38</v>
      </c>
      <c r="M73" s="1" t="s">
        <v>39</v>
      </c>
      <c r="N73" s="2" t="s">
        <v>40</v>
      </c>
      <c r="O73" s="3">
        <v>989500</v>
      </c>
      <c r="P73" s="3" t="s">
        <v>41</v>
      </c>
      <c r="Q73" s="1" t="s">
        <v>467</v>
      </c>
      <c r="R73" s="1" t="s">
        <v>43</v>
      </c>
      <c r="S73" s="3" t="s">
        <v>123</v>
      </c>
      <c r="T73" s="3" t="s">
        <v>152</v>
      </c>
      <c r="U73" s="2">
        <v>38521</v>
      </c>
      <c r="V73" s="2">
        <v>38695</v>
      </c>
      <c r="W73" s="2">
        <v>38720</v>
      </c>
      <c r="X73" s="2">
        <v>38743</v>
      </c>
      <c r="Y73" s="2">
        <v>38820</v>
      </c>
      <c r="Z73" s="3" t="s">
        <v>468</v>
      </c>
      <c r="AA73" s="3" t="s">
        <v>469</v>
      </c>
      <c r="AB73" s="3" t="s">
        <v>470</v>
      </c>
      <c r="AC73" s="2">
        <v>38820</v>
      </c>
      <c r="AD73" s="2">
        <v>44298</v>
      </c>
      <c r="AE73" s="2" t="s">
        <v>49</v>
      </c>
      <c r="AF73" s="2" t="s">
        <v>50</v>
      </c>
      <c r="AG73" s="2">
        <v>39232</v>
      </c>
      <c r="AH73" s="2">
        <v>39483</v>
      </c>
      <c r="AI73" s="5">
        <v>1584805.25</v>
      </c>
      <c r="AJ73" s="6">
        <v>1</v>
      </c>
      <c r="AK73" s="69" t="str">
        <f t="shared" si="7"/>
        <v>ETTT1</v>
      </c>
    </row>
    <row r="74" spans="2:37" ht="118.95" customHeight="1" x14ac:dyDescent="0.3">
      <c r="B74" s="1">
        <f t="shared" si="6"/>
        <v>190</v>
      </c>
      <c r="C74" cm="1">
        <f t="array" ref="C74">IFERROR(MAX(--_xlfn.TEXTSPLIT(D74,";")),0)</f>
        <v>110</v>
      </c>
      <c r="D74" t="s">
        <v>1805</v>
      </c>
      <c r="E74" s="1" t="s">
        <v>917</v>
      </c>
      <c r="F74" s="1" t="s">
        <v>1867</v>
      </c>
      <c r="G74" s="1">
        <v>1</v>
      </c>
      <c r="H74" s="1" t="s">
        <v>918</v>
      </c>
      <c r="I74" s="1" t="s">
        <v>919</v>
      </c>
      <c r="J74" s="1" t="s">
        <v>535</v>
      </c>
      <c r="K74" s="1" t="s">
        <v>175</v>
      </c>
      <c r="L74" s="1" t="s">
        <v>38</v>
      </c>
      <c r="M74" s="1" t="s">
        <v>39</v>
      </c>
      <c r="N74" s="2" t="s">
        <v>40</v>
      </c>
      <c r="O74" s="3">
        <v>6528211</v>
      </c>
      <c r="P74" s="3" t="s">
        <v>41</v>
      </c>
      <c r="Q74" s="1" t="s">
        <v>920</v>
      </c>
      <c r="R74" s="1" t="s">
        <v>693</v>
      </c>
      <c r="S74" s="3" t="s">
        <v>123</v>
      </c>
      <c r="T74" s="3" t="s">
        <v>301</v>
      </c>
      <c r="U74" s="2">
        <v>44338</v>
      </c>
      <c r="V74" s="2">
        <v>44571</v>
      </c>
      <c r="W74" s="2">
        <v>44592</v>
      </c>
      <c r="X74" s="2">
        <v>44683</v>
      </c>
      <c r="Y74" s="2">
        <v>44813</v>
      </c>
      <c r="Z74" s="3" t="s">
        <v>921</v>
      </c>
      <c r="AA74" s="3" t="s">
        <v>922</v>
      </c>
      <c r="AB74" s="3" t="s">
        <v>923</v>
      </c>
      <c r="AC74" s="2">
        <v>44813</v>
      </c>
      <c r="AD74" s="2">
        <v>52417</v>
      </c>
      <c r="AE74" s="2" t="s">
        <v>106</v>
      </c>
      <c r="AF74" s="2">
        <v>45246</v>
      </c>
      <c r="AG74" s="2" t="s">
        <v>697</v>
      </c>
      <c r="AH74" s="2" t="s">
        <v>697</v>
      </c>
      <c r="AI74" s="5">
        <v>6528211</v>
      </c>
      <c r="AJ74" s="13">
        <v>0.2389</v>
      </c>
      <c r="AK74" s="69" t="str">
        <f t="shared" si="7"/>
        <v>HRQQ1</v>
      </c>
    </row>
    <row r="75" spans="2:37" ht="118.95" customHeight="1" x14ac:dyDescent="0.3">
      <c r="B75" s="1">
        <f t="shared" si="6"/>
        <v>190</v>
      </c>
      <c r="C75" cm="1">
        <f t="array" ref="C75">IFERROR(MAX(--_xlfn.TEXTSPLIT(D75,";")),0)</f>
        <v>109</v>
      </c>
      <c r="D75" t="s">
        <v>1804</v>
      </c>
      <c r="E75" s="1" t="s">
        <v>939</v>
      </c>
      <c r="F75" s="57" t="s">
        <v>1866</v>
      </c>
      <c r="G75" s="1">
        <v>1</v>
      </c>
      <c r="H75" s="1" t="s">
        <v>940</v>
      </c>
      <c r="I75" s="1" t="s">
        <v>941</v>
      </c>
      <c r="J75" s="1" t="s">
        <v>535</v>
      </c>
      <c r="K75" s="1" t="s">
        <v>434</v>
      </c>
      <c r="L75" s="1" t="s">
        <v>38</v>
      </c>
      <c r="M75" s="1" t="s">
        <v>39</v>
      </c>
      <c r="N75" s="2"/>
      <c r="O75" s="3">
        <v>4538569</v>
      </c>
      <c r="P75" s="3" t="s">
        <v>41</v>
      </c>
      <c r="Q75" s="1" t="s">
        <v>942</v>
      </c>
      <c r="R75" s="1" t="s">
        <v>693</v>
      </c>
      <c r="S75" s="3" t="s">
        <v>123</v>
      </c>
      <c r="T75" s="3" t="s">
        <v>301</v>
      </c>
      <c r="U75" s="2">
        <v>44497</v>
      </c>
      <c r="V75" s="2">
        <v>45163</v>
      </c>
      <c r="W75" s="2">
        <v>45184</v>
      </c>
      <c r="X75" s="2">
        <v>45237</v>
      </c>
      <c r="Y75" s="2">
        <v>45373</v>
      </c>
      <c r="Z75" s="3" t="s">
        <v>943</v>
      </c>
      <c r="AA75" s="59" t="s">
        <v>944</v>
      </c>
      <c r="AB75" s="3" t="s">
        <v>945</v>
      </c>
      <c r="AC75" s="2">
        <v>45373</v>
      </c>
      <c r="AD75" s="2">
        <v>52511</v>
      </c>
      <c r="AE75" s="2" t="s">
        <v>106</v>
      </c>
      <c r="AF75" s="2" t="s">
        <v>855</v>
      </c>
      <c r="AG75" s="2" t="s">
        <v>697</v>
      </c>
      <c r="AH75" s="2" t="s">
        <v>697</v>
      </c>
      <c r="AI75" s="5">
        <v>4538569</v>
      </c>
      <c r="AJ75" s="23">
        <v>0</v>
      </c>
      <c r="AK75" s="69" t="str">
        <f t="shared" si="7"/>
        <v>HROG1</v>
      </c>
    </row>
    <row r="76" spans="2:37" ht="118.95" customHeight="1" x14ac:dyDescent="0.3">
      <c r="B76" s="1">
        <f t="shared" si="6"/>
        <v>190</v>
      </c>
      <c r="C76" cm="1">
        <f t="array" ref="C76">IFERROR(MAX(--_xlfn.TEXTSPLIT(D76,";")),0)</f>
        <v>107</v>
      </c>
      <c r="D76" t="s">
        <v>1803</v>
      </c>
      <c r="E76" s="1" t="s">
        <v>863</v>
      </c>
      <c r="F76" s="1" t="s">
        <v>1865</v>
      </c>
      <c r="G76" s="1">
        <v>1</v>
      </c>
      <c r="H76" s="1" t="s">
        <v>864</v>
      </c>
      <c r="I76" s="1" t="s">
        <v>865</v>
      </c>
      <c r="J76" s="1" t="s">
        <v>535</v>
      </c>
      <c r="K76" s="1" t="s">
        <v>866</v>
      </c>
      <c r="L76" s="1" t="s">
        <v>38</v>
      </c>
      <c r="M76" s="1" t="s">
        <v>39</v>
      </c>
      <c r="N76" s="2" t="s">
        <v>40</v>
      </c>
      <c r="O76" s="3">
        <v>6634394</v>
      </c>
      <c r="P76" s="3" t="s">
        <v>41</v>
      </c>
      <c r="Q76" s="1" t="s">
        <v>867</v>
      </c>
      <c r="R76" s="1" t="s">
        <v>693</v>
      </c>
      <c r="S76" s="3" t="s">
        <v>123</v>
      </c>
      <c r="T76" s="3" t="s">
        <v>301</v>
      </c>
      <c r="U76" s="2">
        <v>43818</v>
      </c>
      <c r="V76" s="2">
        <v>44050</v>
      </c>
      <c r="W76" s="2">
        <v>44070</v>
      </c>
      <c r="X76" s="2">
        <v>44166</v>
      </c>
      <c r="Y76" s="2">
        <v>44282</v>
      </c>
      <c r="Z76" s="3" t="s">
        <v>868</v>
      </c>
      <c r="AA76" s="3" t="s">
        <v>869</v>
      </c>
      <c r="AB76" s="3" t="s">
        <v>870</v>
      </c>
      <c r="AC76" s="2">
        <v>44282</v>
      </c>
      <c r="AD76" s="2">
        <v>51460</v>
      </c>
      <c r="AE76" s="2" t="s">
        <v>106</v>
      </c>
      <c r="AF76" s="2">
        <v>44960</v>
      </c>
      <c r="AG76" s="2" t="s">
        <v>697</v>
      </c>
      <c r="AH76" s="2" t="s">
        <v>697</v>
      </c>
      <c r="AI76" s="5">
        <v>6634394</v>
      </c>
      <c r="AJ76" s="6" t="s">
        <v>871</v>
      </c>
      <c r="AK76" s="69" t="str">
        <f t="shared" si="7"/>
        <v>HRMA1</v>
      </c>
    </row>
    <row r="77" spans="2:37" ht="118.95" customHeight="1" x14ac:dyDescent="0.3">
      <c r="B77" s="1">
        <f t="shared" si="6"/>
        <v>190</v>
      </c>
      <c r="C77" cm="1">
        <f t="array" ref="C77">IFERROR(MAX(--_xlfn.TEXTSPLIT(D77,";")),0)</f>
        <v>104</v>
      </c>
      <c r="D77" t="s">
        <v>1802</v>
      </c>
      <c r="E77" s="1" t="s">
        <v>879</v>
      </c>
      <c r="F77" s="1" t="s">
        <v>1864</v>
      </c>
      <c r="G77" s="1">
        <v>1</v>
      </c>
      <c r="H77" s="1" t="s">
        <v>880</v>
      </c>
      <c r="I77" s="1" t="s">
        <v>881</v>
      </c>
      <c r="J77" s="1" t="s">
        <v>535</v>
      </c>
      <c r="K77" s="1" t="s">
        <v>55</v>
      </c>
      <c r="L77" s="1" t="s">
        <v>38</v>
      </c>
      <c r="M77" s="1" t="s">
        <v>39</v>
      </c>
      <c r="N77" s="2" t="s">
        <v>40</v>
      </c>
      <c r="O77" s="3">
        <v>7754848</v>
      </c>
      <c r="P77" s="3" t="s">
        <v>41</v>
      </c>
      <c r="Q77" s="1" t="s">
        <v>882</v>
      </c>
      <c r="R77" s="1" t="s">
        <v>693</v>
      </c>
      <c r="S77" s="3" t="s">
        <v>123</v>
      </c>
      <c r="T77" s="3" t="s">
        <v>301</v>
      </c>
      <c r="U77" s="2">
        <v>44064</v>
      </c>
      <c r="V77" s="2">
        <v>44330</v>
      </c>
      <c r="W77" s="2">
        <v>44350</v>
      </c>
      <c r="X77" s="2">
        <v>44454</v>
      </c>
      <c r="Y77" s="2">
        <v>44537</v>
      </c>
      <c r="Z77" s="3" t="s">
        <v>883</v>
      </c>
      <c r="AA77" s="3" t="s">
        <v>884</v>
      </c>
      <c r="AB77" s="3" t="s">
        <v>885</v>
      </c>
      <c r="AC77" s="2">
        <v>44537</v>
      </c>
      <c r="AD77" s="2">
        <v>59147</v>
      </c>
      <c r="AE77" s="2" t="s">
        <v>106</v>
      </c>
      <c r="AF77" s="2">
        <v>45010</v>
      </c>
      <c r="AG77" s="2" t="s">
        <v>697</v>
      </c>
      <c r="AH77" s="2" t="s">
        <v>697</v>
      </c>
      <c r="AI77" s="5">
        <v>7754848</v>
      </c>
      <c r="AJ77" s="6" t="s">
        <v>886</v>
      </c>
      <c r="AK77" s="69" t="str">
        <f t="shared" si="7"/>
        <v>HRBB1</v>
      </c>
    </row>
    <row r="78" spans="2:37" ht="118.95" customHeight="1" x14ac:dyDescent="0.3">
      <c r="B78" s="1">
        <f t="shared" si="6"/>
        <v>190</v>
      </c>
      <c r="C78" cm="1">
        <f t="array" ref="C78">IFERROR(MAX(--_xlfn.TEXTSPLIT(D78,";")),0)</f>
        <v>100</v>
      </c>
      <c r="D78" t="s">
        <v>1801</v>
      </c>
      <c r="E78" s="1" t="s">
        <v>954</v>
      </c>
      <c r="F78" s="1" t="s">
        <v>955</v>
      </c>
      <c r="G78" s="1">
        <v>1</v>
      </c>
      <c r="H78" s="1" t="s">
        <v>956</v>
      </c>
      <c r="I78" s="1" t="s">
        <v>957</v>
      </c>
      <c r="J78" s="1" t="s">
        <v>535</v>
      </c>
      <c r="K78" s="1" t="s">
        <v>112</v>
      </c>
      <c r="L78" s="1" t="s">
        <v>38</v>
      </c>
      <c r="M78" s="1" t="s">
        <v>39</v>
      </c>
      <c r="N78" s="2" t="s">
        <v>40</v>
      </c>
      <c r="O78" s="3">
        <v>3509321</v>
      </c>
      <c r="P78" s="3" t="s">
        <v>41</v>
      </c>
      <c r="Q78" s="1" t="s">
        <v>958</v>
      </c>
      <c r="R78" s="1" t="s">
        <v>693</v>
      </c>
      <c r="S78" s="3" t="s">
        <v>123</v>
      </c>
      <c r="T78" s="3" t="s">
        <v>301</v>
      </c>
      <c r="U78" s="2">
        <v>44559</v>
      </c>
      <c r="V78" s="2">
        <v>44831</v>
      </c>
      <c r="W78" s="2">
        <v>44852</v>
      </c>
      <c r="X78" s="2">
        <v>44949</v>
      </c>
      <c r="Y78" s="2">
        <v>45070</v>
      </c>
      <c r="Z78" s="3" t="s">
        <v>959</v>
      </c>
      <c r="AA78" s="3" t="s">
        <v>960</v>
      </c>
      <c r="AB78" s="3" t="s">
        <v>961</v>
      </c>
      <c r="AC78" s="2">
        <v>45070</v>
      </c>
      <c r="AD78" s="2">
        <v>53330</v>
      </c>
      <c r="AE78" s="2" t="s">
        <v>106</v>
      </c>
      <c r="AF78" s="2" t="s">
        <v>855</v>
      </c>
      <c r="AG78" s="2" t="s">
        <v>697</v>
      </c>
      <c r="AH78" s="2" t="s">
        <v>697</v>
      </c>
      <c r="AI78" s="5">
        <v>3509321</v>
      </c>
      <c r="AJ78" s="6">
        <v>0</v>
      </c>
      <c r="AK78" s="69" t="str">
        <f t="shared" si="7"/>
        <v>HINN1</v>
      </c>
    </row>
    <row r="79" spans="2:37" ht="118.95" customHeight="1" x14ac:dyDescent="0.3">
      <c r="B79" s="1">
        <f t="shared" si="6"/>
        <v>190</v>
      </c>
      <c r="C79" cm="1">
        <f t="array" ref="C79">IFERROR(MAX(--_xlfn.TEXTSPLIT(D79,";")),0)</f>
        <v>99</v>
      </c>
      <c r="D79" t="s">
        <v>1800</v>
      </c>
      <c r="E79" s="1" t="s">
        <v>872</v>
      </c>
      <c r="F79" s="1" t="s">
        <v>1863</v>
      </c>
      <c r="G79" s="1">
        <v>1</v>
      </c>
      <c r="H79" s="1" t="s">
        <v>873</v>
      </c>
      <c r="I79" s="1" t="s">
        <v>874</v>
      </c>
      <c r="J79" s="1" t="s">
        <v>535</v>
      </c>
      <c r="K79" s="1" t="s">
        <v>112</v>
      </c>
      <c r="L79" s="1" t="s">
        <v>38</v>
      </c>
      <c r="M79" s="1" t="s">
        <v>39</v>
      </c>
      <c r="N79" s="2" t="s">
        <v>40</v>
      </c>
      <c r="O79" s="3">
        <v>2944034</v>
      </c>
      <c r="P79" s="3" t="s">
        <v>41</v>
      </c>
      <c r="Q79" s="1" t="s">
        <v>875</v>
      </c>
      <c r="R79" s="1" t="s">
        <v>693</v>
      </c>
      <c r="S79" s="3" t="s">
        <v>123</v>
      </c>
      <c r="T79" s="3" t="s">
        <v>301</v>
      </c>
      <c r="U79" s="2">
        <v>43951</v>
      </c>
      <c r="V79" s="2">
        <v>44123</v>
      </c>
      <c r="W79" s="2">
        <v>44145</v>
      </c>
      <c r="X79" s="2">
        <v>44194</v>
      </c>
      <c r="Y79" s="2">
        <v>44282</v>
      </c>
      <c r="Z79" s="3" t="s">
        <v>876</v>
      </c>
      <c r="AA79" s="3" t="s">
        <v>877</v>
      </c>
      <c r="AB79" s="3" t="s">
        <v>878</v>
      </c>
      <c r="AC79" s="2">
        <v>44282</v>
      </c>
      <c r="AD79" s="2">
        <v>51634</v>
      </c>
      <c r="AE79" s="2" t="s">
        <v>106</v>
      </c>
      <c r="AF79" s="2">
        <v>44986</v>
      </c>
      <c r="AG79" s="2" t="s">
        <v>697</v>
      </c>
      <c r="AH79" s="2" t="s">
        <v>697</v>
      </c>
      <c r="AI79" s="5">
        <v>2944034</v>
      </c>
      <c r="AJ79" s="13">
        <v>0.82579999999999998</v>
      </c>
      <c r="AK79" s="69" t="str">
        <f t="shared" si="7"/>
        <v>HBUP1</v>
      </c>
    </row>
    <row r="80" spans="2:37" ht="118.95" customHeight="1" x14ac:dyDescent="0.3">
      <c r="B80" s="1">
        <f t="shared" si="6"/>
        <v>190</v>
      </c>
      <c r="C80" cm="1">
        <f t="array" ref="C80">IFERROR(MAX(--_xlfn.TEXTSPLIT(D80,";")),0)</f>
        <v>59</v>
      </c>
      <c r="D80" t="s">
        <v>1797</v>
      </c>
      <c r="E80" s="1" t="s">
        <v>714</v>
      </c>
      <c r="F80" s="1" t="s">
        <v>1862</v>
      </c>
      <c r="G80" s="1">
        <v>1</v>
      </c>
      <c r="H80" s="1" t="s">
        <v>715</v>
      </c>
      <c r="I80" s="1" t="s">
        <v>716</v>
      </c>
      <c r="J80" s="1" t="s">
        <v>263</v>
      </c>
      <c r="K80" s="1" t="s">
        <v>717</v>
      </c>
      <c r="L80" s="1" t="s">
        <v>38</v>
      </c>
      <c r="M80" s="1" t="s">
        <v>39</v>
      </c>
      <c r="N80" s="2" t="s">
        <v>40</v>
      </c>
      <c r="O80" s="3">
        <v>9410000</v>
      </c>
      <c r="P80" s="3" t="s">
        <v>41</v>
      </c>
      <c r="Q80" s="1" t="s">
        <v>718</v>
      </c>
      <c r="R80" s="1" t="s">
        <v>43</v>
      </c>
      <c r="S80" s="3" t="s">
        <v>123</v>
      </c>
      <c r="T80" s="3" t="s">
        <v>265</v>
      </c>
      <c r="U80" s="2">
        <v>42093</v>
      </c>
      <c r="V80" s="2">
        <v>42355</v>
      </c>
      <c r="W80" s="2">
        <v>42383</v>
      </c>
      <c r="X80" s="2">
        <v>42450</v>
      </c>
      <c r="Y80" s="2">
        <v>42543</v>
      </c>
      <c r="Z80" s="3" t="s">
        <v>719</v>
      </c>
      <c r="AA80" s="3" t="s">
        <v>720</v>
      </c>
      <c r="AB80" s="3" t="s">
        <v>721</v>
      </c>
      <c r="AC80" s="2">
        <v>42543</v>
      </c>
      <c r="AD80" s="2">
        <v>44478</v>
      </c>
      <c r="AE80" s="2" t="s">
        <v>49</v>
      </c>
      <c r="AF80" s="2" t="s">
        <v>269</v>
      </c>
      <c r="AG80" s="2" t="s">
        <v>269</v>
      </c>
      <c r="AH80" s="2" t="s">
        <v>269</v>
      </c>
      <c r="AI80" s="5">
        <v>512516</v>
      </c>
      <c r="AJ80" s="6">
        <v>0</v>
      </c>
      <c r="AK80" s="69" t="str">
        <f t="shared" si="7"/>
        <v>EPUN1</v>
      </c>
    </row>
    <row r="81" spans="1:37" ht="118.95" customHeight="1" x14ac:dyDescent="0.3">
      <c r="B81" s="1">
        <f t="shared" si="6"/>
        <v>190</v>
      </c>
      <c r="C81" cm="1">
        <f t="array" ref="C81">IFERROR(MAX(--_xlfn.TEXTSPLIT(D81,";")),0)</f>
        <v>58</v>
      </c>
      <c r="D81" t="s">
        <v>1796</v>
      </c>
      <c r="E81" s="45" t="s">
        <v>1026</v>
      </c>
      <c r="F81" s="45" t="s">
        <v>1861</v>
      </c>
      <c r="G81" s="1">
        <v>1</v>
      </c>
      <c r="H81" s="45" t="s">
        <v>1027</v>
      </c>
      <c r="I81" s="1" t="s">
        <v>1028</v>
      </c>
      <c r="J81" s="1" t="s">
        <v>309</v>
      </c>
      <c r="K81" s="1" t="s">
        <v>344</v>
      </c>
      <c r="L81" s="1" t="s">
        <v>38</v>
      </c>
      <c r="M81" s="1" t="s">
        <v>39</v>
      </c>
      <c r="N81" s="2"/>
      <c r="O81" s="3">
        <v>7120300</v>
      </c>
      <c r="P81" s="1" t="s">
        <v>41</v>
      </c>
      <c r="Q81" s="1" t="s">
        <v>1029</v>
      </c>
      <c r="R81" s="1" t="s">
        <v>693</v>
      </c>
      <c r="S81" s="1" t="s">
        <v>44</v>
      </c>
      <c r="T81" s="1" t="s">
        <v>1030</v>
      </c>
      <c r="U81" s="2">
        <v>45617</v>
      </c>
      <c r="V81" s="2">
        <v>45867</v>
      </c>
      <c r="W81" s="2">
        <v>45889</v>
      </c>
      <c r="X81" s="2">
        <v>45953</v>
      </c>
      <c r="Y81" s="2">
        <v>46178</v>
      </c>
      <c r="Z81" s="1" t="s">
        <v>1031</v>
      </c>
      <c r="AA81" s="1" t="s">
        <v>1032</v>
      </c>
      <c r="AB81" s="1" t="s">
        <v>1033</v>
      </c>
      <c r="AC81" s="2">
        <v>46027</v>
      </c>
      <c r="AD81" s="2">
        <v>55217</v>
      </c>
      <c r="AE81" s="1" t="s">
        <v>106</v>
      </c>
      <c r="AF81" s="1" t="s">
        <v>855</v>
      </c>
      <c r="AG81" s="1" t="s">
        <v>697</v>
      </c>
      <c r="AH81" s="1" t="s">
        <v>697</v>
      </c>
      <c r="AI81" s="22">
        <v>7120300</v>
      </c>
      <c r="AJ81" s="23">
        <v>0</v>
      </c>
      <c r="AK81" s="69" t="str">
        <f t="shared" si="7"/>
        <v>EPCO1</v>
      </c>
    </row>
    <row r="82" spans="1:37" ht="118.95" customHeight="1" x14ac:dyDescent="0.3">
      <c r="B82" s="1">
        <f t="shared" si="6"/>
        <v>190</v>
      </c>
      <c r="C82" cm="1">
        <f t="array" ref="C82">IFERROR(MAX(--_xlfn.TEXTSPLIT(D82,";")),0)</f>
        <v>116</v>
      </c>
      <c r="D82" t="s">
        <v>1808</v>
      </c>
      <c r="E82" s="1" t="s">
        <v>650</v>
      </c>
      <c r="F82" s="1" t="s">
        <v>651</v>
      </c>
      <c r="G82" s="1">
        <v>1</v>
      </c>
      <c r="H82" s="1" t="s">
        <v>652</v>
      </c>
      <c r="I82" s="1" t="s">
        <v>653</v>
      </c>
      <c r="J82" s="1" t="s">
        <v>535</v>
      </c>
      <c r="K82" s="1" t="s">
        <v>190</v>
      </c>
      <c r="L82" s="1" t="s">
        <v>38</v>
      </c>
      <c r="M82" s="1" t="s">
        <v>39</v>
      </c>
      <c r="N82" s="2" t="s">
        <v>40</v>
      </c>
      <c r="O82" s="3">
        <v>5300000</v>
      </c>
      <c r="P82" s="3" t="s">
        <v>41</v>
      </c>
      <c r="Q82" s="1" t="s">
        <v>654</v>
      </c>
      <c r="R82" s="1" t="s">
        <v>133</v>
      </c>
      <c r="S82" s="3" t="s">
        <v>123</v>
      </c>
      <c r="T82" s="3" t="s">
        <v>301</v>
      </c>
      <c r="U82" s="2">
        <v>40908</v>
      </c>
      <c r="V82" s="2">
        <v>41183</v>
      </c>
      <c r="W82" s="2">
        <v>41201</v>
      </c>
      <c r="X82" s="2">
        <v>41331</v>
      </c>
      <c r="Y82" s="2">
        <v>41446</v>
      </c>
      <c r="Z82" s="3" t="s">
        <v>655</v>
      </c>
      <c r="AA82" s="3" t="s">
        <v>656</v>
      </c>
      <c r="AB82" s="3" t="s">
        <v>657</v>
      </c>
      <c r="AC82" s="2">
        <v>41446</v>
      </c>
      <c r="AD82" s="2">
        <v>48571</v>
      </c>
      <c r="AE82" s="2" t="s">
        <v>49</v>
      </c>
      <c r="AF82" s="2" t="s">
        <v>50</v>
      </c>
      <c r="AG82" s="2">
        <v>43024</v>
      </c>
      <c r="AH82" s="2">
        <v>43462</v>
      </c>
      <c r="AI82" s="8">
        <v>6438587.2999999998</v>
      </c>
      <c r="AJ82" s="6">
        <v>1</v>
      </c>
      <c r="AK82" s="69" t="str">
        <f t="shared" si="7"/>
        <v>HSAN1</v>
      </c>
    </row>
    <row r="83" spans="1:37" ht="118.95" customHeight="1" x14ac:dyDescent="0.3">
      <c r="B83" s="1">
        <f t="shared" si="6"/>
        <v>190</v>
      </c>
      <c r="C83" cm="1">
        <f t="array" ref="C83">IFERROR(MAX(--_xlfn.TEXTSPLIT(D83,";")),0)</f>
        <v>117</v>
      </c>
      <c r="D83" t="s">
        <v>1809</v>
      </c>
      <c r="E83" s="1" t="s">
        <v>698</v>
      </c>
      <c r="F83" s="1" t="s">
        <v>699</v>
      </c>
      <c r="G83" s="1">
        <v>1</v>
      </c>
      <c r="H83" s="1" t="s">
        <v>700</v>
      </c>
      <c r="I83" s="1" t="s">
        <v>701</v>
      </c>
      <c r="J83" s="1" t="s">
        <v>535</v>
      </c>
      <c r="K83" s="1" t="s">
        <v>112</v>
      </c>
      <c r="L83" s="1" t="s">
        <v>38</v>
      </c>
      <c r="M83" s="1" t="s">
        <v>39</v>
      </c>
      <c r="N83" s="2" t="s">
        <v>40</v>
      </c>
      <c r="O83" s="3">
        <v>5300000</v>
      </c>
      <c r="P83" s="3" t="s">
        <v>41</v>
      </c>
      <c r="Q83" s="1" t="s">
        <v>702</v>
      </c>
      <c r="R83" s="1" t="s">
        <v>133</v>
      </c>
      <c r="S83" s="3" t="s">
        <v>123</v>
      </c>
      <c r="T83" s="3" t="s">
        <v>301</v>
      </c>
      <c r="U83" s="2">
        <v>41592</v>
      </c>
      <c r="V83" s="2">
        <v>41669</v>
      </c>
      <c r="W83" s="2">
        <v>41682</v>
      </c>
      <c r="X83" s="2">
        <v>41697</v>
      </c>
      <c r="Y83" s="2">
        <v>41796</v>
      </c>
      <c r="Z83" s="3" t="s">
        <v>703</v>
      </c>
      <c r="AA83" s="3" t="s">
        <v>704</v>
      </c>
      <c r="AB83" s="3" t="s">
        <v>705</v>
      </c>
      <c r="AC83" s="2">
        <v>41796</v>
      </c>
      <c r="AD83" s="2">
        <v>49631</v>
      </c>
      <c r="AE83" s="2" t="s">
        <v>49</v>
      </c>
      <c r="AF83" s="2">
        <v>41934</v>
      </c>
      <c r="AG83" s="2">
        <v>43914</v>
      </c>
      <c r="AH83" s="2">
        <v>44519</v>
      </c>
      <c r="AI83" s="8">
        <v>5718390.9000000004</v>
      </c>
      <c r="AJ83" s="6">
        <v>1</v>
      </c>
      <c r="AK83" s="69" t="str">
        <f t="shared" si="7"/>
        <v>HSFB1</v>
      </c>
    </row>
    <row r="84" spans="1:37" ht="223.2" customHeight="1" x14ac:dyDescent="0.3">
      <c r="B84" s="1">
        <f t="shared" si="6"/>
        <v>190</v>
      </c>
      <c r="C84" cm="1">
        <f t="array" ref="C84">IFERROR(MAX(--_xlfn.TEXTSPLIT(D84,";")),0)</f>
        <v>119</v>
      </c>
      <c r="D84" t="s">
        <v>1810</v>
      </c>
      <c r="E84" s="1" t="s">
        <v>532</v>
      </c>
      <c r="F84" s="1" t="s">
        <v>533</v>
      </c>
      <c r="G84" s="1">
        <v>1</v>
      </c>
      <c r="H84" s="1" t="s">
        <v>533</v>
      </c>
      <c r="I84" s="1" t="s">
        <v>534</v>
      </c>
      <c r="J84" s="1" t="s">
        <v>535</v>
      </c>
      <c r="K84" s="1" t="s">
        <v>112</v>
      </c>
      <c r="L84" s="1" t="s">
        <v>38</v>
      </c>
      <c r="M84" s="1" t="s">
        <v>39</v>
      </c>
      <c r="N84" s="2" t="s">
        <v>40</v>
      </c>
      <c r="O84" s="3">
        <v>6568000</v>
      </c>
      <c r="P84" s="3" t="s">
        <v>41</v>
      </c>
      <c r="Q84" s="4" t="s">
        <v>536</v>
      </c>
      <c r="R84" s="1" t="s">
        <v>133</v>
      </c>
      <c r="S84" s="3" t="s">
        <v>123</v>
      </c>
      <c r="T84" s="3" t="s">
        <v>301</v>
      </c>
      <c r="U84" s="2">
        <v>39592</v>
      </c>
      <c r="V84" s="2">
        <v>39951</v>
      </c>
      <c r="W84" s="2">
        <v>39976</v>
      </c>
      <c r="X84" s="2">
        <v>40036</v>
      </c>
      <c r="Y84" s="2">
        <v>40122</v>
      </c>
      <c r="Z84" s="3" t="s">
        <v>537</v>
      </c>
      <c r="AA84" s="3" t="s">
        <v>538</v>
      </c>
      <c r="AB84" s="3" t="s">
        <v>539</v>
      </c>
      <c r="AC84" s="2">
        <v>40122</v>
      </c>
      <c r="AD84" s="2">
        <v>47528</v>
      </c>
      <c r="AE84" s="2" t="s">
        <v>49</v>
      </c>
      <c r="AF84" s="2" t="s">
        <v>50</v>
      </c>
      <c r="AG84" s="2">
        <v>41618</v>
      </c>
      <c r="AH84" s="2">
        <v>42048</v>
      </c>
      <c r="AI84" s="8">
        <v>6244764.4299999997</v>
      </c>
      <c r="AJ84" s="6">
        <v>1</v>
      </c>
      <c r="AK84" s="69" t="str">
        <f t="shared" si="7"/>
        <v>HSMF1</v>
      </c>
    </row>
    <row r="85" spans="1:37" ht="118.95" customHeight="1" x14ac:dyDescent="0.3">
      <c r="B85" s="1">
        <f t="shared" si="6"/>
        <v>190</v>
      </c>
      <c r="C85" cm="1">
        <f t="array" ref="C85">IFERROR(MAX(--_xlfn.TEXTSPLIT(D85,";")),0)</f>
        <v>57</v>
      </c>
      <c r="D85" t="s">
        <v>1795</v>
      </c>
      <c r="E85" s="1" t="s">
        <v>785</v>
      </c>
      <c r="F85" s="1" t="s">
        <v>1860</v>
      </c>
      <c r="G85" s="1">
        <v>1</v>
      </c>
      <c r="H85" s="1" t="s">
        <v>786</v>
      </c>
      <c r="I85" s="1" t="s">
        <v>787</v>
      </c>
      <c r="J85" s="1" t="s">
        <v>263</v>
      </c>
      <c r="K85" s="1" t="s">
        <v>37</v>
      </c>
      <c r="L85" s="1" t="s">
        <v>38</v>
      </c>
      <c r="M85" s="1" t="s">
        <v>39</v>
      </c>
      <c r="N85" s="2" t="s">
        <v>40</v>
      </c>
      <c r="O85" s="3">
        <v>3880000</v>
      </c>
      <c r="P85" s="3" t="s">
        <v>41</v>
      </c>
      <c r="Q85" s="1" t="s">
        <v>788</v>
      </c>
      <c r="R85" s="1" t="s">
        <v>693</v>
      </c>
      <c r="S85" s="3" t="s">
        <v>44</v>
      </c>
      <c r="T85" s="3" t="s">
        <v>301</v>
      </c>
      <c r="U85" s="2">
        <v>42944</v>
      </c>
      <c r="V85" s="2">
        <v>43089</v>
      </c>
      <c r="W85" s="2">
        <v>43118</v>
      </c>
      <c r="X85" s="2">
        <v>43165</v>
      </c>
      <c r="Y85" s="2">
        <v>43224</v>
      </c>
      <c r="Z85" s="3" t="s">
        <v>789</v>
      </c>
      <c r="AA85" s="3" t="s">
        <v>790</v>
      </c>
      <c r="AB85" s="3" t="s">
        <v>791</v>
      </c>
      <c r="AC85" s="2">
        <v>43224</v>
      </c>
      <c r="AD85" s="2">
        <v>50256</v>
      </c>
      <c r="AE85" s="2" t="s">
        <v>49</v>
      </c>
      <c r="AF85" s="2">
        <v>43731</v>
      </c>
      <c r="AG85" s="2" t="s">
        <v>697</v>
      </c>
      <c r="AH85" s="2" t="s">
        <v>697</v>
      </c>
      <c r="AI85" s="5">
        <v>3880000</v>
      </c>
      <c r="AJ85" s="13">
        <v>0.21240000000000001</v>
      </c>
      <c r="AK85" s="1" t="str">
        <f t="shared" si="7"/>
        <v>ELPA1</v>
      </c>
    </row>
    <row r="86" spans="1:37" ht="148.94999999999999" customHeight="1" x14ac:dyDescent="0.3">
      <c r="B86" s="1">
        <f t="shared" si="6"/>
        <v>190</v>
      </c>
      <c r="C86" cm="1">
        <f t="array" ref="C86">IFERROR(MAX(--_xlfn.TEXTSPLIT(D86,";")),0)</f>
        <v>55</v>
      </c>
      <c r="D86" t="s">
        <v>1793</v>
      </c>
      <c r="E86" s="1" t="s">
        <v>261</v>
      </c>
      <c r="F86" s="1" t="s">
        <v>1859</v>
      </c>
      <c r="G86" s="1">
        <v>1</v>
      </c>
      <c r="H86" s="1" t="s">
        <v>262</v>
      </c>
      <c r="I86" s="1">
        <v>0</v>
      </c>
      <c r="J86" s="1" t="s">
        <v>263</v>
      </c>
      <c r="K86" s="1" t="s">
        <v>175</v>
      </c>
      <c r="L86" s="1" t="s">
        <v>38</v>
      </c>
      <c r="M86" s="1" t="s">
        <v>39</v>
      </c>
      <c r="N86" s="2" t="s">
        <v>40</v>
      </c>
      <c r="O86" s="3">
        <v>1319600</v>
      </c>
      <c r="P86" s="3" t="s">
        <v>41</v>
      </c>
      <c r="Q86" s="1" t="s">
        <v>264</v>
      </c>
      <c r="R86" s="1" t="s">
        <v>43</v>
      </c>
      <c r="S86" s="3" t="s">
        <v>123</v>
      </c>
      <c r="T86" s="3" t="s">
        <v>265</v>
      </c>
      <c r="U86" s="2">
        <v>36401</v>
      </c>
      <c r="V86" s="2">
        <v>36979</v>
      </c>
      <c r="W86" s="2">
        <v>37008</v>
      </c>
      <c r="X86" s="2">
        <v>37081</v>
      </c>
      <c r="Y86" s="2">
        <v>37172</v>
      </c>
      <c r="Z86" s="3" t="s">
        <v>266</v>
      </c>
      <c r="AA86" s="3" t="s">
        <v>267</v>
      </c>
      <c r="AB86" s="48" t="s">
        <v>268</v>
      </c>
      <c r="AC86" s="2">
        <v>37164</v>
      </c>
      <c r="AD86" s="2">
        <v>38699</v>
      </c>
      <c r="AE86" s="2" t="s">
        <v>49</v>
      </c>
      <c r="AF86" s="2" t="s">
        <v>269</v>
      </c>
      <c r="AG86" s="2" t="s">
        <v>269</v>
      </c>
      <c r="AH86" s="2" t="s">
        <v>269</v>
      </c>
      <c r="AI86" s="5">
        <v>232211.22</v>
      </c>
      <c r="AJ86" s="6">
        <v>0</v>
      </c>
      <c r="AK86" s="69" t="str">
        <f t="shared" si="7"/>
        <v>EEBA1</v>
      </c>
    </row>
    <row r="87" spans="1:37" ht="148.19999999999999" customHeight="1" x14ac:dyDescent="0.3">
      <c r="B87" s="1">
        <f t="shared" si="6"/>
        <v>190</v>
      </c>
      <c r="C87" cm="1">
        <f t="array" ref="C87">IFERROR(MAX(--_xlfn.TEXTSPLIT(D87,";")),0)</f>
        <v>49</v>
      </c>
      <c r="D87" t="s">
        <v>1788</v>
      </c>
      <c r="E87" s="1" t="s">
        <v>824</v>
      </c>
      <c r="F87" s="1" t="s">
        <v>1871</v>
      </c>
      <c r="G87" s="1">
        <v>2</v>
      </c>
      <c r="H87" s="1" t="s">
        <v>825</v>
      </c>
      <c r="I87" s="1" t="s">
        <v>826</v>
      </c>
      <c r="J87" s="1" t="s">
        <v>36</v>
      </c>
      <c r="K87" s="1" t="s">
        <v>175</v>
      </c>
      <c r="L87" s="1" t="s">
        <v>38</v>
      </c>
      <c r="M87" s="1" t="s">
        <v>39</v>
      </c>
      <c r="N87" s="2" t="s">
        <v>40</v>
      </c>
      <c r="O87" s="3">
        <v>12155000</v>
      </c>
      <c r="P87" s="3" t="s">
        <v>41</v>
      </c>
      <c r="Q87" s="1" t="s">
        <v>827</v>
      </c>
      <c r="R87" s="1" t="s">
        <v>662</v>
      </c>
      <c r="S87" s="3" t="s">
        <v>44</v>
      </c>
      <c r="T87" s="3" t="s">
        <v>152</v>
      </c>
      <c r="U87" s="2">
        <v>43232</v>
      </c>
      <c r="V87" s="2">
        <v>43434</v>
      </c>
      <c r="W87" s="2">
        <v>43460</v>
      </c>
      <c r="X87" s="2">
        <v>43585</v>
      </c>
      <c r="Y87" s="2">
        <v>43766</v>
      </c>
      <c r="Z87" s="3" t="s">
        <v>828</v>
      </c>
      <c r="AA87" s="3" t="s">
        <v>829</v>
      </c>
      <c r="AB87" s="3" t="s">
        <v>830</v>
      </c>
      <c r="AC87" s="2">
        <v>43766</v>
      </c>
      <c r="AD87" s="2">
        <v>54723</v>
      </c>
      <c r="AE87" s="2" t="s">
        <v>106</v>
      </c>
      <c r="AF87" s="2">
        <v>45797</v>
      </c>
      <c r="AG87" s="2" t="s">
        <v>697</v>
      </c>
      <c r="AH87" s="2" t="s">
        <v>697</v>
      </c>
      <c r="AI87" s="5">
        <v>12155000</v>
      </c>
      <c r="AJ87" s="6" t="s">
        <v>831</v>
      </c>
      <c r="AK87" s="69" t="str">
        <f t="shared" si="7"/>
        <v>LVLS2</v>
      </c>
    </row>
    <row r="88" spans="1:37" ht="118.95" customHeight="1" x14ac:dyDescent="0.3">
      <c r="A88" t="s">
        <v>1906</v>
      </c>
      <c r="B88" s="1">
        <f t="shared" si="6"/>
        <v>190</v>
      </c>
      <c r="C88" cm="1">
        <f t="array" ref="C88">IFERROR(MAX(--_xlfn.TEXTSPLIT(D88,";")),0)</f>
        <v>122</v>
      </c>
      <c r="D88" t="s">
        <v>1813</v>
      </c>
      <c r="E88" s="1" t="s">
        <v>658</v>
      </c>
      <c r="F88" s="1" t="s">
        <v>1872</v>
      </c>
      <c r="G88" s="1">
        <v>1</v>
      </c>
      <c r="H88" s="1" t="s">
        <v>659</v>
      </c>
      <c r="I88" s="1" t="s">
        <v>660</v>
      </c>
      <c r="J88" s="1" t="s">
        <v>111</v>
      </c>
      <c r="K88" s="1" t="s">
        <v>55</v>
      </c>
      <c r="L88" s="1" t="s">
        <v>38</v>
      </c>
      <c r="M88" s="1" t="s">
        <v>39</v>
      </c>
      <c r="N88" s="2" t="s">
        <v>40</v>
      </c>
      <c r="O88" s="3">
        <v>4420000</v>
      </c>
      <c r="P88" s="3" t="s">
        <v>41</v>
      </c>
      <c r="Q88" s="1" t="s">
        <v>661</v>
      </c>
      <c r="R88" s="1" t="s">
        <v>662</v>
      </c>
      <c r="S88" s="3" t="s">
        <v>44</v>
      </c>
      <c r="T88" s="3" t="s">
        <v>484</v>
      </c>
      <c r="U88" s="2">
        <v>41271</v>
      </c>
      <c r="V88" s="2">
        <v>41593</v>
      </c>
      <c r="W88" s="2">
        <v>41621</v>
      </c>
      <c r="X88" s="2">
        <v>41828</v>
      </c>
      <c r="Y88" s="2">
        <v>41975</v>
      </c>
      <c r="Z88" s="3" t="s">
        <v>663</v>
      </c>
      <c r="AA88" s="3" t="s">
        <v>664</v>
      </c>
      <c r="AB88" s="3" t="s">
        <v>665</v>
      </c>
      <c r="AC88" s="2">
        <v>41975</v>
      </c>
      <c r="AD88" s="2">
        <v>56585</v>
      </c>
      <c r="AE88" s="2" t="s">
        <v>106</v>
      </c>
      <c r="AF88" s="2">
        <v>44378</v>
      </c>
      <c r="AG88" s="2">
        <v>45985</v>
      </c>
      <c r="AH88" s="2" t="s">
        <v>531</v>
      </c>
      <c r="AI88" s="9">
        <v>6057865.2999999998</v>
      </c>
      <c r="AJ88" s="13">
        <v>0.93169999999999997</v>
      </c>
      <c r="AK88" s="69" t="str">
        <f t="shared" si="7"/>
        <v>NPIB1</v>
      </c>
    </row>
    <row r="89" spans="1:37" ht="118.95" customHeight="1" x14ac:dyDescent="0.3">
      <c r="B89" s="1">
        <f t="shared" si="6"/>
        <v>190</v>
      </c>
      <c r="C89" cm="1">
        <f t="array" ref="C89">IFERROR(MAX(--_xlfn.TEXTSPLIT(D89,";")),0)</f>
        <v>48</v>
      </c>
      <c r="D89" t="s">
        <v>1787</v>
      </c>
      <c r="E89" s="57" t="s">
        <v>962</v>
      </c>
      <c r="F89" s="1" t="s">
        <v>148</v>
      </c>
      <c r="G89" s="1">
        <v>2</v>
      </c>
      <c r="H89" s="1" t="s">
        <v>963</v>
      </c>
      <c r="I89" s="1" t="s">
        <v>964</v>
      </c>
      <c r="J89" s="1" t="s">
        <v>36</v>
      </c>
      <c r="K89" s="1" t="s">
        <v>92</v>
      </c>
      <c r="L89" s="1" t="s">
        <v>38</v>
      </c>
      <c r="M89" s="1" t="s">
        <v>39</v>
      </c>
      <c r="N89" s="2"/>
      <c r="O89" s="3">
        <v>35970000</v>
      </c>
      <c r="P89" s="24" t="s">
        <v>41</v>
      </c>
      <c r="Q89" s="1" t="s">
        <v>965</v>
      </c>
      <c r="R89" s="1" t="s">
        <v>662</v>
      </c>
      <c r="S89" s="3" t="s">
        <v>44</v>
      </c>
      <c r="T89" s="3" t="s">
        <v>152</v>
      </c>
      <c r="U89" s="2">
        <v>44561</v>
      </c>
      <c r="V89" s="2">
        <v>45580</v>
      </c>
      <c r="W89" s="2">
        <v>45608</v>
      </c>
      <c r="X89" s="2">
        <v>45674</v>
      </c>
      <c r="Y89" s="2">
        <v>45786</v>
      </c>
      <c r="Z89" s="1" t="s">
        <v>966</v>
      </c>
      <c r="AA89" s="1" t="s">
        <v>967</v>
      </c>
      <c r="AB89" s="63" t="s">
        <v>968</v>
      </c>
      <c r="AC89" s="2">
        <v>45786</v>
      </c>
      <c r="AD89" s="2">
        <v>56743</v>
      </c>
      <c r="AE89" s="2" t="s">
        <v>106</v>
      </c>
      <c r="AF89" s="2" t="s">
        <v>855</v>
      </c>
      <c r="AG89" s="2" t="s">
        <v>697</v>
      </c>
      <c r="AH89" s="2" t="s">
        <v>697</v>
      </c>
      <c r="AI89" s="22">
        <v>35970000</v>
      </c>
      <c r="AJ89" s="6">
        <v>0</v>
      </c>
      <c r="AK89" s="69" t="str">
        <f t="shared" si="7"/>
        <v>ISVV2</v>
      </c>
    </row>
    <row r="90" spans="1:37" ht="118.95" customHeight="1" x14ac:dyDescent="0.3">
      <c r="B90" s="1">
        <f t="shared" si="6"/>
        <v>190</v>
      </c>
      <c r="C90" cm="1">
        <f t="array" ref="C90">IFERROR(MAX(--_xlfn.TEXTSPLIT(D90,";")),0)</f>
        <v>124</v>
      </c>
      <c r="D90" t="s">
        <v>1815</v>
      </c>
      <c r="E90" s="1" t="s">
        <v>554</v>
      </c>
      <c r="F90" s="45" t="s">
        <v>1008</v>
      </c>
      <c r="G90" s="1">
        <v>1</v>
      </c>
      <c r="H90" s="1" t="s">
        <v>555</v>
      </c>
      <c r="I90" s="1" t="s">
        <v>556</v>
      </c>
      <c r="J90" s="1" t="s">
        <v>64</v>
      </c>
      <c r="K90" s="1" t="s">
        <v>216</v>
      </c>
      <c r="L90" s="1" t="s">
        <v>38</v>
      </c>
      <c r="M90" s="1" t="s">
        <v>39</v>
      </c>
      <c r="N90" s="2" t="s">
        <v>40</v>
      </c>
      <c r="O90" s="3">
        <v>2681000</v>
      </c>
      <c r="P90" s="3" t="s">
        <v>41</v>
      </c>
      <c r="Q90" s="1" t="s">
        <v>557</v>
      </c>
      <c r="R90" s="1" t="s">
        <v>43</v>
      </c>
      <c r="S90" s="3" t="s">
        <v>123</v>
      </c>
      <c r="T90" s="3" t="s">
        <v>301</v>
      </c>
      <c r="U90" s="2">
        <v>39800</v>
      </c>
      <c r="V90" s="2">
        <v>40095</v>
      </c>
      <c r="W90" s="2">
        <v>40147</v>
      </c>
      <c r="X90" s="2">
        <v>40211</v>
      </c>
      <c r="Y90" s="2">
        <v>40285</v>
      </c>
      <c r="Z90" s="3" t="s">
        <v>558</v>
      </c>
      <c r="AA90" s="3" t="s">
        <v>559</v>
      </c>
      <c r="AB90" s="3" t="s">
        <v>560</v>
      </c>
      <c r="AC90" s="2">
        <v>40285</v>
      </c>
      <c r="AD90" s="2">
        <v>45900</v>
      </c>
      <c r="AE90" s="2" t="s">
        <v>49</v>
      </c>
      <c r="AF90" s="2">
        <v>41016</v>
      </c>
      <c r="AG90" s="2">
        <v>41779</v>
      </c>
      <c r="AH90" s="2">
        <v>42025</v>
      </c>
      <c r="AI90" s="5">
        <v>2623962.17</v>
      </c>
      <c r="AJ90" s="6">
        <v>1</v>
      </c>
      <c r="AK90" s="69" t="str">
        <f t="shared" si="7"/>
        <v>NARA1</v>
      </c>
    </row>
    <row r="91" spans="1:37" ht="118.95" customHeight="1" x14ac:dyDescent="0.3">
      <c r="B91" s="1">
        <f t="shared" si="6"/>
        <v>190</v>
      </c>
      <c r="C91" cm="1">
        <f t="array" ref="C91">IFERROR(MAX(--_xlfn.TEXTSPLIT(D91,";")),0)</f>
        <v>41</v>
      </c>
      <c r="D91" t="s">
        <v>1783</v>
      </c>
      <c r="E91" s="1" t="s">
        <v>729</v>
      </c>
      <c r="F91" s="1" t="s">
        <v>99</v>
      </c>
      <c r="G91" s="1">
        <v>2</v>
      </c>
      <c r="H91" s="1" t="s">
        <v>730</v>
      </c>
      <c r="I91" s="1" t="s">
        <v>731</v>
      </c>
      <c r="J91" s="1" t="s">
        <v>36</v>
      </c>
      <c r="K91" s="1" t="s">
        <v>37</v>
      </c>
      <c r="L91" s="1" t="s">
        <v>38</v>
      </c>
      <c r="M91" s="1" t="s">
        <v>39</v>
      </c>
      <c r="N91" s="2" t="s">
        <v>40</v>
      </c>
      <c r="O91" s="3">
        <v>5250000</v>
      </c>
      <c r="P91" s="3" t="s">
        <v>41</v>
      </c>
      <c r="Q91" s="1" t="s">
        <v>732</v>
      </c>
      <c r="R91" s="1" t="s">
        <v>662</v>
      </c>
      <c r="S91" s="3" t="s">
        <v>44</v>
      </c>
      <c r="T91" s="3" t="s">
        <v>484</v>
      </c>
      <c r="U91" s="2">
        <v>42335</v>
      </c>
      <c r="V91" s="2">
        <v>42458</v>
      </c>
      <c r="W91" s="2">
        <v>42482</v>
      </c>
      <c r="X91" s="2">
        <v>42528</v>
      </c>
      <c r="Y91" s="2">
        <v>42605</v>
      </c>
      <c r="Z91" s="3" t="s">
        <v>733</v>
      </c>
      <c r="AA91" s="3" t="s">
        <v>734</v>
      </c>
      <c r="AB91" s="3" t="s">
        <v>735</v>
      </c>
      <c r="AC91" s="2">
        <v>42605</v>
      </c>
      <c r="AD91" s="2">
        <v>53197</v>
      </c>
      <c r="AE91" s="2" t="s">
        <v>106</v>
      </c>
      <c r="AF91" s="2">
        <v>44006</v>
      </c>
      <c r="AG91" s="2" t="s">
        <v>697</v>
      </c>
      <c r="AH91" s="2" t="s">
        <v>697</v>
      </c>
      <c r="AI91" s="5">
        <v>5250000</v>
      </c>
      <c r="AJ91" s="6" t="s">
        <v>736</v>
      </c>
      <c r="AK91" s="69" t="str">
        <f t="shared" si="7"/>
        <v>CNPU2</v>
      </c>
    </row>
    <row r="92" spans="1:37" ht="118.95" customHeight="1" x14ac:dyDescent="0.3">
      <c r="B92" s="1">
        <f t="shared" si="6"/>
        <v>190</v>
      </c>
      <c r="C92" cm="1">
        <f t="array" ref="C92">IFERROR(MAX(--_xlfn.TEXTSPLIT(D92,";")),0)</f>
        <v>125</v>
      </c>
      <c r="D92" t="s">
        <v>1816</v>
      </c>
      <c r="E92" s="1" t="s">
        <v>547</v>
      </c>
      <c r="F92" s="1" t="s">
        <v>1874</v>
      </c>
      <c r="G92" s="1">
        <v>1</v>
      </c>
      <c r="H92" s="1" t="s">
        <v>548</v>
      </c>
      <c r="I92" s="1" t="s">
        <v>549</v>
      </c>
      <c r="J92" s="1" t="s">
        <v>36</v>
      </c>
      <c r="K92" s="1" t="s">
        <v>75</v>
      </c>
      <c r="L92" s="1" t="s">
        <v>38</v>
      </c>
      <c r="M92" s="1" t="s">
        <v>66</v>
      </c>
      <c r="N92" s="2">
        <v>38427</v>
      </c>
      <c r="O92" s="3">
        <v>4125000</v>
      </c>
      <c r="P92" s="3" t="s">
        <v>41</v>
      </c>
      <c r="Q92" s="1" t="s">
        <v>550</v>
      </c>
      <c r="R92" s="1" t="s">
        <v>133</v>
      </c>
      <c r="S92" s="3" t="s">
        <v>44</v>
      </c>
      <c r="T92" s="3" t="s">
        <v>484</v>
      </c>
      <c r="U92" s="2">
        <v>39781</v>
      </c>
      <c r="V92" s="2">
        <v>40115</v>
      </c>
      <c r="W92" s="2">
        <v>40142</v>
      </c>
      <c r="X92" s="2">
        <v>40219</v>
      </c>
      <c r="Y92" s="2">
        <v>40302</v>
      </c>
      <c r="Z92" s="3" t="s">
        <v>551</v>
      </c>
      <c r="AA92" s="3" t="s">
        <v>552</v>
      </c>
      <c r="AB92" s="3" t="s">
        <v>553</v>
      </c>
      <c r="AC92" s="2">
        <v>40302</v>
      </c>
      <c r="AD92" s="2">
        <v>55096</v>
      </c>
      <c r="AE92" s="2" t="s">
        <v>106</v>
      </c>
      <c r="AF92" s="2" t="s">
        <v>50</v>
      </c>
      <c r="AG92" s="2">
        <v>41810</v>
      </c>
      <c r="AH92" s="2">
        <v>41954</v>
      </c>
      <c r="AI92" s="8">
        <v>5248461.3500000006</v>
      </c>
      <c r="AJ92" s="6">
        <v>1</v>
      </c>
      <c r="AK92" s="69" t="str">
        <f t="shared" si="7"/>
        <v>PMPA1</v>
      </c>
    </row>
    <row r="93" spans="1:37" ht="118.95" customHeight="1" x14ac:dyDescent="0.3">
      <c r="B93" s="1">
        <f t="shared" si="6"/>
        <v>190</v>
      </c>
      <c r="C93" cm="1">
        <f t="array" ref="C93">IFERROR(MAX(--_xlfn.TEXTSPLIT(D93,";")),0)</f>
        <v>126</v>
      </c>
      <c r="D93" t="s">
        <v>1817</v>
      </c>
      <c r="E93" s="1" t="s">
        <v>195</v>
      </c>
      <c r="F93" s="1" t="s">
        <v>1873</v>
      </c>
      <c r="G93" s="1">
        <v>1</v>
      </c>
      <c r="H93" s="1" t="s">
        <v>196</v>
      </c>
      <c r="I93" s="1" t="s">
        <v>197</v>
      </c>
      <c r="J93" s="1" t="s">
        <v>36</v>
      </c>
      <c r="K93" s="1" t="s">
        <v>198</v>
      </c>
      <c r="L93" s="1" t="s">
        <v>38</v>
      </c>
      <c r="M93" s="1" t="s">
        <v>39</v>
      </c>
      <c r="N93" s="2" t="s">
        <v>40</v>
      </c>
      <c r="O93" s="3">
        <v>5782000</v>
      </c>
      <c r="P93" s="3" t="s">
        <v>41</v>
      </c>
      <c r="Q93" s="1" t="s">
        <v>199</v>
      </c>
      <c r="R93" s="1" t="s">
        <v>133</v>
      </c>
      <c r="S93" s="3" t="s">
        <v>123</v>
      </c>
      <c r="T93" s="3" t="s">
        <v>200</v>
      </c>
      <c r="U93" s="2">
        <v>35593</v>
      </c>
      <c r="V93" s="2">
        <v>35626</v>
      </c>
      <c r="W93" s="2">
        <v>35647</v>
      </c>
      <c r="X93" s="2">
        <v>35748</v>
      </c>
      <c r="Y93" s="2">
        <v>35808</v>
      </c>
      <c r="Z93" s="3" t="s">
        <v>201</v>
      </c>
      <c r="AA93" s="3" t="s">
        <v>202</v>
      </c>
      <c r="AB93" s="3" t="s">
        <v>203</v>
      </c>
      <c r="AC93" s="2">
        <v>36058</v>
      </c>
      <c r="AD93" s="2">
        <v>46203</v>
      </c>
      <c r="AE93" s="2" t="s">
        <v>49</v>
      </c>
      <c r="AF93" s="2" t="s">
        <v>50</v>
      </c>
      <c r="AG93" s="2">
        <v>37194</v>
      </c>
      <c r="AH93" s="2">
        <v>37522</v>
      </c>
      <c r="AI93" s="9">
        <v>9212080.3000000007</v>
      </c>
      <c r="AJ93" s="6">
        <v>1</v>
      </c>
      <c r="AK93" s="70" t="str">
        <f t="shared" si="7"/>
        <v>RBPM1</v>
      </c>
    </row>
    <row r="94" spans="1:37" ht="118.95" customHeight="1" x14ac:dyDescent="0.3">
      <c r="B94" s="1">
        <f t="shared" si="6"/>
        <v>190</v>
      </c>
      <c r="C94" cm="1">
        <f t="array" ref="C94">IFERROR(MAX(--_xlfn.TEXTSPLIT(D94,";")),0)</f>
        <v>37</v>
      </c>
      <c r="D94" t="s">
        <v>1780</v>
      </c>
      <c r="E94" s="1" t="s">
        <v>946</v>
      </c>
      <c r="F94" s="1" t="s">
        <v>1854</v>
      </c>
      <c r="G94" s="1">
        <v>2</v>
      </c>
      <c r="H94" s="1" t="s">
        <v>947</v>
      </c>
      <c r="I94" s="1" t="s">
        <v>948</v>
      </c>
      <c r="J94" s="1" t="s">
        <v>36</v>
      </c>
      <c r="K94" s="1" t="s">
        <v>949</v>
      </c>
      <c r="L94" s="1" t="s">
        <v>38</v>
      </c>
      <c r="M94" s="1" t="s">
        <v>39</v>
      </c>
      <c r="N94" s="2" t="s">
        <v>40</v>
      </c>
      <c r="O94" s="3">
        <v>14215000</v>
      </c>
      <c r="P94" s="3" t="s">
        <v>41</v>
      </c>
      <c r="Q94" s="1" t="s">
        <v>950</v>
      </c>
      <c r="R94" s="1" t="s">
        <v>662</v>
      </c>
      <c r="S94" s="3" t="s">
        <v>44</v>
      </c>
      <c r="T94" s="3" t="s">
        <v>152</v>
      </c>
      <c r="U94" s="2">
        <v>44498</v>
      </c>
      <c r="V94" s="2">
        <v>44827</v>
      </c>
      <c r="W94" s="2">
        <v>44855</v>
      </c>
      <c r="X94" s="2">
        <v>44909</v>
      </c>
      <c r="Y94" s="2">
        <v>44968</v>
      </c>
      <c r="Z94" s="3" t="s">
        <v>951</v>
      </c>
      <c r="AA94" s="59" t="s">
        <v>952</v>
      </c>
      <c r="AB94" s="3" t="s">
        <v>953</v>
      </c>
      <c r="AC94" s="2">
        <v>44968</v>
      </c>
      <c r="AD94" s="2">
        <v>55926</v>
      </c>
      <c r="AE94" s="2" t="s">
        <v>106</v>
      </c>
      <c r="AF94" s="2" t="s">
        <v>855</v>
      </c>
      <c r="AG94" s="2" t="s">
        <v>697</v>
      </c>
      <c r="AH94" s="2" t="s">
        <v>697</v>
      </c>
      <c r="AI94" s="5">
        <v>14215000</v>
      </c>
      <c r="AJ94" s="6">
        <v>0</v>
      </c>
      <c r="AK94" s="69" t="str">
        <f t="shared" si="7"/>
        <v>CHCO2</v>
      </c>
    </row>
    <row r="95" spans="1:37" ht="118.95" customHeight="1" x14ac:dyDescent="0.3">
      <c r="B95" s="1">
        <f t="shared" si="6"/>
        <v>190</v>
      </c>
      <c r="C95" cm="1">
        <f t="array" ref="C95">IFERROR(MAX(--_xlfn.TEXTSPLIT(D95,";")),0)</f>
        <v>175</v>
      </c>
      <c r="D95" t="s">
        <v>1818</v>
      </c>
      <c r="E95" s="1" t="s">
        <v>414</v>
      </c>
      <c r="F95" s="1" t="s">
        <v>415</v>
      </c>
      <c r="G95" s="1">
        <v>1</v>
      </c>
      <c r="H95" s="1" t="s">
        <v>416</v>
      </c>
      <c r="I95" s="1" t="s">
        <v>417</v>
      </c>
      <c r="J95" s="1" t="s">
        <v>385</v>
      </c>
      <c r="K95" s="1" t="s">
        <v>112</v>
      </c>
      <c r="L95" s="1" t="s">
        <v>38</v>
      </c>
      <c r="M95" s="1" t="s">
        <v>39</v>
      </c>
      <c r="N95" s="2" t="s">
        <v>40</v>
      </c>
      <c r="O95" s="3">
        <v>520628</v>
      </c>
      <c r="P95" s="3" t="s">
        <v>41</v>
      </c>
      <c r="Q95" s="1" t="s">
        <v>418</v>
      </c>
      <c r="R95" s="1" t="s">
        <v>133</v>
      </c>
      <c r="S95" s="3" t="s">
        <v>44</v>
      </c>
      <c r="T95" s="3" t="s">
        <v>301</v>
      </c>
      <c r="U95" s="2">
        <v>37903</v>
      </c>
      <c r="V95" s="2">
        <v>38048</v>
      </c>
      <c r="W95" s="2">
        <v>38071</v>
      </c>
      <c r="X95" s="2">
        <v>38096</v>
      </c>
      <c r="Y95" s="2">
        <v>38126</v>
      </c>
      <c r="Z95" s="3" t="s">
        <v>419</v>
      </c>
      <c r="AA95" s="3" t="s">
        <v>420</v>
      </c>
      <c r="AB95" s="3" t="s">
        <v>421</v>
      </c>
      <c r="AC95" s="2">
        <v>38126</v>
      </c>
      <c r="AD95" s="2">
        <v>49082</v>
      </c>
      <c r="AE95" s="2" t="s">
        <v>49</v>
      </c>
      <c r="AF95" s="2" t="s">
        <v>50</v>
      </c>
      <c r="AG95" s="2">
        <v>38674</v>
      </c>
      <c r="AH95" s="2">
        <v>38713</v>
      </c>
      <c r="AI95" s="8">
        <v>591239.70000000007</v>
      </c>
      <c r="AJ95" s="6">
        <v>1</v>
      </c>
      <c r="AK95" s="1" t="str">
        <f t="shared" si="7"/>
        <v>PCIS1</v>
      </c>
    </row>
    <row r="96" spans="1:37" ht="118.95" customHeight="1" x14ac:dyDescent="0.3">
      <c r="B96" s="1">
        <f t="shared" si="6"/>
        <v>190</v>
      </c>
      <c r="C96" cm="1">
        <f t="array" ref="C96">IFERROR(MAX(--_xlfn.TEXTSPLIT(D96,";")),0)</f>
        <v>128</v>
      </c>
      <c r="D96" t="s">
        <v>1819</v>
      </c>
      <c r="E96" s="1" t="s">
        <v>324</v>
      </c>
      <c r="F96" s="1" t="s">
        <v>325</v>
      </c>
      <c r="G96" s="1">
        <v>1</v>
      </c>
      <c r="H96" s="1" t="s">
        <v>326</v>
      </c>
      <c r="I96" s="1" t="s">
        <v>327</v>
      </c>
      <c r="J96" s="1" t="s">
        <v>36</v>
      </c>
      <c r="K96" s="1" t="s">
        <v>55</v>
      </c>
      <c r="L96" s="1" t="s">
        <v>38</v>
      </c>
      <c r="M96" s="1" t="s">
        <v>66</v>
      </c>
      <c r="N96" s="2" t="s">
        <v>40</v>
      </c>
      <c r="O96" s="3">
        <v>648250</v>
      </c>
      <c r="P96" s="3" t="s">
        <v>41</v>
      </c>
      <c r="Q96" s="1" t="s">
        <v>328</v>
      </c>
      <c r="R96" s="1" t="s">
        <v>133</v>
      </c>
      <c r="S96" s="3" t="s">
        <v>44</v>
      </c>
      <c r="T96" s="3" t="s">
        <v>329</v>
      </c>
      <c r="U96" s="2">
        <v>37120</v>
      </c>
      <c r="V96" s="2">
        <v>37231</v>
      </c>
      <c r="W96" s="2">
        <v>37253</v>
      </c>
      <c r="X96" s="2">
        <v>37287</v>
      </c>
      <c r="Y96" s="2">
        <v>37366</v>
      </c>
      <c r="Z96" s="3" t="s">
        <v>330</v>
      </c>
      <c r="AA96" s="3" t="s">
        <v>331</v>
      </c>
      <c r="AB96" s="3" t="s">
        <v>332</v>
      </c>
      <c r="AC96" s="2">
        <v>37366</v>
      </c>
      <c r="AD96" s="2">
        <v>48871</v>
      </c>
      <c r="AE96" s="2" t="s">
        <v>49</v>
      </c>
      <c r="AF96" s="2" t="s">
        <v>50</v>
      </c>
      <c r="AG96" s="2">
        <v>38499</v>
      </c>
      <c r="AH96" s="2">
        <v>38712</v>
      </c>
      <c r="AI96" s="8">
        <v>946633.08000000007</v>
      </c>
      <c r="AJ96" s="6">
        <v>1</v>
      </c>
      <c r="AK96" s="1" t="str">
        <f t="shared" si="7"/>
        <v>RITP1</v>
      </c>
    </row>
    <row r="97" spans="2:37" ht="187.2" x14ac:dyDescent="0.3">
      <c r="B97" s="1">
        <f t="shared" si="6"/>
        <v>190</v>
      </c>
      <c r="C97" cm="1">
        <f t="array" ref="C97">IFERROR(MAX(--_xlfn.TEXTSPLIT(D97,";")),0)</f>
        <v>178</v>
      </c>
      <c r="D97" t="s">
        <v>1820</v>
      </c>
      <c r="E97" s="1" t="s">
        <v>305</v>
      </c>
      <c r="F97" s="1" t="s">
        <v>306</v>
      </c>
      <c r="G97" s="1">
        <v>1</v>
      </c>
      <c r="H97" s="1" t="s">
        <v>307</v>
      </c>
      <c r="I97" s="1" t="s">
        <v>308</v>
      </c>
      <c r="J97" s="1" t="s">
        <v>309</v>
      </c>
      <c r="K97" s="1" t="s">
        <v>310</v>
      </c>
      <c r="L97" s="1" t="s">
        <v>38</v>
      </c>
      <c r="M97" s="1" t="s">
        <v>39</v>
      </c>
      <c r="N97" s="2" t="s">
        <v>40</v>
      </c>
      <c r="O97" s="3">
        <v>2800000</v>
      </c>
      <c r="P97" s="3" t="s">
        <v>41</v>
      </c>
      <c r="Q97" s="1" t="s">
        <v>311</v>
      </c>
      <c r="R97" s="1" t="s">
        <v>133</v>
      </c>
      <c r="S97" s="3" t="s">
        <v>123</v>
      </c>
      <c r="T97" s="3" t="s">
        <v>312</v>
      </c>
      <c r="U97" s="2">
        <v>36975</v>
      </c>
      <c r="V97" s="2">
        <v>37181</v>
      </c>
      <c r="W97" s="2">
        <v>37229</v>
      </c>
      <c r="X97" s="2">
        <v>37343</v>
      </c>
      <c r="Y97" s="2">
        <v>37422</v>
      </c>
      <c r="Z97" s="3" t="s">
        <v>313</v>
      </c>
      <c r="AA97" s="3" t="s">
        <v>314</v>
      </c>
      <c r="AB97" s="3" t="s">
        <v>315</v>
      </c>
      <c r="AC97" s="2">
        <v>37422</v>
      </c>
      <c r="AD97" s="2">
        <v>46752</v>
      </c>
      <c r="AE97" s="2" t="s">
        <v>49</v>
      </c>
      <c r="AF97" s="2" t="s">
        <v>50</v>
      </c>
      <c r="AG97" s="2">
        <v>38637</v>
      </c>
      <c r="AH97" s="2">
        <v>38741</v>
      </c>
      <c r="AI97" s="5">
        <v>5723554.5199999996</v>
      </c>
      <c r="AJ97" s="6">
        <v>1</v>
      </c>
      <c r="AK97" s="69" t="str">
        <f t="shared" si="7"/>
        <v>PP1G1</v>
      </c>
    </row>
    <row r="98" spans="2:37" ht="118.95" customHeight="1" x14ac:dyDescent="0.3">
      <c r="B98" s="1">
        <f t="shared" si="6"/>
        <v>190</v>
      </c>
      <c r="C98" cm="1">
        <f t="array" ref="C98">IFERROR(MAX(--_xlfn.TEXTSPLIT(D98,";")),0)</f>
        <v>33</v>
      </c>
      <c r="D98" t="s">
        <v>1775</v>
      </c>
      <c r="E98" s="1" t="s">
        <v>72</v>
      </c>
      <c r="F98" s="1" t="s">
        <v>809</v>
      </c>
      <c r="G98" s="1">
        <v>1</v>
      </c>
      <c r="H98" s="1" t="s">
        <v>73</v>
      </c>
      <c r="I98" s="1" t="s">
        <v>74</v>
      </c>
      <c r="J98" s="1" t="s">
        <v>64</v>
      </c>
      <c r="K98" s="1" t="s">
        <v>75</v>
      </c>
      <c r="L98" s="1" t="s">
        <v>38</v>
      </c>
      <c r="M98" s="1" t="s">
        <v>66</v>
      </c>
      <c r="N98" s="2" t="s">
        <v>40</v>
      </c>
      <c r="O98" s="3">
        <v>164021</v>
      </c>
      <c r="P98" s="3" t="s">
        <v>41</v>
      </c>
      <c r="Q98" s="4" t="s">
        <v>76</v>
      </c>
      <c r="R98" s="1" t="s">
        <v>43</v>
      </c>
      <c r="S98" s="3" t="s">
        <v>44</v>
      </c>
      <c r="T98" s="3" t="s">
        <v>68</v>
      </c>
      <c r="U98" s="2">
        <v>34639</v>
      </c>
      <c r="V98" s="2">
        <v>34762</v>
      </c>
      <c r="W98" s="2">
        <v>34838</v>
      </c>
      <c r="X98" s="2">
        <v>34880</v>
      </c>
      <c r="Y98" s="2">
        <v>35003</v>
      </c>
      <c r="Z98" s="3" t="s">
        <v>77</v>
      </c>
      <c r="AA98" s="3" t="s">
        <v>78</v>
      </c>
      <c r="AB98" s="3" t="s">
        <v>79</v>
      </c>
      <c r="AC98" s="2">
        <v>35114</v>
      </c>
      <c r="AD98" s="2">
        <v>39496</v>
      </c>
      <c r="AE98" s="2" t="s">
        <v>49</v>
      </c>
      <c r="AF98" s="2" t="s">
        <v>50</v>
      </c>
      <c r="AG98" s="2" t="s">
        <v>50</v>
      </c>
      <c r="AH98" s="2" t="s">
        <v>50</v>
      </c>
      <c r="AI98" s="5">
        <v>205506.48</v>
      </c>
      <c r="AJ98" s="6">
        <v>1</v>
      </c>
      <c r="AK98" s="69" t="str">
        <f t="shared" si="7"/>
        <v>ATEP1</v>
      </c>
    </row>
    <row r="99" spans="2:37" ht="118.95" customHeight="1" x14ac:dyDescent="0.3">
      <c r="B99" s="1">
        <f t="shared" ref="B99:B124" si="8">MAX($C$2:$C$128)</f>
        <v>190</v>
      </c>
      <c r="C99" cm="1">
        <f t="array" ref="C99">IFERROR(MAX(--_xlfn.TEXTSPLIT(D99,";")),0)</f>
        <v>32</v>
      </c>
      <c r="D99" t="s">
        <v>1774</v>
      </c>
      <c r="E99" s="1" t="s">
        <v>990</v>
      </c>
      <c r="F99" s="1" t="s">
        <v>991</v>
      </c>
      <c r="G99" s="1">
        <v>1</v>
      </c>
      <c r="H99" s="1" t="s">
        <v>992</v>
      </c>
      <c r="I99" s="1" t="s">
        <v>993</v>
      </c>
      <c r="J99" s="1" t="s">
        <v>64</v>
      </c>
      <c r="K99" s="1" t="s">
        <v>994</v>
      </c>
      <c r="L99" s="1" t="s">
        <v>38</v>
      </c>
      <c r="M99" s="1" t="s">
        <v>39</v>
      </c>
      <c r="N99" s="2"/>
      <c r="O99" s="26">
        <v>7012000</v>
      </c>
      <c r="P99" s="1" t="s">
        <v>41</v>
      </c>
      <c r="Q99" s="4" t="s">
        <v>995</v>
      </c>
      <c r="R99" s="1" t="s">
        <v>662</v>
      </c>
      <c r="S99" s="3" t="s">
        <v>44</v>
      </c>
      <c r="T99" s="3" t="s">
        <v>152</v>
      </c>
      <c r="U99" s="2">
        <v>45289</v>
      </c>
      <c r="V99" s="2">
        <v>45483</v>
      </c>
      <c r="W99" s="2">
        <v>45506</v>
      </c>
      <c r="X99" s="2">
        <v>45569</v>
      </c>
      <c r="Y99" s="2">
        <v>45609</v>
      </c>
      <c r="Z99" s="1" t="s">
        <v>996</v>
      </c>
      <c r="AA99" s="1" t="s">
        <v>997</v>
      </c>
      <c r="AB99" s="7" t="s">
        <v>998</v>
      </c>
      <c r="AC99" s="2">
        <v>45609</v>
      </c>
      <c r="AD99" s="2">
        <v>55105</v>
      </c>
      <c r="AE99" s="2" t="s">
        <v>106</v>
      </c>
      <c r="AF99" s="1" t="s">
        <v>855</v>
      </c>
      <c r="AG99" s="1" t="s">
        <v>697</v>
      </c>
      <c r="AH99" s="1" t="s">
        <v>697</v>
      </c>
      <c r="AI99" s="22">
        <v>7012000</v>
      </c>
      <c r="AJ99" s="23">
        <v>0</v>
      </c>
      <c r="AK99" s="1" t="str">
        <f t="shared" ref="AK99:AK124" si="9">MID(E99,5,LEN(E99)-4)</f>
        <v>ARNO1</v>
      </c>
    </row>
    <row r="100" spans="2:37" ht="118.95" customHeight="1" x14ac:dyDescent="0.3">
      <c r="B100" s="1">
        <f t="shared" si="8"/>
        <v>190</v>
      </c>
      <c r="C100" cm="1">
        <f t="array" ref="C100">IFERROR(MAX(--_xlfn.TEXTSPLIT(D100,";")),0)</f>
        <v>31</v>
      </c>
      <c r="D100" t="s">
        <v>1772</v>
      </c>
      <c r="E100" s="1" t="s">
        <v>107</v>
      </c>
      <c r="F100" s="1" t="s">
        <v>108</v>
      </c>
      <c r="G100" s="1">
        <v>1</v>
      </c>
      <c r="H100" s="1" t="s">
        <v>109</v>
      </c>
      <c r="I100" s="1" t="s">
        <v>110</v>
      </c>
      <c r="J100" s="1" t="s">
        <v>111</v>
      </c>
      <c r="K100" s="1" t="s">
        <v>112</v>
      </c>
      <c r="L100" s="1" t="s">
        <v>38</v>
      </c>
      <c r="M100" s="1" t="s">
        <v>66</v>
      </c>
      <c r="N100" s="2" t="s">
        <v>40</v>
      </c>
      <c r="O100" s="3">
        <v>279990</v>
      </c>
      <c r="P100" s="3" t="s">
        <v>41</v>
      </c>
      <c r="Q100" s="4" t="s">
        <v>113</v>
      </c>
      <c r="R100" s="1" t="s">
        <v>43</v>
      </c>
      <c r="S100" s="3" t="s">
        <v>44</v>
      </c>
      <c r="T100" s="3" t="s">
        <v>114</v>
      </c>
      <c r="U100" s="2">
        <v>34881</v>
      </c>
      <c r="V100" s="2">
        <v>34954</v>
      </c>
      <c r="W100" s="2">
        <v>34999</v>
      </c>
      <c r="X100" s="2">
        <v>35076</v>
      </c>
      <c r="Y100" s="2">
        <v>35132</v>
      </c>
      <c r="Z100" s="3" t="s">
        <v>115</v>
      </c>
      <c r="AA100" s="3" t="s">
        <v>116</v>
      </c>
      <c r="AB100" s="3" t="s">
        <v>117</v>
      </c>
      <c r="AC100" s="2">
        <v>35159</v>
      </c>
      <c r="AD100" s="2">
        <v>39742</v>
      </c>
      <c r="AE100" s="2" t="s">
        <v>49</v>
      </c>
      <c r="AF100" s="2" t="s">
        <v>50</v>
      </c>
      <c r="AG100" s="2" t="s">
        <v>50</v>
      </c>
      <c r="AH100" s="2" t="s">
        <v>50</v>
      </c>
      <c r="AI100" s="5">
        <v>349331.12000000005</v>
      </c>
      <c r="AJ100" s="6">
        <v>1</v>
      </c>
      <c r="AK100" s="69" t="str">
        <f t="shared" si="9"/>
        <v>AVAM1</v>
      </c>
    </row>
    <row r="101" spans="2:37" ht="168.6" customHeight="1" x14ac:dyDescent="0.3">
      <c r="B101" s="1">
        <f t="shared" si="8"/>
        <v>190</v>
      </c>
      <c r="C101" cm="1">
        <f t="array" ref="C101">IFERROR(MAX(--_xlfn.TEXTSPLIT(D101,";")),0)</f>
        <v>31</v>
      </c>
      <c r="D101" t="s">
        <v>1776</v>
      </c>
      <c r="E101" s="1" t="s">
        <v>909</v>
      </c>
      <c r="F101" s="1" t="s">
        <v>108</v>
      </c>
      <c r="G101" s="1">
        <v>3</v>
      </c>
      <c r="H101" s="1" t="s">
        <v>910</v>
      </c>
      <c r="I101" s="1" t="s">
        <v>911</v>
      </c>
      <c r="J101" s="1" t="s">
        <v>111</v>
      </c>
      <c r="K101" s="18" t="s">
        <v>912</v>
      </c>
      <c r="L101" s="1" t="s">
        <v>38</v>
      </c>
      <c r="M101" s="1" t="s">
        <v>39</v>
      </c>
      <c r="N101" s="2" t="s">
        <v>40</v>
      </c>
      <c r="O101" s="3">
        <v>843000</v>
      </c>
      <c r="P101" s="3" t="s">
        <v>41</v>
      </c>
      <c r="Q101" s="1" t="s">
        <v>913</v>
      </c>
      <c r="R101" s="1" t="s">
        <v>693</v>
      </c>
      <c r="S101" s="3" t="s">
        <v>44</v>
      </c>
      <c r="T101" s="3" t="s">
        <v>152</v>
      </c>
      <c r="U101" s="2">
        <v>44335</v>
      </c>
      <c r="V101" s="2">
        <v>44904</v>
      </c>
      <c r="W101" s="2">
        <v>44932</v>
      </c>
      <c r="X101" s="2">
        <v>45085</v>
      </c>
      <c r="Y101" s="2">
        <v>45185</v>
      </c>
      <c r="Z101" s="3" t="s">
        <v>914</v>
      </c>
      <c r="AA101" s="19" t="s">
        <v>915</v>
      </c>
      <c r="AB101" s="3" t="s">
        <v>916</v>
      </c>
      <c r="AC101" s="2">
        <v>45185</v>
      </c>
      <c r="AD101" s="2">
        <v>49810</v>
      </c>
      <c r="AE101" s="2" t="s">
        <v>106</v>
      </c>
      <c r="AF101" s="2">
        <v>45548</v>
      </c>
      <c r="AG101" s="2" t="s">
        <v>697</v>
      </c>
      <c r="AH101" s="2" t="s">
        <v>697</v>
      </c>
      <c r="AI101" s="5">
        <v>843000</v>
      </c>
      <c r="AJ101" s="13">
        <v>0.55930000000000002</v>
      </c>
      <c r="AK101" s="69" t="str">
        <f t="shared" si="9"/>
        <v>AVAM3</v>
      </c>
    </row>
    <row r="102" spans="2:37" ht="131.4" customHeight="1" x14ac:dyDescent="0.3">
      <c r="B102" s="1">
        <f t="shared" si="8"/>
        <v>190</v>
      </c>
      <c r="C102" cm="1">
        <f t="array" ref="C102">IFERROR(MAX(--_xlfn.TEXTSPLIT(D102,";")),0)</f>
        <v>186</v>
      </c>
      <c r="D102" t="s">
        <v>1824</v>
      </c>
      <c r="E102" s="1" t="s">
        <v>439</v>
      </c>
      <c r="F102" s="1" t="s">
        <v>440</v>
      </c>
      <c r="G102" s="1">
        <v>1</v>
      </c>
      <c r="H102" s="1" t="s">
        <v>441</v>
      </c>
      <c r="I102" s="1" t="s">
        <v>442</v>
      </c>
      <c r="J102" s="1" t="s">
        <v>385</v>
      </c>
      <c r="K102" s="1" t="s">
        <v>37</v>
      </c>
      <c r="L102" s="1" t="s">
        <v>38</v>
      </c>
      <c r="M102" s="1" t="s">
        <v>39</v>
      </c>
      <c r="N102" s="2" t="s">
        <v>40</v>
      </c>
      <c r="O102" s="3">
        <v>390562</v>
      </c>
      <c r="P102" s="3" t="s">
        <v>41</v>
      </c>
      <c r="Q102" s="1" t="s">
        <v>443</v>
      </c>
      <c r="R102" s="1" t="s">
        <v>133</v>
      </c>
      <c r="S102" s="3" t="s">
        <v>44</v>
      </c>
      <c r="T102" s="3" t="s">
        <v>114</v>
      </c>
      <c r="U102" s="2">
        <v>38055</v>
      </c>
      <c r="V102" s="2">
        <v>38245</v>
      </c>
      <c r="W102" s="2">
        <v>38274</v>
      </c>
      <c r="X102" s="2">
        <v>38321</v>
      </c>
      <c r="Y102" s="2">
        <v>38406</v>
      </c>
      <c r="Z102" s="3" t="s">
        <v>444</v>
      </c>
      <c r="AA102" s="3" t="s">
        <v>445</v>
      </c>
      <c r="AB102" s="3" t="s">
        <v>446</v>
      </c>
      <c r="AC102" s="2">
        <v>38406</v>
      </c>
      <c r="AD102" s="2">
        <v>46996</v>
      </c>
      <c r="AE102" s="2" t="s">
        <v>49</v>
      </c>
      <c r="AF102" s="2" t="s">
        <v>50</v>
      </c>
      <c r="AG102" s="2">
        <v>39290</v>
      </c>
      <c r="AH102" s="2">
        <v>39415</v>
      </c>
      <c r="AI102" s="8">
        <v>1404626.9200000002</v>
      </c>
      <c r="AJ102" s="6">
        <v>1</v>
      </c>
      <c r="AK102" s="1" t="str">
        <f t="shared" si="9"/>
        <v>PTLA1</v>
      </c>
    </row>
    <row r="103" spans="2:37" ht="118.95" customHeight="1" x14ac:dyDescent="0.3">
      <c r="B103" s="1">
        <f t="shared" si="8"/>
        <v>190</v>
      </c>
      <c r="C103" cm="1">
        <f t="array" ref="C103">IFERROR(MAX(--_xlfn.TEXTSPLIT(D103,";")),0)</f>
        <v>28</v>
      </c>
      <c r="D103" t="s">
        <v>1771</v>
      </c>
      <c r="E103" s="1" t="s">
        <v>924</v>
      </c>
      <c r="F103" s="1" t="s">
        <v>585</v>
      </c>
      <c r="G103" s="1">
        <v>3</v>
      </c>
      <c r="H103" s="1" t="s">
        <v>925</v>
      </c>
      <c r="I103" s="1" t="s">
        <v>926</v>
      </c>
      <c r="J103" s="1" t="s">
        <v>64</v>
      </c>
      <c r="K103" s="1" t="s">
        <v>190</v>
      </c>
      <c r="L103" s="1" t="s">
        <v>38</v>
      </c>
      <c r="M103" s="1" t="s">
        <v>39</v>
      </c>
      <c r="N103" s="2" t="s">
        <v>40</v>
      </c>
      <c r="O103" s="3">
        <v>2650000</v>
      </c>
      <c r="P103" s="3" t="s">
        <v>41</v>
      </c>
      <c r="Q103" s="1" t="s">
        <v>927</v>
      </c>
      <c r="R103" s="1" t="s">
        <v>133</v>
      </c>
      <c r="S103" s="3" t="s">
        <v>44</v>
      </c>
      <c r="T103" s="3" t="s">
        <v>152</v>
      </c>
      <c r="U103" s="2">
        <v>44431</v>
      </c>
      <c r="V103" s="2">
        <v>45030</v>
      </c>
      <c r="W103" s="2">
        <v>45058</v>
      </c>
      <c r="X103" s="2">
        <v>45139</v>
      </c>
      <c r="Y103" s="2">
        <v>45197</v>
      </c>
      <c r="Z103" s="3" t="s">
        <v>928</v>
      </c>
      <c r="AA103" s="19" t="s">
        <v>929</v>
      </c>
      <c r="AB103" s="3" t="s">
        <v>930</v>
      </c>
      <c r="AC103" s="2">
        <v>45227</v>
      </c>
      <c r="AD103" s="2">
        <v>54694</v>
      </c>
      <c r="AE103" s="2" t="s">
        <v>106</v>
      </c>
      <c r="AF103" s="2" t="s">
        <v>855</v>
      </c>
      <c r="AG103" s="2" t="s">
        <v>931</v>
      </c>
      <c r="AH103" s="2" t="s">
        <v>531</v>
      </c>
      <c r="AI103" s="8">
        <v>2650000</v>
      </c>
      <c r="AJ103" s="6">
        <v>0</v>
      </c>
      <c r="AK103" s="69" t="str">
        <f t="shared" si="9"/>
        <v>ALOA3</v>
      </c>
    </row>
    <row r="104" spans="2:37" ht="118.95" customHeight="1" x14ac:dyDescent="0.3">
      <c r="B104" s="1">
        <f t="shared" si="8"/>
        <v>190</v>
      </c>
      <c r="C104" cm="1">
        <f t="array" ref="C104">IFERROR(MAX(--_xlfn.TEXTSPLIT(D104,";")),0)</f>
        <v>27</v>
      </c>
      <c r="D104" t="s">
        <v>1770</v>
      </c>
      <c r="E104" s="1" t="s">
        <v>856</v>
      </c>
      <c r="F104" s="1" t="s">
        <v>1852</v>
      </c>
      <c r="G104" s="1">
        <v>3</v>
      </c>
      <c r="H104" s="1" t="s">
        <v>857</v>
      </c>
      <c r="I104" s="1" t="s">
        <v>858</v>
      </c>
      <c r="J104" s="1" t="s">
        <v>64</v>
      </c>
      <c r="K104" s="1" t="s">
        <v>175</v>
      </c>
      <c r="L104" s="1" t="s">
        <v>38</v>
      </c>
      <c r="M104" s="1" t="s">
        <v>39</v>
      </c>
      <c r="N104" s="2" t="s">
        <v>40</v>
      </c>
      <c r="O104" s="3">
        <v>1415000</v>
      </c>
      <c r="P104" s="3" t="s">
        <v>41</v>
      </c>
      <c r="Q104" s="1" t="s">
        <v>859</v>
      </c>
      <c r="R104" s="1" t="s">
        <v>662</v>
      </c>
      <c r="S104" s="3" t="s">
        <v>44</v>
      </c>
      <c r="T104" s="3" t="s">
        <v>152</v>
      </c>
      <c r="U104" s="2">
        <v>43796</v>
      </c>
      <c r="V104" s="2">
        <v>44225</v>
      </c>
      <c r="W104" s="2">
        <v>44260</v>
      </c>
      <c r="X104" s="2">
        <v>44316</v>
      </c>
      <c r="Y104" s="2">
        <v>44419</v>
      </c>
      <c r="Z104" s="3" t="s">
        <v>860</v>
      </c>
      <c r="AA104" s="3" t="s">
        <v>861</v>
      </c>
      <c r="AB104" s="3" t="s">
        <v>862</v>
      </c>
      <c r="AC104" s="2">
        <v>44419</v>
      </c>
      <c r="AD104" s="2">
        <v>48679</v>
      </c>
      <c r="AE104" s="2" t="s">
        <v>106</v>
      </c>
      <c r="AF104" s="2">
        <v>45533</v>
      </c>
      <c r="AG104" s="2" t="s">
        <v>697</v>
      </c>
      <c r="AH104" s="2" t="s">
        <v>697</v>
      </c>
      <c r="AI104" s="5">
        <v>1415000</v>
      </c>
      <c r="AJ104" s="15">
        <v>0.13500000000000001</v>
      </c>
      <c r="AK104" s="69" t="str">
        <f t="shared" si="9"/>
        <v>ALFS3</v>
      </c>
    </row>
    <row r="105" spans="2:37" ht="118.95" customHeight="1" x14ac:dyDescent="0.3">
      <c r="B105" s="1">
        <f t="shared" si="8"/>
        <v>190</v>
      </c>
      <c r="C105" cm="1">
        <f t="array" ref="C105">IFERROR(MAX(--_xlfn.TEXTSPLIT(D105,";")),0)</f>
        <v>18</v>
      </c>
      <c r="D105" t="s">
        <v>1764</v>
      </c>
      <c r="E105" s="1" t="s">
        <v>832</v>
      </c>
      <c r="F105" s="1" t="s">
        <v>1845</v>
      </c>
      <c r="G105" s="1">
        <v>2</v>
      </c>
      <c r="H105" s="1" t="s">
        <v>833</v>
      </c>
      <c r="I105" s="1" t="s">
        <v>834</v>
      </c>
      <c r="J105" s="1" t="s">
        <v>64</v>
      </c>
      <c r="K105" s="1" t="s">
        <v>401</v>
      </c>
      <c r="L105" s="1" t="s">
        <v>38</v>
      </c>
      <c r="M105" s="1" t="s">
        <v>39</v>
      </c>
      <c r="N105" s="2" t="s">
        <v>40</v>
      </c>
      <c r="O105" s="3">
        <v>2031000</v>
      </c>
      <c r="P105" s="3" t="s">
        <v>41</v>
      </c>
      <c r="Q105" s="1" t="s">
        <v>835</v>
      </c>
      <c r="R105" s="1" t="s">
        <v>662</v>
      </c>
      <c r="S105" s="3" t="s">
        <v>44</v>
      </c>
      <c r="T105" s="3" t="s">
        <v>124</v>
      </c>
      <c r="U105" s="2">
        <v>43364</v>
      </c>
      <c r="V105" s="2">
        <v>43455</v>
      </c>
      <c r="W105" s="2">
        <v>43481</v>
      </c>
      <c r="X105" s="2">
        <v>43500</v>
      </c>
      <c r="Y105" s="2">
        <v>43544</v>
      </c>
      <c r="Z105" s="3" t="s">
        <v>836</v>
      </c>
      <c r="AA105" s="3" t="s">
        <v>837</v>
      </c>
      <c r="AB105" s="3" t="s">
        <v>838</v>
      </c>
      <c r="AC105" s="2">
        <v>43544</v>
      </c>
      <c r="AD105" s="2">
        <v>49035</v>
      </c>
      <c r="AE105" s="2" t="s">
        <v>49</v>
      </c>
      <c r="AF105" s="2">
        <v>44127</v>
      </c>
      <c r="AG105" s="2" t="s">
        <v>697</v>
      </c>
      <c r="AH105" s="2" t="s">
        <v>697</v>
      </c>
      <c r="AI105" s="5">
        <v>2031000</v>
      </c>
      <c r="AJ105" s="15">
        <v>1</v>
      </c>
      <c r="AK105" s="69" t="str">
        <f t="shared" si="9"/>
        <v>ACHA2</v>
      </c>
    </row>
    <row r="106" spans="2:37" ht="118.95" customHeight="1" x14ac:dyDescent="0.3">
      <c r="B106" s="1">
        <f t="shared" si="8"/>
        <v>190</v>
      </c>
      <c r="C106" cm="1">
        <f t="array" ref="C106">IFERROR(MAX(--_xlfn.TEXTSPLIT(D106,";")),0)</f>
        <v>17</v>
      </c>
      <c r="D106" t="s">
        <v>1763</v>
      </c>
      <c r="E106" s="1" t="s">
        <v>204</v>
      </c>
      <c r="F106" s="1" t="s">
        <v>205</v>
      </c>
      <c r="G106" s="1">
        <v>1</v>
      </c>
      <c r="H106" s="1" t="s">
        <v>206</v>
      </c>
      <c r="I106" s="1" t="s">
        <v>207</v>
      </c>
      <c r="J106" s="1" t="s">
        <v>64</v>
      </c>
      <c r="K106" s="1" t="s">
        <v>112</v>
      </c>
      <c r="L106" s="1" t="s">
        <v>38</v>
      </c>
      <c r="M106" s="1" t="s">
        <v>39</v>
      </c>
      <c r="N106" s="2" t="s">
        <v>40</v>
      </c>
      <c r="O106" s="3">
        <v>4600000</v>
      </c>
      <c r="P106" s="3" t="s">
        <v>41</v>
      </c>
      <c r="Q106" s="1" t="s">
        <v>208</v>
      </c>
      <c r="R106" s="1" t="s">
        <v>43</v>
      </c>
      <c r="S106" s="3" t="s">
        <v>123</v>
      </c>
      <c r="T106" s="3" t="s">
        <v>209</v>
      </c>
      <c r="U106" s="2">
        <v>35598</v>
      </c>
      <c r="V106" s="2">
        <v>35718</v>
      </c>
      <c r="W106" s="2">
        <v>35752</v>
      </c>
      <c r="X106" s="2">
        <v>35769</v>
      </c>
      <c r="Y106" s="2">
        <v>35846</v>
      </c>
      <c r="Z106" s="3" t="s">
        <v>210</v>
      </c>
      <c r="AA106" s="3" t="s">
        <v>211</v>
      </c>
      <c r="AB106" s="3" t="s">
        <v>212</v>
      </c>
      <c r="AC106" s="2">
        <v>35983</v>
      </c>
      <c r="AD106" s="2">
        <v>42277</v>
      </c>
      <c r="AE106" s="2" t="s">
        <v>106</v>
      </c>
      <c r="AF106" s="2" t="s">
        <v>50</v>
      </c>
      <c r="AG106" s="2" t="s">
        <v>50</v>
      </c>
      <c r="AH106" s="2" t="s">
        <v>50</v>
      </c>
      <c r="AI106" s="5">
        <v>8543190.5899999999</v>
      </c>
      <c r="AJ106" s="6">
        <v>1</v>
      </c>
      <c r="AK106" s="69" t="str">
        <f t="shared" si="9"/>
        <v>AAMB1</v>
      </c>
    </row>
    <row r="107" spans="2:37" ht="273.60000000000002" x14ac:dyDescent="0.3">
      <c r="B107" s="1">
        <f t="shared" si="8"/>
        <v>190</v>
      </c>
      <c r="C107" cm="1">
        <f t="array" ref="C107">IFERROR(MAX(--_xlfn.TEXTSPLIT(D107,";")),0)</f>
        <v>16</v>
      </c>
      <c r="D107" t="s">
        <v>1762</v>
      </c>
      <c r="E107" s="1" t="s">
        <v>983</v>
      </c>
      <c r="F107" s="1" t="s">
        <v>1846</v>
      </c>
      <c r="G107" s="1">
        <v>2</v>
      </c>
      <c r="H107" s="1" t="s">
        <v>984</v>
      </c>
      <c r="I107" s="1" t="s">
        <v>985</v>
      </c>
      <c r="J107" s="1" t="s">
        <v>36</v>
      </c>
      <c r="K107" s="1" t="s">
        <v>83</v>
      </c>
      <c r="L107" s="1" t="s">
        <v>38</v>
      </c>
      <c r="M107" s="1" t="s">
        <v>39</v>
      </c>
      <c r="N107" s="2" t="s">
        <v>40</v>
      </c>
      <c r="O107" s="3">
        <v>12527000</v>
      </c>
      <c r="P107" s="3" t="s">
        <v>41</v>
      </c>
      <c r="Q107" s="1" t="s">
        <v>986</v>
      </c>
      <c r="R107" s="1" t="s">
        <v>662</v>
      </c>
      <c r="S107" s="3" t="s">
        <v>44</v>
      </c>
      <c r="T107" s="3" t="s">
        <v>152</v>
      </c>
      <c r="U107" s="2">
        <v>45155</v>
      </c>
      <c r="V107" s="2">
        <v>45548</v>
      </c>
      <c r="W107" s="2">
        <v>45576</v>
      </c>
      <c r="X107" s="2">
        <v>45636</v>
      </c>
      <c r="Y107" s="2">
        <v>45730</v>
      </c>
      <c r="Z107" s="1" t="s">
        <v>987</v>
      </c>
      <c r="AA107" s="27" t="s">
        <v>988</v>
      </c>
      <c r="AB107" s="62" t="s">
        <v>989</v>
      </c>
      <c r="AC107" s="2">
        <v>45730</v>
      </c>
      <c r="AD107" s="2">
        <v>62166</v>
      </c>
      <c r="AE107" s="1" t="s">
        <v>106</v>
      </c>
      <c r="AF107" s="2" t="s">
        <v>855</v>
      </c>
      <c r="AG107" s="2" t="s">
        <v>697</v>
      </c>
      <c r="AH107" s="2" t="s">
        <v>697</v>
      </c>
      <c r="AI107" s="22">
        <v>12527000</v>
      </c>
      <c r="AJ107" s="17">
        <v>0</v>
      </c>
      <c r="AK107" s="69" t="str">
        <f t="shared" si="9"/>
        <v>ANCO2</v>
      </c>
    </row>
    <row r="108" spans="2:37" ht="118.95" customHeight="1" x14ac:dyDescent="0.3">
      <c r="B108" s="1">
        <f t="shared" si="8"/>
        <v>190</v>
      </c>
      <c r="C108" cm="1">
        <f t="array" ref="C108">IFERROR(MAX(--_xlfn.TEXTSPLIT(D108,";")),0)</f>
        <v>11</v>
      </c>
      <c r="D108" t="s">
        <v>1759</v>
      </c>
      <c r="E108" s="1" t="s">
        <v>792</v>
      </c>
      <c r="F108" s="1" t="s">
        <v>793</v>
      </c>
      <c r="G108" s="1">
        <v>1</v>
      </c>
      <c r="H108" s="1" t="s">
        <v>794</v>
      </c>
      <c r="I108" s="1" t="s">
        <v>795</v>
      </c>
      <c r="J108" s="1" t="s">
        <v>111</v>
      </c>
      <c r="K108" s="1" t="s">
        <v>112</v>
      </c>
      <c r="L108" s="1" t="s">
        <v>38</v>
      </c>
      <c r="M108" s="1" t="s">
        <v>66</v>
      </c>
      <c r="N108" s="2">
        <v>39826</v>
      </c>
      <c r="O108" s="3">
        <v>6100000</v>
      </c>
      <c r="P108" s="3" t="s">
        <v>41</v>
      </c>
      <c r="Q108" s="1" t="s">
        <v>796</v>
      </c>
      <c r="R108" s="1" t="s">
        <v>693</v>
      </c>
      <c r="S108" s="3" t="s">
        <v>44</v>
      </c>
      <c r="T108" s="3" t="s">
        <v>152</v>
      </c>
      <c r="U108" s="2">
        <v>42990</v>
      </c>
      <c r="V108" s="2">
        <v>43111</v>
      </c>
      <c r="W108" s="2">
        <v>43132</v>
      </c>
      <c r="X108" s="2">
        <v>43164</v>
      </c>
      <c r="Y108" s="2">
        <v>43211</v>
      </c>
      <c r="Z108" s="3" t="s">
        <v>797</v>
      </c>
      <c r="AA108" s="3" t="s">
        <v>798</v>
      </c>
      <c r="AB108" s="3" t="s">
        <v>799</v>
      </c>
      <c r="AC108" s="2">
        <v>43211</v>
      </c>
      <c r="AD108" s="2">
        <v>59646</v>
      </c>
      <c r="AE108" s="2" t="s">
        <v>106</v>
      </c>
      <c r="AF108" s="2">
        <v>45972</v>
      </c>
      <c r="AG108" s="2" t="s">
        <v>697</v>
      </c>
      <c r="AH108" s="2" t="s">
        <v>697</v>
      </c>
      <c r="AI108" s="5">
        <v>6100000</v>
      </c>
      <c r="AJ108" s="13">
        <v>2.8500000000000001E-2</v>
      </c>
      <c r="AK108" s="1" t="str">
        <f t="shared" si="9"/>
        <v>67CV1</v>
      </c>
    </row>
    <row r="109" spans="2:37" ht="118.95" customHeight="1" x14ac:dyDescent="0.3">
      <c r="B109" s="1">
        <f t="shared" si="8"/>
        <v>190</v>
      </c>
      <c r="C109" cm="1">
        <f t="array" ref="C109">IFERROR(MAX(--_xlfn.TEXTSPLIT(D109,";")),0)</f>
        <v>143</v>
      </c>
      <c r="D109" t="s">
        <v>1830</v>
      </c>
      <c r="E109" s="1" t="s">
        <v>279</v>
      </c>
      <c r="F109" s="1" t="s">
        <v>280</v>
      </c>
      <c r="G109" s="1">
        <v>1</v>
      </c>
      <c r="H109" s="1" t="s">
        <v>281</v>
      </c>
      <c r="I109" s="1" t="s">
        <v>282</v>
      </c>
      <c r="J109" s="1" t="s">
        <v>36</v>
      </c>
      <c r="K109" s="1" t="s">
        <v>37</v>
      </c>
      <c r="L109" s="1" t="s">
        <v>38</v>
      </c>
      <c r="M109" s="1" t="s">
        <v>39</v>
      </c>
      <c r="N109" s="2" t="s">
        <v>40</v>
      </c>
      <c r="O109" s="3">
        <v>2383470</v>
      </c>
      <c r="P109" s="3" t="s">
        <v>41</v>
      </c>
      <c r="Q109" s="1" t="s">
        <v>283</v>
      </c>
      <c r="R109" s="1" t="s">
        <v>133</v>
      </c>
      <c r="S109" s="3" t="s">
        <v>123</v>
      </c>
      <c r="T109" s="3" t="s">
        <v>85</v>
      </c>
      <c r="U109" s="2">
        <v>36500</v>
      </c>
      <c r="V109" s="2">
        <v>36692</v>
      </c>
      <c r="W109" s="2">
        <v>36707</v>
      </c>
      <c r="X109" s="2">
        <v>36756</v>
      </c>
      <c r="Y109" s="2">
        <v>36841</v>
      </c>
      <c r="Z109" s="3" t="s">
        <v>284</v>
      </c>
      <c r="AA109" s="3" t="s">
        <v>285</v>
      </c>
      <c r="AB109" s="3" t="s">
        <v>286</v>
      </c>
      <c r="AC109" s="2">
        <v>37211</v>
      </c>
      <c r="AD109" s="2">
        <v>48163</v>
      </c>
      <c r="AE109" s="2" t="s">
        <v>49</v>
      </c>
      <c r="AF109" s="2">
        <v>37228</v>
      </c>
      <c r="AG109" s="2">
        <v>38035</v>
      </c>
      <c r="AH109" s="2">
        <v>38349</v>
      </c>
      <c r="AI109" s="8">
        <v>3715501.1199999996</v>
      </c>
      <c r="AJ109" s="6">
        <v>1</v>
      </c>
      <c r="AK109" s="69" t="str">
        <f t="shared" si="9"/>
        <v>RVLC1</v>
      </c>
    </row>
    <row r="110" spans="2:37" ht="118.95" customHeight="1" x14ac:dyDescent="0.3">
      <c r="B110" s="1">
        <f t="shared" si="8"/>
        <v>190</v>
      </c>
      <c r="C110" cm="1">
        <f t="array" ref="C110">IFERROR(MAX(--_xlfn.TEXTSPLIT(D110,";")),0)</f>
        <v>144</v>
      </c>
      <c r="D110" t="s">
        <v>1831</v>
      </c>
      <c r="E110" s="1" t="s">
        <v>138</v>
      </c>
      <c r="F110" s="1" t="s">
        <v>1878</v>
      </c>
      <c r="G110" s="1">
        <v>1</v>
      </c>
      <c r="H110" s="1" t="s">
        <v>139</v>
      </c>
      <c r="I110" s="1" t="s">
        <v>140</v>
      </c>
      <c r="J110" s="1" t="s">
        <v>36</v>
      </c>
      <c r="K110" s="1" t="s">
        <v>141</v>
      </c>
      <c r="L110" s="1" t="s">
        <v>38</v>
      </c>
      <c r="M110" s="1" t="s">
        <v>39</v>
      </c>
      <c r="N110" s="2" t="s">
        <v>40</v>
      </c>
      <c r="O110" s="3">
        <v>8200000</v>
      </c>
      <c r="P110" s="3" t="s">
        <v>41</v>
      </c>
      <c r="Q110" s="1" t="s">
        <v>142</v>
      </c>
      <c r="R110" s="1" t="s">
        <v>43</v>
      </c>
      <c r="S110" s="3" t="s">
        <v>123</v>
      </c>
      <c r="T110" s="3" t="s">
        <v>143</v>
      </c>
      <c r="U110" s="2">
        <v>35215</v>
      </c>
      <c r="V110" s="2">
        <v>35244</v>
      </c>
      <c r="W110" s="2">
        <v>35263</v>
      </c>
      <c r="X110" s="2">
        <v>35352</v>
      </c>
      <c r="Y110" s="2">
        <v>35492</v>
      </c>
      <c r="Z110" s="3" t="s">
        <v>144</v>
      </c>
      <c r="AA110" s="59" t="s">
        <v>145</v>
      </c>
      <c r="AB110" s="3" t="s">
        <v>146</v>
      </c>
      <c r="AC110" s="2">
        <v>35492</v>
      </c>
      <c r="AD110" s="2">
        <v>45747</v>
      </c>
      <c r="AE110" s="2" t="s">
        <v>49</v>
      </c>
      <c r="AF110" s="2" t="s">
        <v>50</v>
      </c>
      <c r="AG110" s="2">
        <v>37256</v>
      </c>
      <c r="AH110" s="2">
        <v>37614</v>
      </c>
      <c r="AI110" s="5">
        <v>20847627.600917093</v>
      </c>
      <c r="AJ110" s="6">
        <v>1</v>
      </c>
      <c r="AK110" s="69" t="str">
        <f t="shared" si="9"/>
        <v>SALV1</v>
      </c>
    </row>
    <row r="111" spans="2:37" ht="118.95" customHeight="1" x14ac:dyDescent="0.3">
      <c r="B111" s="1">
        <f t="shared" si="8"/>
        <v>190</v>
      </c>
      <c r="C111" cm="1">
        <f t="array" ref="C111">IFERROR(MAX(--_xlfn.TEXTSPLIT(D111,";")),0)</f>
        <v>10</v>
      </c>
      <c r="D111" t="s">
        <v>1758</v>
      </c>
      <c r="E111" s="1" t="s">
        <v>540</v>
      </c>
      <c r="F111" s="1" t="s">
        <v>541</v>
      </c>
      <c r="G111" s="1">
        <v>1</v>
      </c>
      <c r="H111" s="1" t="s">
        <v>542</v>
      </c>
      <c r="I111" s="1">
        <v>0</v>
      </c>
      <c r="J111" s="1" t="s">
        <v>36</v>
      </c>
      <c r="K111" s="1" t="s">
        <v>543</v>
      </c>
      <c r="L111" s="1" t="s">
        <v>38</v>
      </c>
      <c r="M111" s="1" t="s">
        <v>39</v>
      </c>
      <c r="N111" s="2" t="s">
        <v>40</v>
      </c>
      <c r="O111" s="3">
        <v>8653000</v>
      </c>
      <c r="P111" s="3" t="s">
        <v>41</v>
      </c>
      <c r="Q111" s="1" t="s">
        <v>264</v>
      </c>
      <c r="R111" s="1" t="s">
        <v>43</v>
      </c>
      <c r="S111" s="3" t="s">
        <v>44</v>
      </c>
      <c r="T111" s="3" t="s">
        <v>484</v>
      </c>
      <c r="U111" s="2">
        <v>39781</v>
      </c>
      <c r="V111" s="2">
        <v>40169</v>
      </c>
      <c r="W111" s="2">
        <v>40197</v>
      </c>
      <c r="X111" s="2">
        <v>40219</v>
      </c>
      <c r="Y111" s="2">
        <v>40285</v>
      </c>
      <c r="Z111" s="3" t="s">
        <v>544</v>
      </c>
      <c r="AA111" s="3" t="s">
        <v>545</v>
      </c>
      <c r="AB111" s="3" t="s">
        <v>546</v>
      </c>
      <c r="AC111" s="2">
        <v>40285</v>
      </c>
      <c r="AD111" s="2">
        <v>41668</v>
      </c>
      <c r="AE111" s="2" t="s">
        <v>106</v>
      </c>
      <c r="AF111" s="2" t="s">
        <v>269</v>
      </c>
      <c r="AG111" s="2" t="s">
        <v>269</v>
      </c>
      <c r="AH111" s="2" t="s">
        <v>269</v>
      </c>
      <c r="AI111" s="5">
        <v>1639583.19</v>
      </c>
      <c r="AJ111" s="6">
        <v>0</v>
      </c>
      <c r="AK111" s="70" t="str">
        <f t="shared" si="9"/>
        <v>66RF1</v>
      </c>
    </row>
    <row r="112" spans="2:37" ht="118.95" customHeight="1" x14ac:dyDescent="0.3">
      <c r="B112" s="1">
        <f t="shared" si="8"/>
        <v>190</v>
      </c>
      <c r="C112" cm="1">
        <f t="array" ref="C112">IFERROR(MAX(--_xlfn.TEXTSPLIT(D112,";")),0)</f>
        <v>147</v>
      </c>
      <c r="D112" t="s">
        <v>1832</v>
      </c>
      <c r="E112" s="57" t="s">
        <v>89</v>
      </c>
      <c r="F112" s="57" t="s">
        <v>1739</v>
      </c>
      <c r="G112" s="1">
        <v>1</v>
      </c>
      <c r="H112" s="57" t="s">
        <v>1740</v>
      </c>
      <c r="I112" s="1" t="s">
        <v>91</v>
      </c>
      <c r="J112" s="1" t="s">
        <v>36</v>
      </c>
      <c r="K112" s="1" t="s">
        <v>92</v>
      </c>
      <c r="L112" s="1" t="s">
        <v>38</v>
      </c>
      <c r="M112" s="1" t="s">
        <v>39</v>
      </c>
      <c r="N112" s="2" t="s">
        <v>40</v>
      </c>
      <c r="O112" s="3">
        <v>3654770</v>
      </c>
      <c r="P112" s="3" t="s">
        <v>41</v>
      </c>
      <c r="Q112" s="4" t="s">
        <v>93</v>
      </c>
      <c r="R112" s="1" t="s">
        <v>43</v>
      </c>
      <c r="S112" s="3" t="s">
        <v>44</v>
      </c>
      <c r="T112" s="3" t="s">
        <v>94</v>
      </c>
      <c r="U112" s="2">
        <v>34691</v>
      </c>
      <c r="V112" s="2">
        <v>34801</v>
      </c>
      <c r="W112" s="2">
        <v>34850</v>
      </c>
      <c r="X112" s="2">
        <v>34866</v>
      </c>
      <c r="Y112" s="2">
        <v>34935</v>
      </c>
      <c r="Z112" s="3" t="s">
        <v>95</v>
      </c>
      <c r="AA112" s="3" t="s">
        <v>96</v>
      </c>
      <c r="AB112" s="3" t="s">
        <v>97</v>
      </c>
      <c r="AC112" s="2">
        <v>34963</v>
      </c>
      <c r="AD112" s="2">
        <v>44641</v>
      </c>
      <c r="AE112" s="2" t="s">
        <v>49</v>
      </c>
      <c r="AF112" s="2" t="s">
        <v>50</v>
      </c>
      <c r="AG112" s="2">
        <v>36393</v>
      </c>
      <c r="AH112" s="2">
        <v>37050</v>
      </c>
      <c r="AI112" s="5">
        <v>7424103.2967182985</v>
      </c>
      <c r="AJ112" s="6">
        <v>1</v>
      </c>
      <c r="AK112" s="69" t="str">
        <f t="shared" si="9"/>
        <v>SASA1</v>
      </c>
    </row>
    <row r="113" spans="1:37" ht="118.95" customHeight="1" x14ac:dyDescent="0.3">
      <c r="B113" s="1">
        <f t="shared" si="8"/>
        <v>190</v>
      </c>
      <c r="C113" cm="1">
        <f t="array" ref="C113">IFERROR(MAX(--_xlfn.TEXTSPLIT(D113,";")),0)</f>
        <v>10</v>
      </c>
      <c r="D113" t="s">
        <v>1758</v>
      </c>
      <c r="E113" s="1" t="s">
        <v>800</v>
      </c>
      <c r="F113" s="1" t="s">
        <v>541</v>
      </c>
      <c r="G113" s="1">
        <v>2</v>
      </c>
      <c r="H113" s="1" t="s">
        <v>801</v>
      </c>
      <c r="I113" s="1" t="s">
        <v>802</v>
      </c>
      <c r="J113" s="1" t="s">
        <v>36</v>
      </c>
      <c r="K113" s="1" t="s">
        <v>543</v>
      </c>
      <c r="L113" s="1" t="s">
        <v>38</v>
      </c>
      <c r="M113" s="1" t="s">
        <v>39</v>
      </c>
      <c r="N113" s="2" t="s">
        <v>40</v>
      </c>
      <c r="O113" s="3">
        <v>13425000</v>
      </c>
      <c r="P113" s="3" t="s">
        <v>41</v>
      </c>
      <c r="Q113" s="1" t="s">
        <v>803</v>
      </c>
      <c r="R113" s="1" t="s">
        <v>662</v>
      </c>
      <c r="S113" s="3" t="s">
        <v>44</v>
      </c>
      <c r="T113" s="3" t="s">
        <v>484</v>
      </c>
      <c r="U113" s="2">
        <v>43020</v>
      </c>
      <c r="V113" s="2">
        <v>43616</v>
      </c>
      <c r="W113" s="2">
        <v>43642</v>
      </c>
      <c r="X113" s="2">
        <v>43697</v>
      </c>
      <c r="Y113" s="2">
        <v>43778</v>
      </c>
      <c r="Z113" s="3" t="s">
        <v>804</v>
      </c>
      <c r="AA113" s="22" t="s">
        <v>805</v>
      </c>
      <c r="AB113" s="3" t="s">
        <v>806</v>
      </c>
      <c r="AC113" s="2">
        <v>43778</v>
      </c>
      <c r="AD113" s="2">
        <v>60214</v>
      </c>
      <c r="AE113" s="2" t="s">
        <v>106</v>
      </c>
      <c r="AF113" s="2">
        <v>44439</v>
      </c>
      <c r="AG113" s="2" t="s">
        <v>697</v>
      </c>
      <c r="AH113" s="2" t="s">
        <v>697</v>
      </c>
      <c r="AI113" s="5">
        <v>13425000</v>
      </c>
      <c r="AJ113" s="6" t="s">
        <v>807</v>
      </c>
      <c r="AK113" s="69" t="str">
        <f t="shared" si="9"/>
        <v>66RF2</v>
      </c>
    </row>
    <row r="114" spans="1:37" ht="118.95" customHeight="1" x14ac:dyDescent="0.3">
      <c r="B114" s="1">
        <f t="shared" si="8"/>
        <v>190</v>
      </c>
      <c r="C114" cm="1">
        <f t="array" ref="C114">IFERROR(MAX(--_xlfn.TEXTSPLIT(D114,";")),0)</f>
        <v>149</v>
      </c>
      <c r="D114" t="s">
        <v>1833</v>
      </c>
      <c r="E114" s="1" t="s">
        <v>221</v>
      </c>
      <c r="F114" s="1" t="s">
        <v>1879</v>
      </c>
      <c r="G114" s="1">
        <v>1</v>
      </c>
      <c r="H114" s="1" t="s">
        <v>222</v>
      </c>
      <c r="I114" s="1" t="s">
        <v>223</v>
      </c>
      <c r="J114" s="1" t="s">
        <v>36</v>
      </c>
      <c r="K114" s="1" t="s">
        <v>224</v>
      </c>
      <c r="L114" s="1" t="s">
        <v>38</v>
      </c>
      <c r="M114" s="1" t="s">
        <v>39</v>
      </c>
      <c r="N114" s="2" t="s">
        <v>40</v>
      </c>
      <c r="O114" s="3">
        <v>20639400</v>
      </c>
      <c r="P114" s="3" t="s">
        <v>41</v>
      </c>
      <c r="Q114" s="1" t="s">
        <v>225</v>
      </c>
      <c r="R114" s="1" t="s">
        <v>133</v>
      </c>
      <c r="S114" s="3" t="s">
        <v>123</v>
      </c>
      <c r="T114" s="3" t="s">
        <v>226</v>
      </c>
      <c r="U114" s="2">
        <v>35906</v>
      </c>
      <c r="V114" s="2">
        <v>35912</v>
      </c>
      <c r="W114" s="2">
        <v>35927</v>
      </c>
      <c r="X114" s="2">
        <v>35976</v>
      </c>
      <c r="Y114" s="2">
        <v>36038</v>
      </c>
      <c r="Z114" s="3" t="s">
        <v>227</v>
      </c>
      <c r="AA114" s="22" t="s">
        <v>228</v>
      </c>
      <c r="AB114" s="3" t="s">
        <v>229</v>
      </c>
      <c r="AC114" s="2">
        <v>36415</v>
      </c>
      <c r="AD114" s="2">
        <v>49305</v>
      </c>
      <c r="AE114" s="2" t="s">
        <v>106</v>
      </c>
      <c r="AF114" s="2" t="s">
        <v>50</v>
      </c>
      <c r="AG114" s="2">
        <v>40269</v>
      </c>
      <c r="AH114" s="2">
        <v>40298</v>
      </c>
      <c r="AI114" s="9">
        <v>35268695.5</v>
      </c>
      <c r="AJ114" s="6">
        <v>1</v>
      </c>
      <c r="AK114" s="69" t="str">
        <f t="shared" si="9"/>
        <v>SATA1</v>
      </c>
    </row>
    <row r="115" spans="1:37" ht="118.95" customHeight="1" x14ac:dyDescent="0.3">
      <c r="B115" s="1">
        <f t="shared" si="8"/>
        <v>190</v>
      </c>
      <c r="C115" cm="1">
        <f t="array" ref="C115">IFERROR(MAX(--_xlfn.TEXTSPLIT(D115,";")),0)</f>
        <v>154</v>
      </c>
      <c r="D115" t="s">
        <v>1834</v>
      </c>
      <c r="E115" s="57" t="s">
        <v>128</v>
      </c>
      <c r="F115" s="57" t="s">
        <v>129</v>
      </c>
      <c r="G115" s="1">
        <v>1</v>
      </c>
      <c r="H115" s="1" t="s">
        <v>130</v>
      </c>
      <c r="I115" s="1" t="s">
        <v>131</v>
      </c>
      <c r="J115" s="1" t="s">
        <v>36</v>
      </c>
      <c r="K115" s="1" t="s">
        <v>92</v>
      </c>
      <c r="L115" s="1" t="s">
        <v>38</v>
      </c>
      <c r="M115" s="1" t="s">
        <v>66</v>
      </c>
      <c r="N115" s="2" t="s">
        <v>40</v>
      </c>
      <c r="O115" s="3">
        <v>3700000</v>
      </c>
      <c r="P115" s="3" t="s">
        <v>41</v>
      </c>
      <c r="Q115" s="1" t="s">
        <v>132</v>
      </c>
      <c r="R115" s="1" t="s">
        <v>133</v>
      </c>
      <c r="S115" s="3" t="s">
        <v>123</v>
      </c>
      <c r="T115" s="3" t="s">
        <v>134</v>
      </c>
      <c r="U115" s="2">
        <v>35180</v>
      </c>
      <c r="V115" s="2">
        <v>35342</v>
      </c>
      <c r="W115" s="2">
        <v>35363</v>
      </c>
      <c r="X115" s="2">
        <v>35418</v>
      </c>
      <c r="Y115" s="2">
        <v>35473</v>
      </c>
      <c r="Z115" s="3" t="s">
        <v>135</v>
      </c>
      <c r="AA115" s="3" t="s">
        <v>136</v>
      </c>
      <c r="AB115" s="59" t="s">
        <v>137</v>
      </c>
      <c r="AC115" s="2">
        <v>35711</v>
      </c>
      <c r="AD115" s="2">
        <v>46395</v>
      </c>
      <c r="AE115" s="2" t="s">
        <v>49</v>
      </c>
      <c r="AF115" s="2" t="s">
        <v>50</v>
      </c>
      <c r="AG115" s="2">
        <v>36795</v>
      </c>
      <c r="AH115" s="2">
        <v>37232</v>
      </c>
      <c r="AI115" s="67">
        <v>5454253.2500000009</v>
      </c>
      <c r="AJ115" s="17">
        <v>1</v>
      </c>
      <c r="AK115" s="69" t="str">
        <f t="shared" si="9"/>
        <v>SCLA1</v>
      </c>
    </row>
    <row r="116" spans="1:37" ht="132.6" customHeight="1" x14ac:dyDescent="0.3">
      <c r="B116" s="1">
        <f t="shared" si="8"/>
        <v>190</v>
      </c>
      <c r="C116" cm="1">
        <f t="array" ref="C116">IFERROR(MAX(--_xlfn.TEXTSPLIT(D116,";")),0)</f>
        <v>156</v>
      </c>
      <c r="D116" t="s">
        <v>1835</v>
      </c>
      <c r="E116" s="21" t="s">
        <v>270</v>
      </c>
      <c r="F116" s="21" t="s">
        <v>271</v>
      </c>
      <c r="G116" s="1">
        <v>1</v>
      </c>
      <c r="H116" s="1" t="s">
        <v>272</v>
      </c>
      <c r="I116" s="1" t="s">
        <v>273</v>
      </c>
      <c r="J116" s="1" t="s">
        <v>111</v>
      </c>
      <c r="K116" s="1" t="s">
        <v>112</v>
      </c>
      <c r="L116" s="1" t="s">
        <v>38</v>
      </c>
      <c r="M116" s="1" t="s">
        <v>39</v>
      </c>
      <c r="N116" s="2" t="s">
        <v>40</v>
      </c>
      <c r="O116" s="3">
        <v>15190000</v>
      </c>
      <c r="P116" s="3" t="s">
        <v>41</v>
      </c>
      <c r="Q116" s="1" t="s">
        <v>274</v>
      </c>
      <c r="R116" s="1" t="s">
        <v>133</v>
      </c>
      <c r="S116" s="3" t="s">
        <v>123</v>
      </c>
      <c r="T116" s="3" t="s">
        <v>275</v>
      </c>
      <c r="U116" s="2">
        <v>36481</v>
      </c>
      <c r="V116" s="2">
        <v>36738</v>
      </c>
      <c r="W116" s="2">
        <v>36759</v>
      </c>
      <c r="X116" s="2">
        <v>36783</v>
      </c>
      <c r="Y116" s="2">
        <v>36895</v>
      </c>
      <c r="Z116" s="3" t="s">
        <v>276</v>
      </c>
      <c r="AA116" s="3" t="s">
        <v>277</v>
      </c>
      <c r="AB116" s="22" t="s">
        <v>278</v>
      </c>
      <c r="AC116" s="2">
        <v>37075</v>
      </c>
      <c r="AD116" s="2">
        <v>49187</v>
      </c>
      <c r="AE116" s="2" t="s">
        <v>106</v>
      </c>
      <c r="AF116" s="2" t="s">
        <v>50</v>
      </c>
      <c r="AG116" s="2">
        <v>38845</v>
      </c>
      <c r="AH116" s="2">
        <v>39183</v>
      </c>
      <c r="AI116" s="68">
        <v>31119620.699999999</v>
      </c>
      <c r="AJ116" s="17">
        <v>1</v>
      </c>
      <c r="AK116" s="69" t="str">
        <f t="shared" si="9"/>
        <v>SNSS1</v>
      </c>
    </row>
    <row r="117" spans="1:37" ht="155.4" customHeight="1" x14ac:dyDescent="0.3">
      <c r="B117" s="1">
        <f t="shared" si="8"/>
        <v>190</v>
      </c>
      <c r="C117" cm="1">
        <f t="array" ref="C117">IFERROR(MAX(--_xlfn.TEXTSPLIT(D117,";")),0)</f>
        <v>158</v>
      </c>
      <c r="D117" t="s">
        <v>1836</v>
      </c>
      <c r="E117" s="1" t="s">
        <v>244</v>
      </c>
      <c r="F117" s="1" t="s">
        <v>1880</v>
      </c>
      <c r="G117" s="1">
        <v>1</v>
      </c>
      <c r="H117" s="1" t="s">
        <v>245</v>
      </c>
      <c r="I117" s="1" t="s">
        <v>246</v>
      </c>
      <c r="J117" s="1" t="s">
        <v>111</v>
      </c>
      <c r="K117" s="1" t="s">
        <v>112</v>
      </c>
      <c r="L117" s="1" t="s">
        <v>38</v>
      </c>
      <c r="M117" s="1" t="s">
        <v>39</v>
      </c>
      <c r="N117" s="2" t="s">
        <v>40</v>
      </c>
      <c r="O117" s="3">
        <v>9482776</v>
      </c>
      <c r="P117" s="3" t="s">
        <v>41</v>
      </c>
      <c r="Q117" s="1" t="s">
        <v>247</v>
      </c>
      <c r="R117" s="1" t="s">
        <v>133</v>
      </c>
      <c r="S117" s="3" t="s">
        <v>123</v>
      </c>
      <c r="T117" s="3" t="s">
        <v>248</v>
      </c>
      <c r="U117" s="2">
        <v>36343</v>
      </c>
      <c r="V117" s="2">
        <v>36480</v>
      </c>
      <c r="W117" s="2">
        <v>36500</v>
      </c>
      <c r="X117" s="2">
        <v>36580</v>
      </c>
      <c r="Y117" s="2">
        <v>36635</v>
      </c>
      <c r="Z117" s="3" t="s">
        <v>249</v>
      </c>
      <c r="AA117" s="3" t="s">
        <v>250</v>
      </c>
      <c r="AB117" s="3" t="s">
        <v>251</v>
      </c>
      <c r="AC117" s="2">
        <v>37803</v>
      </c>
      <c r="AD117" s="2">
        <v>49856</v>
      </c>
      <c r="AE117" s="2" t="s">
        <v>106</v>
      </c>
      <c r="AF117" s="2" t="s">
        <v>50</v>
      </c>
      <c r="AG117" s="2">
        <v>39359</v>
      </c>
      <c r="AH117" s="2">
        <v>39607</v>
      </c>
      <c r="AI117" s="65">
        <v>30132097.319999997</v>
      </c>
      <c r="AJ117" s="17">
        <v>1</v>
      </c>
      <c r="AK117" s="69" t="str">
        <f t="shared" si="9"/>
        <v>SOPN1</v>
      </c>
    </row>
    <row r="118" spans="1:37" ht="118.95" customHeight="1" x14ac:dyDescent="0.3">
      <c r="B118" s="1">
        <f t="shared" si="8"/>
        <v>190</v>
      </c>
      <c r="C118" cm="1">
        <f t="array" ref="C118">IFERROR(MAX(--_xlfn.TEXTSPLIT(D118,";")),0)</f>
        <v>159</v>
      </c>
      <c r="D118" t="s">
        <v>1837</v>
      </c>
      <c r="E118" s="1" t="s">
        <v>118</v>
      </c>
      <c r="F118" s="1" t="s">
        <v>1881</v>
      </c>
      <c r="G118" s="1">
        <v>1</v>
      </c>
      <c r="H118" s="1" t="s">
        <v>119</v>
      </c>
      <c r="I118" s="1" t="s">
        <v>120</v>
      </c>
      <c r="J118" s="1" t="s">
        <v>36</v>
      </c>
      <c r="K118" s="1" t="s">
        <v>121</v>
      </c>
      <c r="L118" s="1" t="s">
        <v>38</v>
      </c>
      <c r="M118" s="1" t="s">
        <v>39</v>
      </c>
      <c r="N118" s="2" t="s">
        <v>40</v>
      </c>
      <c r="O118" s="3">
        <v>4500000</v>
      </c>
      <c r="P118" s="3" t="s">
        <v>41</v>
      </c>
      <c r="Q118" s="4" t="s">
        <v>122</v>
      </c>
      <c r="R118" s="1" t="s">
        <v>43</v>
      </c>
      <c r="S118" s="3" t="s">
        <v>123</v>
      </c>
      <c r="T118" s="3" t="s">
        <v>124</v>
      </c>
      <c r="U118" s="2">
        <v>35004</v>
      </c>
      <c r="V118" s="2">
        <v>35044</v>
      </c>
      <c r="W118" s="2">
        <v>35060</v>
      </c>
      <c r="X118" s="2">
        <v>35076</v>
      </c>
      <c r="Y118" s="2">
        <v>35137</v>
      </c>
      <c r="Z118" s="3" t="s">
        <v>125</v>
      </c>
      <c r="AA118" s="3" t="s">
        <v>126</v>
      </c>
      <c r="AB118" s="3" t="s">
        <v>127</v>
      </c>
      <c r="AC118" s="2">
        <v>35137</v>
      </c>
      <c r="AD118" s="2">
        <v>44286</v>
      </c>
      <c r="AE118" s="2" t="s">
        <v>106</v>
      </c>
      <c r="AF118" s="2" t="s">
        <v>50</v>
      </c>
      <c r="AG118" s="2">
        <v>36444</v>
      </c>
      <c r="AH118" s="2">
        <v>36640</v>
      </c>
      <c r="AI118" s="46">
        <v>8790422.5669340007</v>
      </c>
      <c r="AJ118" s="17">
        <v>1</v>
      </c>
      <c r="AK118" s="69" t="str">
        <f t="shared" si="9"/>
        <v>TACH1</v>
      </c>
    </row>
    <row r="119" spans="1:37" ht="118.95" customHeight="1" x14ac:dyDescent="0.3">
      <c r="B119" s="1">
        <f t="shared" si="8"/>
        <v>190</v>
      </c>
      <c r="C119" cm="1">
        <f t="array" ref="C119">IFERROR(MAX(--_xlfn.TEXTSPLIT(D119,";")),0)</f>
        <v>7</v>
      </c>
      <c r="D119" t="s">
        <v>1756</v>
      </c>
      <c r="E119" s="1" t="s">
        <v>502</v>
      </c>
      <c r="F119" s="1" t="s">
        <v>503</v>
      </c>
      <c r="G119" s="1">
        <v>1</v>
      </c>
      <c r="H119" s="1" t="s">
        <v>504</v>
      </c>
      <c r="I119" s="1">
        <v>0</v>
      </c>
      <c r="J119" s="1" t="s">
        <v>36</v>
      </c>
      <c r="K119" s="1" t="s">
        <v>112</v>
      </c>
      <c r="L119" s="1" t="s">
        <v>38</v>
      </c>
      <c r="M119" s="1" t="s">
        <v>66</v>
      </c>
      <c r="N119" s="2">
        <v>38006</v>
      </c>
      <c r="O119" s="3">
        <v>880000</v>
      </c>
      <c r="P119" s="3" t="s">
        <v>41</v>
      </c>
      <c r="Q119" s="1" t="s">
        <v>264</v>
      </c>
      <c r="R119" s="1" t="s">
        <v>43</v>
      </c>
      <c r="S119" s="3" t="s">
        <v>44</v>
      </c>
      <c r="T119" s="3" t="s">
        <v>484</v>
      </c>
      <c r="U119" s="2">
        <v>39445</v>
      </c>
      <c r="V119" s="2">
        <v>39660</v>
      </c>
      <c r="W119" s="2">
        <v>39688</v>
      </c>
      <c r="X119" s="2">
        <v>39780</v>
      </c>
      <c r="Y119" s="2">
        <v>39842</v>
      </c>
      <c r="Z119" s="3" t="s">
        <v>505</v>
      </c>
      <c r="AA119" s="3" t="s">
        <v>506</v>
      </c>
      <c r="AB119" s="22" t="s">
        <v>507</v>
      </c>
      <c r="AC119" s="2">
        <v>39842</v>
      </c>
      <c r="AD119" s="2">
        <v>41773</v>
      </c>
      <c r="AE119" s="2" t="s">
        <v>106</v>
      </c>
      <c r="AF119" s="2" t="s">
        <v>269</v>
      </c>
      <c r="AG119" s="2" t="s">
        <v>269</v>
      </c>
      <c r="AH119" s="2" t="s">
        <v>269</v>
      </c>
      <c r="AI119" s="46">
        <v>308326.59999999998</v>
      </c>
      <c r="AJ119" s="6">
        <v>0</v>
      </c>
      <c r="AK119" s="1" t="str">
        <f t="shared" si="9"/>
        <v>60GR1</v>
      </c>
    </row>
    <row r="120" spans="1:37" ht="118.95" customHeight="1" x14ac:dyDescent="0.3">
      <c r="B120" s="1">
        <f t="shared" si="8"/>
        <v>190</v>
      </c>
      <c r="C120" cm="1">
        <f t="array" ref="C120">IFERROR(MAX(--_xlfn.TEXTSPLIT(D120,";")),0)</f>
        <v>4</v>
      </c>
      <c r="D120" t="s">
        <v>1754</v>
      </c>
      <c r="E120" s="1" t="s">
        <v>753</v>
      </c>
      <c r="F120" s="1" t="s">
        <v>1849</v>
      </c>
      <c r="G120" s="1">
        <v>1</v>
      </c>
      <c r="H120" s="1" t="s">
        <v>754</v>
      </c>
      <c r="I120" s="1" t="s">
        <v>755</v>
      </c>
      <c r="J120" s="1" t="s">
        <v>111</v>
      </c>
      <c r="K120" s="1" t="s">
        <v>112</v>
      </c>
      <c r="L120" s="1" t="s">
        <v>38</v>
      </c>
      <c r="M120" s="1" t="s">
        <v>39</v>
      </c>
      <c r="N120" s="2" t="s">
        <v>40</v>
      </c>
      <c r="O120" s="3">
        <v>19670000</v>
      </c>
      <c r="P120" s="3" t="s">
        <v>41</v>
      </c>
      <c r="Q120" s="1" t="s">
        <v>756</v>
      </c>
      <c r="R120" s="1" t="s">
        <v>693</v>
      </c>
      <c r="S120" s="3" t="s">
        <v>123</v>
      </c>
      <c r="T120" s="3" t="s">
        <v>484</v>
      </c>
      <c r="U120" s="2">
        <v>42594</v>
      </c>
      <c r="V120" s="2">
        <v>42885</v>
      </c>
      <c r="W120" s="2">
        <v>43309</v>
      </c>
      <c r="X120" s="2">
        <v>43054</v>
      </c>
      <c r="Y120" s="2">
        <v>43195</v>
      </c>
      <c r="Z120" s="3" t="s">
        <v>757</v>
      </c>
      <c r="AA120" s="3" t="s">
        <v>758</v>
      </c>
      <c r="AB120" s="3" t="s">
        <v>759</v>
      </c>
      <c r="AC120" s="2">
        <v>43195</v>
      </c>
      <c r="AD120" s="2">
        <v>59630</v>
      </c>
      <c r="AE120" s="2" t="s">
        <v>106</v>
      </c>
      <c r="AF120" s="2">
        <v>45288</v>
      </c>
      <c r="AG120" s="2" t="s">
        <v>697</v>
      </c>
      <c r="AH120" s="2" t="s">
        <v>697</v>
      </c>
      <c r="AI120" s="46">
        <v>19670000</v>
      </c>
      <c r="AJ120" s="13">
        <v>0.2641</v>
      </c>
      <c r="AK120" s="69" t="str">
        <f t="shared" si="9"/>
        <v>2AVO1</v>
      </c>
    </row>
    <row r="121" spans="1:37" ht="118.95" customHeight="1" x14ac:dyDescent="0.3">
      <c r="A121" t="s">
        <v>1888</v>
      </c>
      <c r="B121" s="1">
        <f t="shared" si="8"/>
        <v>190</v>
      </c>
      <c r="C121" cm="1">
        <f t="array" ref="C121">IFERROR(MAX(--_xlfn.TEXTSPLIT(D121,";")),0)</f>
        <v>189</v>
      </c>
      <c r="D121">
        <v>189</v>
      </c>
      <c r="E121" s="1" t="s">
        <v>32</v>
      </c>
      <c r="F121" s="57" t="s">
        <v>33</v>
      </c>
      <c r="G121" s="1">
        <v>1</v>
      </c>
      <c r="H121" s="57" t="s">
        <v>34</v>
      </c>
      <c r="I121" s="1" t="s">
        <v>35</v>
      </c>
      <c r="J121" s="1" t="s">
        <v>36</v>
      </c>
      <c r="K121" s="1" t="s">
        <v>37</v>
      </c>
      <c r="L121" s="1" t="s">
        <v>38</v>
      </c>
      <c r="M121" s="1" t="s">
        <v>39</v>
      </c>
      <c r="N121" s="2" t="s">
        <v>40</v>
      </c>
      <c r="O121" s="3">
        <v>587208.35782083974</v>
      </c>
      <c r="P121" s="3" t="s">
        <v>41</v>
      </c>
      <c r="Q121" s="4" t="s">
        <v>42</v>
      </c>
      <c r="R121" s="1" t="s">
        <v>43</v>
      </c>
      <c r="S121" s="3" t="s">
        <v>44</v>
      </c>
      <c r="T121" s="3" t="s">
        <v>45</v>
      </c>
      <c r="U121" s="2">
        <v>33909</v>
      </c>
      <c r="V121" s="2">
        <v>33967</v>
      </c>
      <c r="W121" s="2">
        <v>34012</v>
      </c>
      <c r="X121" s="2">
        <v>34067</v>
      </c>
      <c r="Y121" s="2">
        <v>34142</v>
      </c>
      <c r="Z121" s="3" t="s">
        <v>46</v>
      </c>
      <c r="AA121" s="3" t="s">
        <v>47</v>
      </c>
      <c r="AB121" s="3" t="s">
        <v>48</v>
      </c>
      <c r="AC121" s="2">
        <v>34225</v>
      </c>
      <c r="AD121" s="2">
        <v>42550</v>
      </c>
      <c r="AE121" s="2" t="s">
        <v>49</v>
      </c>
      <c r="AF121" s="2" t="s">
        <v>50</v>
      </c>
      <c r="AG121" s="2">
        <v>34955</v>
      </c>
      <c r="AH121" s="2">
        <v>35248</v>
      </c>
      <c r="AI121" s="46">
        <v>1602634.08</v>
      </c>
      <c r="AJ121" s="6">
        <v>1</v>
      </c>
      <c r="AK121" s="69" t="str">
        <f t="shared" si="9"/>
        <v>TEME1</v>
      </c>
    </row>
    <row r="122" spans="1:37" ht="118.95" customHeight="1" x14ac:dyDescent="0.3">
      <c r="B122" s="1">
        <f t="shared" si="8"/>
        <v>190</v>
      </c>
      <c r="C122" cm="1">
        <f t="array" ref="C122">IFERROR(MAX(--_xlfn.TEXTSPLIT(D122,";")),0)</f>
        <v>161.18899999999999</v>
      </c>
      <c r="D122">
        <v>161.18899999999999</v>
      </c>
      <c r="E122" s="21" t="s">
        <v>722</v>
      </c>
      <c r="F122" s="57" t="s">
        <v>33</v>
      </c>
      <c r="G122" s="1">
        <v>2</v>
      </c>
      <c r="H122" s="21" t="s">
        <v>723</v>
      </c>
      <c r="I122" s="1" t="s">
        <v>724</v>
      </c>
      <c r="J122" s="1" t="s">
        <v>36</v>
      </c>
      <c r="K122" s="1" t="s">
        <v>37</v>
      </c>
      <c r="L122" s="1" t="s">
        <v>38</v>
      </c>
      <c r="M122" s="1" t="s">
        <v>39</v>
      </c>
      <c r="N122" s="2" t="s">
        <v>40</v>
      </c>
      <c r="O122" s="3">
        <v>3026000</v>
      </c>
      <c r="P122" s="3" t="s">
        <v>41</v>
      </c>
      <c r="Q122" s="1" t="s">
        <v>725</v>
      </c>
      <c r="R122" s="1" t="s">
        <v>43</v>
      </c>
      <c r="S122" s="3" t="s">
        <v>44</v>
      </c>
      <c r="T122" s="3" t="s">
        <v>152</v>
      </c>
      <c r="U122" s="2">
        <v>42291</v>
      </c>
      <c r="V122" s="2">
        <v>42417</v>
      </c>
      <c r="W122" s="2">
        <v>42436</v>
      </c>
      <c r="X122" s="2">
        <v>42464</v>
      </c>
      <c r="Y122" s="2">
        <v>42528</v>
      </c>
      <c r="Z122" s="3" t="s">
        <v>726</v>
      </c>
      <c r="AA122" s="3" t="s">
        <v>727</v>
      </c>
      <c r="AB122" s="3" t="s">
        <v>728</v>
      </c>
      <c r="AC122" s="2">
        <v>42528</v>
      </c>
      <c r="AD122" s="2">
        <v>45838</v>
      </c>
      <c r="AE122" s="2" t="s">
        <v>106</v>
      </c>
      <c r="AF122" s="2">
        <v>43385</v>
      </c>
      <c r="AG122" s="2">
        <v>44855</v>
      </c>
      <c r="AH122" s="2">
        <v>45138</v>
      </c>
      <c r="AI122" s="46">
        <v>2592310.0499999998</v>
      </c>
      <c r="AJ122" s="17">
        <v>1</v>
      </c>
      <c r="AK122" s="69" t="str">
        <f t="shared" si="9"/>
        <v>TEME2</v>
      </c>
    </row>
    <row r="123" spans="1:37" ht="118.95" customHeight="1" x14ac:dyDescent="0.3">
      <c r="B123" s="1">
        <f t="shared" si="8"/>
        <v>190</v>
      </c>
      <c r="C123" cm="1">
        <f t="array" ref="C123">IFERROR(MAX(--_xlfn.TEXTSPLIT(D123,";")),0)</f>
        <v>162</v>
      </c>
      <c r="D123" t="s">
        <v>1839</v>
      </c>
      <c r="E123" s="21" t="s">
        <v>164</v>
      </c>
      <c r="F123" s="21" t="s">
        <v>1883</v>
      </c>
      <c r="G123" s="1">
        <v>1</v>
      </c>
      <c r="H123" s="21" t="s">
        <v>165</v>
      </c>
      <c r="I123" s="1" t="s">
        <v>166</v>
      </c>
      <c r="J123" s="1" t="s">
        <v>36</v>
      </c>
      <c r="K123" s="1" t="s">
        <v>167</v>
      </c>
      <c r="L123" s="1" t="s">
        <v>38</v>
      </c>
      <c r="M123" s="1" t="s">
        <v>39</v>
      </c>
      <c r="N123" s="2" t="s">
        <v>40</v>
      </c>
      <c r="O123" s="3">
        <v>6105000</v>
      </c>
      <c r="P123" s="3" t="s">
        <v>41</v>
      </c>
      <c r="Q123" s="1" t="s">
        <v>168</v>
      </c>
      <c r="R123" s="1" t="s">
        <v>43</v>
      </c>
      <c r="S123" s="3" t="s">
        <v>123</v>
      </c>
      <c r="T123" s="3" t="s">
        <v>85</v>
      </c>
      <c r="U123" s="2">
        <v>35370</v>
      </c>
      <c r="V123" s="2">
        <v>35548</v>
      </c>
      <c r="W123" s="2">
        <v>35562</v>
      </c>
      <c r="X123" s="2">
        <v>35656</v>
      </c>
      <c r="Y123" s="2">
        <v>35731</v>
      </c>
      <c r="Z123" s="3" t="s">
        <v>169</v>
      </c>
      <c r="AA123" s="3" t="s">
        <v>170</v>
      </c>
      <c r="AB123" s="3" t="s">
        <v>171</v>
      </c>
      <c r="AC123" s="2">
        <v>35976</v>
      </c>
      <c r="AD123" s="2">
        <v>46111</v>
      </c>
      <c r="AE123" s="2" t="s">
        <v>49</v>
      </c>
      <c r="AF123" s="2" t="s">
        <v>50</v>
      </c>
      <c r="AG123" s="2">
        <v>37148</v>
      </c>
      <c r="AH123" s="2">
        <v>37834</v>
      </c>
      <c r="AI123" s="68">
        <v>9358918.5</v>
      </c>
      <c r="AJ123" s="17">
        <v>1</v>
      </c>
      <c r="AK123" s="69" t="str">
        <f t="shared" si="9"/>
        <v>TERB1</v>
      </c>
    </row>
    <row r="124" spans="1:37" ht="118.95" customHeight="1" x14ac:dyDescent="0.3">
      <c r="B124" s="1">
        <f t="shared" si="8"/>
        <v>190</v>
      </c>
      <c r="C124" cm="1">
        <f t="array" ref="C124">IFERROR(MAX(--_xlfn.TEXTSPLIT(D124,";")),0)</f>
        <v>3</v>
      </c>
      <c r="D124" t="s">
        <v>1753</v>
      </c>
      <c r="E124" s="21" t="s">
        <v>816</v>
      </c>
      <c r="F124" s="21" t="s">
        <v>1848</v>
      </c>
      <c r="G124" s="1">
        <v>1</v>
      </c>
      <c r="H124" s="21" t="s">
        <v>817</v>
      </c>
      <c r="I124" s="1" t="s">
        <v>818</v>
      </c>
      <c r="J124" s="1" t="s">
        <v>111</v>
      </c>
      <c r="K124" s="1" t="s">
        <v>112</v>
      </c>
      <c r="L124" s="1" t="s">
        <v>38</v>
      </c>
      <c r="M124" s="1" t="s">
        <v>66</v>
      </c>
      <c r="N124" s="2">
        <v>38385</v>
      </c>
      <c r="O124" s="3">
        <v>2308000</v>
      </c>
      <c r="P124" s="3" t="s">
        <v>41</v>
      </c>
      <c r="Q124" s="4" t="s">
        <v>819</v>
      </c>
      <c r="R124" s="1" t="s">
        <v>43</v>
      </c>
      <c r="S124" s="3" t="s">
        <v>44</v>
      </c>
      <c r="T124" s="3" t="s">
        <v>820</v>
      </c>
      <c r="U124" s="2">
        <v>43195</v>
      </c>
      <c r="V124" s="2">
        <v>43398</v>
      </c>
      <c r="W124" s="2">
        <v>43420</v>
      </c>
      <c r="X124" s="2">
        <v>43487</v>
      </c>
      <c r="Y124" s="2">
        <v>43557</v>
      </c>
      <c r="Z124" s="3" t="s">
        <v>821</v>
      </c>
      <c r="AA124" s="3" t="s">
        <v>822</v>
      </c>
      <c r="AB124" s="3" t="s">
        <v>823</v>
      </c>
      <c r="AC124" s="2">
        <v>43557</v>
      </c>
      <c r="AD124" s="2">
        <v>45145</v>
      </c>
      <c r="AE124" s="2" t="s">
        <v>106</v>
      </c>
      <c r="AF124" s="2" t="s">
        <v>269</v>
      </c>
      <c r="AG124" s="2" t="s">
        <v>269</v>
      </c>
      <c r="AH124" s="2" t="s">
        <v>269</v>
      </c>
      <c r="AI124" s="46">
        <v>825000</v>
      </c>
      <c r="AJ124" s="17">
        <v>0</v>
      </c>
      <c r="AK124" s="69" t="str">
        <f t="shared" si="9"/>
        <v>21RG1</v>
      </c>
    </row>
    <row r="125" spans="1:37" ht="201.6" x14ac:dyDescent="0.3">
      <c r="B125" s="1">
        <f t="shared" ref="B125:B128" si="10">MAX($C$2:$C$128)</f>
        <v>190</v>
      </c>
      <c r="C125" cm="1">
        <f t="array" ref="C125">IFERROR(MAX(--_xlfn.TEXTSPLIT(D125,";")),0)</f>
        <v>163</v>
      </c>
      <c r="D125" t="s">
        <v>1840</v>
      </c>
      <c r="E125" s="11" t="s">
        <v>622</v>
      </c>
      <c r="F125" s="61" t="s">
        <v>1885</v>
      </c>
      <c r="G125" s="1">
        <v>1</v>
      </c>
      <c r="H125" s="1" t="s">
        <v>623</v>
      </c>
      <c r="I125" s="1" t="s">
        <v>624</v>
      </c>
      <c r="J125" s="1" t="s">
        <v>36</v>
      </c>
      <c r="K125" s="1" t="s">
        <v>625</v>
      </c>
      <c r="L125" s="1" t="s">
        <v>38</v>
      </c>
      <c r="M125" s="1" t="s">
        <v>39</v>
      </c>
      <c r="N125" s="2" t="s">
        <v>40</v>
      </c>
      <c r="O125" s="3">
        <v>7900000</v>
      </c>
      <c r="P125" s="3" t="s">
        <v>41</v>
      </c>
      <c r="Q125" s="1" t="s">
        <v>626</v>
      </c>
      <c r="R125" s="1" t="s">
        <v>133</v>
      </c>
      <c r="S125" s="3" t="s">
        <v>123</v>
      </c>
      <c r="T125" s="3" t="s">
        <v>484</v>
      </c>
      <c r="U125" s="2">
        <v>40865</v>
      </c>
      <c r="V125" s="2">
        <v>40890</v>
      </c>
      <c r="W125" s="2">
        <v>40897</v>
      </c>
      <c r="X125" s="2">
        <v>40934</v>
      </c>
      <c r="Y125" s="2">
        <v>41002</v>
      </c>
      <c r="Z125" s="3" t="s">
        <v>627</v>
      </c>
      <c r="AA125" s="3" t="s">
        <v>628</v>
      </c>
      <c r="AB125" s="3" t="s">
        <v>629</v>
      </c>
      <c r="AC125" s="2">
        <v>41002</v>
      </c>
      <c r="AD125" s="2">
        <v>53784</v>
      </c>
      <c r="AE125" s="2" t="s">
        <v>106</v>
      </c>
      <c r="AF125" s="2" t="s">
        <v>50</v>
      </c>
      <c r="AG125" s="2">
        <v>42499</v>
      </c>
      <c r="AH125" s="2">
        <v>42795</v>
      </c>
      <c r="AI125" s="65">
        <v>8977038.0899999999</v>
      </c>
      <c r="AJ125" s="17">
        <v>1</v>
      </c>
      <c r="AK125" s="69" t="str">
        <f t="shared" ref="AK125:AK128" si="11">MID(E125,5,LEN(E125)-4)</f>
        <v>VALS1</v>
      </c>
    </row>
    <row r="126" spans="1:37" ht="187.2" x14ac:dyDescent="0.3">
      <c r="B126" s="1">
        <f t="shared" si="10"/>
        <v>190</v>
      </c>
      <c r="C126" cm="1">
        <f t="array" ref="C126">IFERROR(MAX(--_xlfn.TEXTSPLIT(D126,";")),0)</f>
        <v>164</v>
      </c>
      <c r="D126" t="s">
        <v>1841</v>
      </c>
      <c r="E126" s="1" t="s">
        <v>296</v>
      </c>
      <c r="F126" s="61" t="s">
        <v>297</v>
      </c>
      <c r="G126" s="1">
        <v>1</v>
      </c>
      <c r="H126" s="1" t="s">
        <v>298</v>
      </c>
      <c r="I126" s="1" t="s">
        <v>299</v>
      </c>
      <c r="J126" s="1" t="s">
        <v>36</v>
      </c>
      <c r="K126" s="1" t="s">
        <v>112</v>
      </c>
      <c r="L126" s="1" t="s">
        <v>38</v>
      </c>
      <c r="M126" s="1" t="s">
        <v>66</v>
      </c>
      <c r="N126" s="2" t="s">
        <v>40</v>
      </c>
      <c r="O126" s="3">
        <v>669100</v>
      </c>
      <c r="P126" s="3" t="s">
        <v>41</v>
      </c>
      <c r="Q126" s="1" t="s">
        <v>300</v>
      </c>
      <c r="R126" s="1" t="s">
        <v>133</v>
      </c>
      <c r="S126" s="3" t="s">
        <v>44</v>
      </c>
      <c r="T126" s="3" t="s">
        <v>301</v>
      </c>
      <c r="U126" s="2">
        <v>36874</v>
      </c>
      <c r="V126" s="2">
        <v>37046</v>
      </c>
      <c r="W126" s="2">
        <v>37068</v>
      </c>
      <c r="X126" s="2">
        <v>37120</v>
      </c>
      <c r="Y126" s="2">
        <v>37193</v>
      </c>
      <c r="Z126" s="3" t="s">
        <v>302</v>
      </c>
      <c r="AA126" s="3" t="s">
        <v>303</v>
      </c>
      <c r="AB126" s="3" t="s">
        <v>304</v>
      </c>
      <c r="AC126" s="2">
        <v>37740</v>
      </c>
      <c r="AD126" s="2">
        <v>48697</v>
      </c>
      <c r="AE126" s="2" t="s">
        <v>49</v>
      </c>
      <c r="AF126" s="2" t="s">
        <v>50</v>
      </c>
      <c r="AG126" s="2">
        <v>38104</v>
      </c>
      <c r="AH126" s="2">
        <v>38709</v>
      </c>
      <c r="AI126" s="65">
        <v>907495.36</v>
      </c>
      <c r="AJ126" s="17">
        <v>1</v>
      </c>
      <c r="AK126" s="69" t="str">
        <f t="shared" si="11"/>
        <v>VAME1</v>
      </c>
    </row>
    <row r="127" spans="1:37" ht="125.4" customHeight="1" x14ac:dyDescent="0.3">
      <c r="A127" t="s">
        <v>1991</v>
      </c>
      <c r="B127" s="1">
        <f t="shared" si="10"/>
        <v>190</v>
      </c>
      <c r="C127" cm="1">
        <f t="array" ref="C127">IFERROR(MAX(--_xlfn.TEXTSPLIT(D127,";")),0)</f>
        <v>168</v>
      </c>
      <c r="D127" t="s">
        <v>1842</v>
      </c>
      <c r="E127" s="11" t="s">
        <v>508</v>
      </c>
      <c r="F127" s="61" t="s">
        <v>1886</v>
      </c>
      <c r="G127" s="1">
        <v>1</v>
      </c>
      <c r="H127" s="1" t="s">
        <v>509</v>
      </c>
      <c r="I127" s="1" t="s">
        <v>510</v>
      </c>
      <c r="J127" s="1" t="s">
        <v>36</v>
      </c>
      <c r="K127" s="1" t="s">
        <v>344</v>
      </c>
      <c r="L127" s="1" t="s">
        <v>38</v>
      </c>
      <c r="M127" s="1" t="s">
        <v>39</v>
      </c>
      <c r="N127" s="2" t="s">
        <v>40</v>
      </c>
      <c r="O127" s="3">
        <v>7230000</v>
      </c>
      <c r="P127" s="3" t="s">
        <v>41</v>
      </c>
      <c r="Q127" s="1" t="s">
        <v>511</v>
      </c>
      <c r="R127" s="1" t="s">
        <v>133</v>
      </c>
      <c r="S127" s="3" t="s">
        <v>44</v>
      </c>
      <c r="T127" s="3" t="s">
        <v>512</v>
      </c>
      <c r="U127" s="2">
        <v>39445</v>
      </c>
      <c r="V127" s="2">
        <v>39707</v>
      </c>
      <c r="W127" s="2">
        <v>39738</v>
      </c>
      <c r="X127" s="2">
        <v>39821</v>
      </c>
      <c r="Y127" s="2">
        <v>39876</v>
      </c>
      <c r="Z127" s="3" t="s">
        <v>513</v>
      </c>
      <c r="AA127" s="3" t="s">
        <v>514</v>
      </c>
      <c r="AB127" s="3" t="s">
        <v>515</v>
      </c>
      <c r="AC127" s="2">
        <v>39876</v>
      </c>
      <c r="AD127" s="2">
        <v>52659</v>
      </c>
      <c r="AE127" s="2" t="s">
        <v>106</v>
      </c>
      <c r="AF127" s="2">
        <v>40552</v>
      </c>
      <c r="AG127" s="2">
        <v>40850</v>
      </c>
      <c r="AH127" s="2">
        <v>41033</v>
      </c>
      <c r="AI127" s="65">
        <v>6465494.1300000008</v>
      </c>
      <c r="AJ127" s="17">
        <v>1</v>
      </c>
      <c r="AK127" s="69" t="str">
        <f t="shared" si="11"/>
        <v>VCAL1</v>
      </c>
    </row>
    <row r="128" spans="1:37" ht="259.2" x14ac:dyDescent="0.3">
      <c r="B128" s="1">
        <f t="shared" si="10"/>
        <v>190</v>
      </c>
      <c r="C128" cm="1">
        <f t="array" ref="C128">IFERROR(MAX(--_xlfn.TEXTSPLIT(D128,";")),0)</f>
        <v>174</v>
      </c>
      <c r="D128" t="s">
        <v>1843</v>
      </c>
      <c r="E128" s="1" t="s">
        <v>447</v>
      </c>
      <c r="F128" s="61" t="s">
        <v>448</v>
      </c>
      <c r="G128" s="1">
        <v>1</v>
      </c>
      <c r="H128" s="61" t="s">
        <v>449</v>
      </c>
      <c r="I128" s="1" t="s">
        <v>450</v>
      </c>
      <c r="J128" s="1" t="s">
        <v>111</v>
      </c>
      <c r="K128" s="1" t="s">
        <v>112</v>
      </c>
      <c r="L128" s="1" t="s">
        <v>38</v>
      </c>
      <c r="M128" s="1" t="s">
        <v>66</v>
      </c>
      <c r="N128" s="2">
        <v>36119</v>
      </c>
      <c r="O128" s="3">
        <v>2500000</v>
      </c>
      <c r="P128" s="3" t="s">
        <v>41</v>
      </c>
      <c r="Q128" s="1" t="s">
        <v>451</v>
      </c>
      <c r="R128" s="1" t="s">
        <v>133</v>
      </c>
      <c r="S128" s="3" t="s">
        <v>44</v>
      </c>
      <c r="T128" s="3" t="s">
        <v>452</v>
      </c>
      <c r="U128" s="2">
        <v>38091</v>
      </c>
      <c r="V128" s="2">
        <v>38217</v>
      </c>
      <c r="W128" s="2">
        <v>38239</v>
      </c>
      <c r="X128" s="2">
        <v>38317</v>
      </c>
      <c r="Y128" s="2">
        <v>38404</v>
      </c>
      <c r="Z128" s="3" t="s">
        <v>453</v>
      </c>
      <c r="AA128" s="3" t="s">
        <v>454</v>
      </c>
      <c r="AB128" s="3" t="s">
        <v>446</v>
      </c>
      <c r="AC128" s="2">
        <v>38404</v>
      </c>
      <c r="AD128" s="2">
        <v>50272</v>
      </c>
      <c r="AE128" s="2" t="s">
        <v>106</v>
      </c>
      <c r="AF128" s="2" t="s">
        <v>50</v>
      </c>
      <c r="AG128" s="2">
        <v>39632</v>
      </c>
      <c r="AH128" s="2">
        <v>39967</v>
      </c>
      <c r="AI128" s="65">
        <v>4102180.9400000004</v>
      </c>
      <c r="AJ128" s="17">
        <v>1</v>
      </c>
      <c r="AK128" s="69" t="str">
        <f t="shared" si="11"/>
        <v>VVSK1</v>
      </c>
    </row>
  </sheetData>
  <autoFilter ref="AK1:AK128" xr:uid="{80840258-79EC-4B6B-9344-9FB50696C2EB}">
    <sortState xmlns:xlrd2="http://schemas.microsoft.com/office/spreadsheetml/2017/richdata2" ref="AK3:AK124">
      <sortCondition ref="AK1:AK128"/>
    </sortState>
  </autoFilter>
  <hyperlinks>
    <hyperlink ref="AB61" r:id="rId1" xr:uid="{3A35BB87-9951-4ED5-AA29-091A491DDB47}"/>
    <hyperlink ref="AB30" r:id="rId2" xr:uid="{A7AC609C-93C4-4D0F-A98C-DAEAD72B9010}"/>
    <hyperlink ref="AB22" r:id="rId3" xr:uid="{05C15554-DCDF-431F-AD25-1C380DC7CEC4}"/>
    <hyperlink ref="AB99" r:id="rId4" xr:uid="{87BC28C3-53E7-47EA-B968-2A58A8F67912}"/>
    <hyperlink ref="Q121" r:id="rId5" xr:uid="{B49BBFD3-FB03-4C12-AC55-9D1C4895F494}"/>
    <hyperlink ref="Q51" r:id="rId6" xr:uid="{1138822B-B318-43D2-A038-0D1CD40CE0B7}"/>
    <hyperlink ref="Q30" r:id="rId7" xr:uid="{2E77FBF3-3CB1-478B-B257-31FCF663D5B8}"/>
    <hyperlink ref="Q98" r:id="rId8" xr:uid="{0F4295B4-8EDE-4758-9A55-F4853FF8222E}"/>
    <hyperlink ref="Q17" r:id="rId9" xr:uid="{46211A6B-BFAD-42AC-B417-8C1607D4535F}"/>
    <hyperlink ref="Q112" r:id="rId10" xr:uid="{2894B2BC-A82D-4794-8EC7-8A7B8E485FB4}"/>
    <hyperlink ref="Q54" r:id="rId11" xr:uid="{2E95F99E-734D-4C76-92AB-BB6F176ECC2F}"/>
    <hyperlink ref="Q100" r:id="rId12" xr:uid="{8E328797-2212-4653-8818-403B07F4C7E7}"/>
    <hyperlink ref="Q124" r:id="rId13" xr:uid="{C9A6B126-DDA8-453E-B080-E457A615240F}"/>
    <hyperlink ref="Q118" r:id="rId14" xr:uid="{586AA5B2-42E2-484A-8B74-344C94797228}"/>
    <hyperlink ref="Q49" r:id="rId15" xr:uid="{4F19ED2C-C6A4-4902-B9F6-A35679B73E9D}"/>
    <hyperlink ref="Q58" r:id="rId16" xr:uid="{442FD632-40EB-430C-826C-3AE86A4B3DAC}"/>
    <hyperlink ref="AB107" r:id="rId17" xr:uid="{195EDB41-08E6-4AFD-B121-E5FACB6C4643}"/>
    <hyperlink ref="AB86" r:id="rId18" xr:uid="{7AD210F4-AE18-426E-939B-FC88EECEC317}"/>
  </hyperlinks>
  <pageMargins left="0.7" right="0.7" top="0.75" bottom="0.75" header="0.3" footer="0.3"/>
  <tableParts count="1">
    <tablePart r:id="rId1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4780-DA24-443E-8AC7-974CDFAF53A5}">
  <dimension ref="A1:E398"/>
  <sheetViews>
    <sheetView workbookViewId="0">
      <selection activeCell="D5" sqref="D5"/>
    </sheetView>
  </sheetViews>
  <sheetFormatPr baseColWidth="10" defaultRowHeight="14.4" x14ac:dyDescent="0.3"/>
  <cols>
    <col min="1" max="1" width="16.33203125" customWidth="1"/>
    <col min="2" max="2" width="21.33203125" customWidth="1"/>
    <col min="3" max="3" width="15.88671875" customWidth="1"/>
    <col min="4" max="4" width="30.77734375" customWidth="1"/>
    <col min="5" max="5" width="12.44140625" customWidth="1"/>
  </cols>
  <sheetData>
    <row r="1" spans="1:5" x14ac:dyDescent="0.3">
      <c r="A1" s="34" t="s">
        <v>0</v>
      </c>
      <c r="B1" s="35" t="s">
        <v>3</v>
      </c>
      <c r="C1" s="36" t="s">
        <v>1037</v>
      </c>
      <c r="D1" s="36" t="s">
        <v>1038</v>
      </c>
      <c r="E1" s="34" t="s">
        <v>1039</v>
      </c>
    </row>
    <row r="2" spans="1:5" ht="28.8" x14ac:dyDescent="0.3">
      <c r="A2" t="s">
        <v>32</v>
      </c>
      <c r="B2" s="37" t="s">
        <v>34</v>
      </c>
      <c r="C2" t="s">
        <v>1040</v>
      </c>
      <c r="D2" s="27" t="s">
        <v>1041</v>
      </c>
      <c r="E2" t="s">
        <v>1042</v>
      </c>
    </row>
    <row r="3" spans="1:5" ht="28.8" x14ac:dyDescent="0.3">
      <c r="A3" t="s">
        <v>32</v>
      </c>
      <c r="B3" s="37" t="s">
        <v>34</v>
      </c>
      <c r="C3" t="s">
        <v>1043</v>
      </c>
      <c r="D3" s="38" t="s">
        <v>1044</v>
      </c>
      <c r="E3" t="s">
        <v>1042</v>
      </c>
    </row>
    <row r="4" spans="1:5" ht="28.8" x14ac:dyDescent="0.3">
      <c r="A4" t="s">
        <v>32</v>
      </c>
      <c r="B4" s="37" t="s">
        <v>34</v>
      </c>
      <c r="C4" t="s">
        <v>1045</v>
      </c>
      <c r="D4" s="38" t="s">
        <v>1046</v>
      </c>
      <c r="E4" t="s">
        <v>1042</v>
      </c>
    </row>
    <row r="5" spans="1:5" ht="28.8" x14ac:dyDescent="0.3">
      <c r="A5" t="s">
        <v>32</v>
      </c>
      <c r="B5" s="37" t="s">
        <v>34</v>
      </c>
      <c r="C5" t="s">
        <v>1047</v>
      </c>
      <c r="D5" s="38" t="s">
        <v>1048</v>
      </c>
      <c r="E5" t="s">
        <v>1042</v>
      </c>
    </row>
    <row r="6" spans="1:5" ht="28.8" x14ac:dyDescent="0.3">
      <c r="A6" t="s">
        <v>32</v>
      </c>
      <c r="B6" s="37" t="s">
        <v>34</v>
      </c>
      <c r="C6" t="s">
        <v>1049</v>
      </c>
      <c r="D6" s="38" t="s">
        <v>1050</v>
      </c>
      <c r="E6" t="s">
        <v>1051</v>
      </c>
    </row>
    <row r="7" spans="1:5" ht="28.8" x14ac:dyDescent="0.3">
      <c r="A7" t="s">
        <v>32</v>
      </c>
      <c r="B7" s="37" t="s">
        <v>34</v>
      </c>
      <c r="C7" t="s">
        <v>1052</v>
      </c>
      <c r="D7" s="38" t="s">
        <v>1053</v>
      </c>
      <c r="E7" t="s">
        <v>1042</v>
      </c>
    </row>
    <row r="8" spans="1:5" ht="28.8" x14ac:dyDescent="0.3">
      <c r="A8" t="s">
        <v>51</v>
      </c>
      <c r="B8" s="37" t="s">
        <v>53</v>
      </c>
      <c r="C8" t="s">
        <v>1054</v>
      </c>
      <c r="D8" s="38" t="s">
        <v>1044</v>
      </c>
      <c r="E8" t="s">
        <v>1051</v>
      </c>
    </row>
    <row r="9" spans="1:5" ht="72" x14ac:dyDescent="0.3">
      <c r="A9" t="s">
        <v>61</v>
      </c>
      <c r="B9" s="37" t="s">
        <v>62</v>
      </c>
      <c r="C9" t="s">
        <v>1055</v>
      </c>
      <c r="D9" s="38" t="s">
        <v>1056</v>
      </c>
      <c r="E9" t="s">
        <v>1042</v>
      </c>
    </row>
    <row r="10" spans="1:5" ht="72" x14ac:dyDescent="0.3">
      <c r="A10" t="s">
        <v>61</v>
      </c>
      <c r="B10" s="37" t="s">
        <v>62</v>
      </c>
      <c r="C10" t="s">
        <v>1057</v>
      </c>
      <c r="D10" s="38" t="s">
        <v>1058</v>
      </c>
      <c r="E10" t="s">
        <v>1042</v>
      </c>
    </row>
    <row r="11" spans="1:5" ht="72" x14ac:dyDescent="0.3">
      <c r="A11" t="s">
        <v>61</v>
      </c>
      <c r="B11" s="37" t="s">
        <v>62</v>
      </c>
      <c r="C11" t="s">
        <v>1059</v>
      </c>
      <c r="D11" s="38" t="s">
        <v>1060</v>
      </c>
      <c r="E11" t="s">
        <v>1061</v>
      </c>
    </row>
    <row r="12" spans="1:5" ht="57.6" x14ac:dyDescent="0.3">
      <c r="A12" t="s">
        <v>72</v>
      </c>
      <c r="B12" s="37" t="s">
        <v>73</v>
      </c>
      <c r="C12" t="s">
        <v>1062</v>
      </c>
      <c r="D12" s="38" t="s">
        <v>1063</v>
      </c>
      <c r="E12" t="s">
        <v>1051</v>
      </c>
    </row>
    <row r="13" spans="1:5" ht="57.6" x14ac:dyDescent="0.3">
      <c r="A13" t="s">
        <v>72</v>
      </c>
      <c r="B13" s="37" t="s">
        <v>73</v>
      </c>
      <c r="C13" t="s">
        <v>1064</v>
      </c>
      <c r="D13" s="38" t="s">
        <v>1065</v>
      </c>
      <c r="E13" t="s">
        <v>1042</v>
      </c>
    </row>
    <row r="14" spans="1:5" ht="28.8" x14ac:dyDescent="0.3">
      <c r="A14" t="s">
        <v>80</v>
      </c>
      <c r="B14" s="37" t="s">
        <v>81</v>
      </c>
      <c r="C14" t="s">
        <v>1066</v>
      </c>
      <c r="D14" s="38" t="s">
        <v>1067</v>
      </c>
      <c r="E14" t="s">
        <v>1042</v>
      </c>
    </row>
    <row r="15" spans="1:5" ht="28.8" x14ac:dyDescent="0.3">
      <c r="A15" t="s">
        <v>80</v>
      </c>
      <c r="B15" s="37" t="s">
        <v>81</v>
      </c>
      <c r="C15" t="s">
        <v>1068</v>
      </c>
      <c r="D15" s="38" t="s">
        <v>1069</v>
      </c>
      <c r="E15" t="s">
        <v>1042</v>
      </c>
    </row>
    <row r="16" spans="1:5" ht="28.8" x14ac:dyDescent="0.3">
      <c r="A16" t="s">
        <v>80</v>
      </c>
      <c r="B16" s="37" t="s">
        <v>81</v>
      </c>
      <c r="C16" t="s">
        <v>1070</v>
      </c>
      <c r="D16" s="38" t="s">
        <v>1071</v>
      </c>
      <c r="E16" t="s">
        <v>1042</v>
      </c>
    </row>
    <row r="17" spans="1:5" ht="28.8" x14ac:dyDescent="0.3">
      <c r="A17" t="s">
        <v>80</v>
      </c>
      <c r="B17" s="37" t="s">
        <v>81</v>
      </c>
      <c r="C17" t="s">
        <v>1072</v>
      </c>
      <c r="D17" s="38" t="s">
        <v>1073</v>
      </c>
      <c r="E17" t="s">
        <v>1061</v>
      </c>
    </row>
    <row r="18" spans="1:5" ht="43.2" x14ac:dyDescent="0.3">
      <c r="A18" t="s">
        <v>89</v>
      </c>
      <c r="B18" s="37" t="s">
        <v>90</v>
      </c>
      <c r="C18" t="s">
        <v>1074</v>
      </c>
      <c r="D18" s="38" t="s">
        <v>1075</v>
      </c>
      <c r="E18" t="s">
        <v>1051</v>
      </c>
    </row>
    <row r="19" spans="1:5" ht="43.2" x14ac:dyDescent="0.3">
      <c r="A19" t="s">
        <v>89</v>
      </c>
      <c r="B19" s="37" t="s">
        <v>90</v>
      </c>
      <c r="C19" t="s">
        <v>1076</v>
      </c>
      <c r="D19" s="38" t="s">
        <v>1069</v>
      </c>
      <c r="E19" t="s">
        <v>1042</v>
      </c>
    </row>
    <row r="20" spans="1:5" ht="43.2" x14ac:dyDescent="0.3">
      <c r="A20" t="s">
        <v>89</v>
      </c>
      <c r="B20" s="37" t="s">
        <v>90</v>
      </c>
      <c r="C20" t="s">
        <v>1077</v>
      </c>
      <c r="D20" s="38" t="s">
        <v>1078</v>
      </c>
      <c r="E20" t="s">
        <v>1042</v>
      </c>
    </row>
    <row r="21" spans="1:5" ht="43.2" x14ac:dyDescent="0.3">
      <c r="A21" t="s">
        <v>89</v>
      </c>
      <c r="B21" s="37" t="s">
        <v>90</v>
      </c>
      <c r="C21" t="s">
        <v>1079</v>
      </c>
      <c r="D21" s="38" t="s">
        <v>1080</v>
      </c>
      <c r="E21" t="s">
        <v>1042</v>
      </c>
    </row>
    <row r="22" spans="1:5" ht="43.2" x14ac:dyDescent="0.3">
      <c r="A22" t="s">
        <v>89</v>
      </c>
      <c r="B22" s="37" t="s">
        <v>90</v>
      </c>
      <c r="C22" t="s">
        <v>1081</v>
      </c>
      <c r="D22" s="38" t="s">
        <v>1082</v>
      </c>
      <c r="E22" t="s">
        <v>1042</v>
      </c>
    </row>
    <row r="23" spans="1:5" ht="43.2" x14ac:dyDescent="0.3">
      <c r="A23" t="s">
        <v>89</v>
      </c>
      <c r="B23" s="37" t="s">
        <v>90</v>
      </c>
      <c r="C23" t="s">
        <v>1083</v>
      </c>
      <c r="D23" s="38" t="s">
        <v>1067</v>
      </c>
      <c r="E23" t="s">
        <v>1042</v>
      </c>
    </row>
    <row r="24" spans="1:5" ht="43.2" x14ac:dyDescent="0.3">
      <c r="A24" t="s">
        <v>98</v>
      </c>
      <c r="B24" s="37" t="s">
        <v>100</v>
      </c>
      <c r="C24" t="s">
        <v>1084</v>
      </c>
      <c r="D24" s="38" t="s">
        <v>1085</v>
      </c>
      <c r="E24" t="s">
        <v>1042</v>
      </c>
    </row>
    <row r="25" spans="1:5" ht="43.2" x14ac:dyDescent="0.3">
      <c r="A25" t="s">
        <v>98</v>
      </c>
      <c r="B25" s="37" t="s">
        <v>100</v>
      </c>
      <c r="C25" t="s">
        <v>1086</v>
      </c>
      <c r="D25" s="38" t="s">
        <v>1087</v>
      </c>
      <c r="E25" t="s">
        <v>1051</v>
      </c>
    </row>
    <row r="26" spans="1:5" ht="43.2" x14ac:dyDescent="0.3">
      <c r="A26" t="s">
        <v>98</v>
      </c>
      <c r="B26" s="37" t="s">
        <v>100</v>
      </c>
      <c r="C26" t="s">
        <v>1088</v>
      </c>
      <c r="D26" s="38" t="s">
        <v>1089</v>
      </c>
      <c r="E26" t="s">
        <v>1042</v>
      </c>
    </row>
    <row r="27" spans="1:5" ht="43.2" x14ac:dyDescent="0.3">
      <c r="A27" t="s">
        <v>98</v>
      </c>
      <c r="B27" s="37" t="s">
        <v>100</v>
      </c>
      <c r="C27" t="s">
        <v>1090</v>
      </c>
      <c r="D27" s="38" t="s">
        <v>1091</v>
      </c>
      <c r="E27" t="s">
        <v>1042</v>
      </c>
    </row>
    <row r="28" spans="1:5" ht="43.2" x14ac:dyDescent="0.3">
      <c r="A28" t="s">
        <v>107</v>
      </c>
      <c r="B28" s="37" t="s">
        <v>109</v>
      </c>
      <c r="C28" t="s">
        <v>1092</v>
      </c>
      <c r="D28" s="38" t="s">
        <v>1093</v>
      </c>
      <c r="E28" t="s">
        <v>1051</v>
      </c>
    </row>
    <row r="29" spans="1:5" ht="43.2" x14ac:dyDescent="0.3">
      <c r="A29" t="s">
        <v>118</v>
      </c>
      <c r="B29" s="37" t="s">
        <v>119</v>
      </c>
      <c r="C29" t="s">
        <v>1094</v>
      </c>
      <c r="D29" s="38" t="s">
        <v>1095</v>
      </c>
      <c r="E29" t="s">
        <v>1042</v>
      </c>
    </row>
    <row r="30" spans="1:5" ht="43.2" x14ac:dyDescent="0.3">
      <c r="A30" t="s">
        <v>118</v>
      </c>
      <c r="B30" s="37" t="s">
        <v>119</v>
      </c>
      <c r="C30" t="s">
        <v>1096</v>
      </c>
      <c r="D30" s="38" t="s">
        <v>1097</v>
      </c>
      <c r="E30" t="s">
        <v>1042</v>
      </c>
    </row>
    <row r="31" spans="1:5" ht="43.2" x14ac:dyDescent="0.3">
      <c r="A31" t="s">
        <v>118</v>
      </c>
      <c r="B31" s="37" t="s">
        <v>119</v>
      </c>
      <c r="C31" t="s">
        <v>1098</v>
      </c>
      <c r="D31" s="38" t="s">
        <v>1099</v>
      </c>
      <c r="E31" t="s">
        <v>1061</v>
      </c>
    </row>
    <row r="32" spans="1:5" ht="43.2" x14ac:dyDescent="0.3">
      <c r="A32" s="27" t="s">
        <v>128</v>
      </c>
      <c r="B32" s="37" t="s">
        <v>130</v>
      </c>
      <c r="C32" t="s">
        <v>1100</v>
      </c>
      <c r="D32" s="38" t="s">
        <v>1101</v>
      </c>
      <c r="E32" t="s">
        <v>1051</v>
      </c>
    </row>
    <row r="33" spans="1:5" ht="43.2" x14ac:dyDescent="0.3">
      <c r="A33" t="s">
        <v>138</v>
      </c>
      <c r="B33" s="37" t="s">
        <v>139</v>
      </c>
      <c r="C33" t="s">
        <v>1102</v>
      </c>
      <c r="D33" s="38" t="s">
        <v>1103</v>
      </c>
      <c r="E33" t="s">
        <v>1051</v>
      </c>
    </row>
    <row r="34" spans="1:5" ht="43.2" x14ac:dyDescent="0.3">
      <c r="A34" t="s">
        <v>138</v>
      </c>
      <c r="B34" s="37" t="s">
        <v>139</v>
      </c>
      <c r="C34" t="s">
        <v>1104</v>
      </c>
      <c r="D34" s="38" t="s">
        <v>1097</v>
      </c>
      <c r="E34" t="s">
        <v>1042</v>
      </c>
    </row>
    <row r="35" spans="1:5" ht="43.2" x14ac:dyDescent="0.3">
      <c r="A35" t="s">
        <v>138</v>
      </c>
      <c r="B35" s="37" t="s">
        <v>139</v>
      </c>
      <c r="C35" t="s">
        <v>1105</v>
      </c>
      <c r="D35" s="38" t="s">
        <v>1106</v>
      </c>
      <c r="E35" t="s">
        <v>1042</v>
      </c>
    </row>
    <row r="36" spans="1:5" ht="43.2" x14ac:dyDescent="0.3">
      <c r="A36" t="s">
        <v>138</v>
      </c>
      <c r="B36" s="37" t="s">
        <v>139</v>
      </c>
      <c r="C36" t="s">
        <v>1107</v>
      </c>
      <c r="D36" s="38" t="s">
        <v>1108</v>
      </c>
      <c r="E36" t="s">
        <v>1042</v>
      </c>
    </row>
    <row r="37" spans="1:5" ht="57.6" x14ac:dyDescent="0.3">
      <c r="A37" t="s">
        <v>147</v>
      </c>
      <c r="B37" s="37" t="s">
        <v>149</v>
      </c>
      <c r="C37" t="s">
        <v>1109</v>
      </c>
      <c r="D37" s="38" t="s">
        <v>1110</v>
      </c>
      <c r="E37" t="s">
        <v>1042</v>
      </c>
    </row>
    <row r="38" spans="1:5" ht="57.6" x14ac:dyDescent="0.3">
      <c r="A38" t="s">
        <v>147</v>
      </c>
      <c r="B38" s="37" t="s">
        <v>149</v>
      </c>
      <c r="C38" t="s">
        <v>1111</v>
      </c>
      <c r="D38" s="38" t="s">
        <v>1112</v>
      </c>
      <c r="E38" t="s">
        <v>1042</v>
      </c>
    </row>
    <row r="39" spans="1:5" ht="57.6" x14ac:dyDescent="0.3">
      <c r="A39" t="s">
        <v>147</v>
      </c>
      <c r="B39" s="37" t="s">
        <v>149</v>
      </c>
      <c r="C39" t="s">
        <v>1113</v>
      </c>
      <c r="D39" s="38" t="s">
        <v>1114</v>
      </c>
      <c r="E39" t="s">
        <v>1051</v>
      </c>
    </row>
    <row r="40" spans="1:5" ht="57.6" x14ac:dyDescent="0.3">
      <c r="A40" t="s">
        <v>147</v>
      </c>
      <c r="B40" s="37" t="s">
        <v>149</v>
      </c>
      <c r="C40" t="s">
        <v>1115</v>
      </c>
      <c r="D40" s="38" t="s">
        <v>1116</v>
      </c>
      <c r="E40" t="s">
        <v>1042</v>
      </c>
    </row>
    <row r="41" spans="1:5" ht="43.2" x14ac:dyDescent="0.3">
      <c r="A41" t="s">
        <v>156</v>
      </c>
      <c r="B41" s="37" t="s">
        <v>157</v>
      </c>
      <c r="C41" t="s">
        <v>1117</v>
      </c>
      <c r="D41" s="38" t="s">
        <v>1118</v>
      </c>
      <c r="E41" t="s">
        <v>1042</v>
      </c>
    </row>
    <row r="42" spans="1:5" ht="43.2" x14ac:dyDescent="0.3">
      <c r="A42" t="s">
        <v>156</v>
      </c>
      <c r="B42" s="37" t="s">
        <v>157</v>
      </c>
      <c r="C42" t="s">
        <v>1119</v>
      </c>
      <c r="D42" s="38" t="s">
        <v>1120</v>
      </c>
      <c r="E42" t="s">
        <v>1042</v>
      </c>
    </row>
    <row r="43" spans="1:5" ht="43.2" x14ac:dyDescent="0.3">
      <c r="A43" t="s">
        <v>156</v>
      </c>
      <c r="B43" s="37" t="s">
        <v>157</v>
      </c>
      <c r="C43" t="s">
        <v>1121</v>
      </c>
      <c r="D43" s="38" t="s">
        <v>1106</v>
      </c>
      <c r="E43" t="s">
        <v>1042</v>
      </c>
    </row>
    <row r="44" spans="1:5" ht="57.6" x14ac:dyDescent="0.3">
      <c r="A44" t="s">
        <v>164</v>
      </c>
      <c r="B44" s="37" t="s">
        <v>165</v>
      </c>
      <c r="C44" t="s">
        <v>1122</v>
      </c>
      <c r="D44" s="38" t="s">
        <v>1123</v>
      </c>
      <c r="E44" t="s">
        <v>1042</v>
      </c>
    </row>
    <row r="45" spans="1:5" ht="57.6" x14ac:dyDescent="0.3">
      <c r="A45" t="s">
        <v>164</v>
      </c>
      <c r="B45" s="37" t="s">
        <v>165</v>
      </c>
      <c r="C45" t="s">
        <v>1124</v>
      </c>
      <c r="D45" s="38" t="s">
        <v>1106</v>
      </c>
      <c r="E45" t="s">
        <v>1042</v>
      </c>
    </row>
    <row r="46" spans="1:5" ht="57.6" x14ac:dyDescent="0.3">
      <c r="A46" t="s">
        <v>164</v>
      </c>
      <c r="B46" s="37" t="s">
        <v>165</v>
      </c>
      <c r="C46" t="s">
        <v>1125</v>
      </c>
      <c r="D46" s="38" t="s">
        <v>1126</v>
      </c>
      <c r="E46" t="s">
        <v>1051</v>
      </c>
    </row>
    <row r="47" spans="1:5" ht="57.6" x14ac:dyDescent="0.3">
      <c r="A47" t="s">
        <v>172</v>
      </c>
      <c r="B47" s="37" t="s">
        <v>173</v>
      </c>
      <c r="C47" t="s">
        <v>1127</v>
      </c>
      <c r="D47" s="38" t="s">
        <v>1128</v>
      </c>
      <c r="E47" t="s">
        <v>1042</v>
      </c>
    </row>
    <row r="48" spans="1:5" ht="57.6" x14ac:dyDescent="0.3">
      <c r="A48" t="s">
        <v>172</v>
      </c>
      <c r="B48" s="37" t="s">
        <v>173</v>
      </c>
      <c r="C48" t="s">
        <v>1129</v>
      </c>
      <c r="D48" s="38" t="s">
        <v>1123</v>
      </c>
      <c r="E48" t="s">
        <v>1061</v>
      </c>
    </row>
    <row r="49" spans="1:5" ht="72" x14ac:dyDescent="0.3">
      <c r="A49" t="s">
        <v>180</v>
      </c>
      <c r="B49" s="37" t="s">
        <v>181</v>
      </c>
      <c r="C49" t="s">
        <v>1130</v>
      </c>
      <c r="D49" s="38" t="s">
        <v>1131</v>
      </c>
      <c r="E49" t="s">
        <v>1051</v>
      </c>
    </row>
    <row r="50" spans="1:5" ht="57.6" x14ac:dyDescent="0.3">
      <c r="A50" t="s">
        <v>180</v>
      </c>
      <c r="B50" s="37" t="s">
        <v>181</v>
      </c>
      <c r="C50" t="s">
        <v>1132</v>
      </c>
      <c r="D50" s="38" t="s">
        <v>1133</v>
      </c>
      <c r="E50" t="s">
        <v>1042</v>
      </c>
    </row>
    <row r="51" spans="1:5" ht="57.6" x14ac:dyDescent="0.3">
      <c r="A51" t="s">
        <v>180</v>
      </c>
      <c r="B51" s="37" t="s">
        <v>181</v>
      </c>
      <c r="C51" t="s">
        <v>1134</v>
      </c>
      <c r="D51" s="38" t="s">
        <v>1135</v>
      </c>
      <c r="E51" t="s">
        <v>1042</v>
      </c>
    </row>
    <row r="52" spans="1:5" ht="57.6" x14ac:dyDescent="0.3">
      <c r="A52" s="27" t="s">
        <v>180</v>
      </c>
      <c r="B52" s="37" t="s">
        <v>181</v>
      </c>
      <c r="C52" t="s">
        <v>1136</v>
      </c>
      <c r="D52" s="38" t="s">
        <v>1137</v>
      </c>
      <c r="E52" t="s">
        <v>1042</v>
      </c>
    </row>
    <row r="53" spans="1:5" ht="57.6" x14ac:dyDescent="0.3">
      <c r="A53" t="s">
        <v>187</v>
      </c>
      <c r="B53" s="37" t="s">
        <v>188</v>
      </c>
      <c r="C53" t="s">
        <v>1138</v>
      </c>
      <c r="D53" s="38" t="s">
        <v>1139</v>
      </c>
      <c r="E53" t="s">
        <v>1042</v>
      </c>
    </row>
    <row r="54" spans="1:5" ht="57.6" x14ac:dyDescent="0.3">
      <c r="A54" t="s">
        <v>187</v>
      </c>
      <c r="B54" s="37" t="s">
        <v>188</v>
      </c>
      <c r="C54" t="s">
        <v>1140</v>
      </c>
      <c r="D54" s="38" t="s">
        <v>1141</v>
      </c>
      <c r="E54" t="s">
        <v>1042</v>
      </c>
    </row>
    <row r="55" spans="1:5" ht="57.6" x14ac:dyDescent="0.3">
      <c r="A55" t="s">
        <v>187</v>
      </c>
      <c r="B55" s="37" t="s">
        <v>188</v>
      </c>
      <c r="C55" t="s">
        <v>1142</v>
      </c>
      <c r="D55" s="38" t="s">
        <v>1135</v>
      </c>
      <c r="E55" t="s">
        <v>1042</v>
      </c>
    </row>
    <row r="56" spans="1:5" ht="86.4" x14ac:dyDescent="0.3">
      <c r="A56" t="s">
        <v>187</v>
      </c>
      <c r="B56" s="37" t="s">
        <v>188</v>
      </c>
      <c r="C56" t="s">
        <v>1143</v>
      </c>
      <c r="D56" s="38" t="s">
        <v>1144</v>
      </c>
      <c r="E56" t="s">
        <v>1061</v>
      </c>
    </row>
    <row r="57" spans="1:5" ht="57.6" x14ac:dyDescent="0.3">
      <c r="A57" t="s">
        <v>195</v>
      </c>
      <c r="B57" s="37" t="s">
        <v>196</v>
      </c>
      <c r="C57" t="s">
        <v>1145</v>
      </c>
      <c r="D57" s="38" t="s">
        <v>1123</v>
      </c>
      <c r="E57" t="s">
        <v>1061</v>
      </c>
    </row>
    <row r="58" spans="1:5" ht="57.6" x14ac:dyDescent="0.3">
      <c r="A58" t="s">
        <v>195</v>
      </c>
      <c r="B58" s="37" t="s">
        <v>196</v>
      </c>
      <c r="C58" t="s">
        <v>1146</v>
      </c>
      <c r="D58" s="38" t="s">
        <v>1126</v>
      </c>
      <c r="E58" t="s">
        <v>1042</v>
      </c>
    </row>
    <row r="59" spans="1:5" ht="57.6" x14ac:dyDescent="0.3">
      <c r="A59" t="s">
        <v>195</v>
      </c>
      <c r="B59" s="37" t="s">
        <v>196</v>
      </c>
      <c r="C59" t="s">
        <v>1147</v>
      </c>
      <c r="D59" s="38" t="s">
        <v>1106</v>
      </c>
      <c r="E59" t="s">
        <v>1042</v>
      </c>
    </row>
    <row r="60" spans="1:5" ht="57.6" x14ac:dyDescent="0.3">
      <c r="A60" t="s">
        <v>195</v>
      </c>
      <c r="B60" s="37" t="s">
        <v>196</v>
      </c>
      <c r="C60" t="s">
        <v>1148</v>
      </c>
      <c r="D60" s="38" t="s">
        <v>1097</v>
      </c>
      <c r="E60" t="s">
        <v>1042</v>
      </c>
    </row>
    <row r="61" spans="1:5" ht="57.6" x14ac:dyDescent="0.3">
      <c r="A61" t="s">
        <v>195</v>
      </c>
      <c r="B61" s="37" t="s">
        <v>196</v>
      </c>
      <c r="C61" t="s">
        <v>1149</v>
      </c>
      <c r="D61" s="38" t="s">
        <v>1150</v>
      </c>
      <c r="E61" t="s">
        <v>1042</v>
      </c>
    </row>
    <row r="62" spans="1:5" ht="57.6" x14ac:dyDescent="0.3">
      <c r="A62" t="s">
        <v>204</v>
      </c>
      <c r="B62" s="37" t="s">
        <v>206</v>
      </c>
      <c r="C62" t="s">
        <v>1151</v>
      </c>
      <c r="D62" s="38" t="s">
        <v>1152</v>
      </c>
      <c r="E62" t="s">
        <v>1042</v>
      </c>
    </row>
    <row r="63" spans="1:5" ht="57.6" x14ac:dyDescent="0.3">
      <c r="A63" t="s">
        <v>204</v>
      </c>
      <c r="B63" s="37" t="s">
        <v>206</v>
      </c>
      <c r="C63" t="s">
        <v>1153</v>
      </c>
      <c r="D63" s="38" t="s">
        <v>1154</v>
      </c>
      <c r="E63" t="s">
        <v>1042</v>
      </c>
    </row>
    <row r="64" spans="1:5" ht="57.6" x14ac:dyDescent="0.3">
      <c r="A64" t="s">
        <v>204</v>
      </c>
      <c r="B64" s="37" t="s">
        <v>206</v>
      </c>
      <c r="C64" t="s">
        <v>1155</v>
      </c>
      <c r="D64" s="38" t="s">
        <v>1156</v>
      </c>
      <c r="E64" t="s">
        <v>1051</v>
      </c>
    </row>
    <row r="65" spans="1:5" ht="57.6" x14ac:dyDescent="0.3">
      <c r="A65" t="s">
        <v>204</v>
      </c>
      <c r="B65" s="37" t="s">
        <v>206</v>
      </c>
      <c r="C65" t="s">
        <v>1157</v>
      </c>
      <c r="D65" s="38" t="s">
        <v>1158</v>
      </c>
      <c r="E65" t="s">
        <v>1042</v>
      </c>
    </row>
    <row r="66" spans="1:5" ht="57.6" x14ac:dyDescent="0.3">
      <c r="A66" t="s">
        <v>204</v>
      </c>
      <c r="B66" s="37" t="s">
        <v>206</v>
      </c>
      <c r="C66" t="s">
        <v>1159</v>
      </c>
      <c r="D66" s="38" t="s">
        <v>1160</v>
      </c>
      <c r="E66" t="s">
        <v>1042</v>
      </c>
    </row>
    <row r="67" spans="1:5" ht="57.6" x14ac:dyDescent="0.3">
      <c r="A67" t="s">
        <v>204</v>
      </c>
      <c r="B67" s="37" t="s">
        <v>206</v>
      </c>
      <c r="C67" t="s">
        <v>1161</v>
      </c>
      <c r="D67" s="38" t="s">
        <v>1162</v>
      </c>
      <c r="E67" t="s">
        <v>1042</v>
      </c>
    </row>
    <row r="68" spans="1:5" ht="57.6" x14ac:dyDescent="0.3">
      <c r="A68" t="s">
        <v>204</v>
      </c>
      <c r="B68" s="37" t="s">
        <v>206</v>
      </c>
      <c r="C68" t="s">
        <v>1163</v>
      </c>
      <c r="D68" s="38" t="s">
        <v>1164</v>
      </c>
      <c r="E68" t="s">
        <v>1042</v>
      </c>
    </row>
    <row r="69" spans="1:5" ht="43.2" x14ac:dyDescent="0.3">
      <c r="A69" t="s">
        <v>213</v>
      </c>
      <c r="B69" s="37" t="s">
        <v>214</v>
      </c>
      <c r="C69" t="s">
        <v>1165</v>
      </c>
      <c r="D69" s="38" t="s">
        <v>1166</v>
      </c>
      <c r="E69" t="s">
        <v>1042</v>
      </c>
    </row>
    <row r="70" spans="1:5" ht="43.2" x14ac:dyDescent="0.3">
      <c r="A70" t="s">
        <v>213</v>
      </c>
      <c r="B70" s="37" t="s">
        <v>214</v>
      </c>
      <c r="C70" t="s">
        <v>1167</v>
      </c>
      <c r="D70" s="38" t="s">
        <v>1168</v>
      </c>
      <c r="E70" t="s">
        <v>1051</v>
      </c>
    </row>
    <row r="71" spans="1:5" ht="43.2" x14ac:dyDescent="0.3">
      <c r="A71" t="s">
        <v>213</v>
      </c>
      <c r="B71" s="37" t="s">
        <v>214</v>
      </c>
      <c r="C71" t="s">
        <v>1169</v>
      </c>
      <c r="D71" s="38" t="s">
        <v>1106</v>
      </c>
      <c r="E71" t="s">
        <v>1042</v>
      </c>
    </row>
    <row r="72" spans="1:5" ht="43.2" x14ac:dyDescent="0.3">
      <c r="A72" t="s">
        <v>213</v>
      </c>
      <c r="B72" s="37" t="s">
        <v>214</v>
      </c>
      <c r="C72" t="s">
        <v>1170</v>
      </c>
      <c r="D72" s="38" t="s">
        <v>1123</v>
      </c>
      <c r="E72" t="s">
        <v>1042</v>
      </c>
    </row>
    <row r="73" spans="1:5" ht="57.6" x14ac:dyDescent="0.3">
      <c r="A73" t="s">
        <v>221</v>
      </c>
      <c r="B73" s="37" t="s">
        <v>222</v>
      </c>
      <c r="C73" t="s">
        <v>1171</v>
      </c>
      <c r="D73" s="38" t="s">
        <v>1172</v>
      </c>
      <c r="E73" t="s">
        <v>1061</v>
      </c>
    </row>
    <row r="74" spans="1:5" ht="57.6" x14ac:dyDescent="0.3">
      <c r="A74" t="s">
        <v>221</v>
      </c>
      <c r="B74" s="37" t="s">
        <v>222</v>
      </c>
      <c r="C74" t="s">
        <v>1173</v>
      </c>
      <c r="D74" s="38" t="s">
        <v>1110</v>
      </c>
      <c r="E74" t="s">
        <v>1042</v>
      </c>
    </row>
    <row r="75" spans="1:5" ht="57.6" x14ac:dyDescent="0.3">
      <c r="A75" t="s">
        <v>221</v>
      </c>
      <c r="B75" s="37" t="s">
        <v>222</v>
      </c>
      <c r="C75" t="s">
        <v>1174</v>
      </c>
      <c r="D75" s="38" t="s">
        <v>1175</v>
      </c>
      <c r="E75" t="s">
        <v>1042</v>
      </c>
    </row>
    <row r="76" spans="1:5" ht="57.6" x14ac:dyDescent="0.3">
      <c r="A76" t="s">
        <v>221</v>
      </c>
      <c r="B76" s="37" t="s">
        <v>222</v>
      </c>
      <c r="C76" t="s">
        <v>1176</v>
      </c>
      <c r="D76" s="38" t="s">
        <v>1177</v>
      </c>
      <c r="E76" t="s">
        <v>1042</v>
      </c>
    </row>
    <row r="77" spans="1:5" ht="57.6" x14ac:dyDescent="0.3">
      <c r="A77" t="s">
        <v>230</v>
      </c>
      <c r="B77" s="37" t="s">
        <v>231</v>
      </c>
      <c r="C77" t="s">
        <v>1178</v>
      </c>
      <c r="D77" s="38" t="s">
        <v>1179</v>
      </c>
      <c r="E77" t="s">
        <v>1042</v>
      </c>
    </row>
    <row r="78" spans="1:5" ht="100.8" x14ac:dyDescent="0.3">
      <c r="A78" t="s">
        <v>230</v>
      </c>
      <c r="B78" s="37" t="s">
        <v>231</v>
      </c>
      <c r="C78" t="s">
        <v>1180</v>
      </c>
      <c r="D78" s="38" t="s">
        <v>1181</v>
      </c>
      <c r="E78" t="s">
        <v>1042</v>
      </c>
    </row>
    <row r="79" spans="1:5" ht="57.6" x14ac:dyDescent="0.3">
      <c r="A79" t="s">
        <v>230</v>
      </c>
      <c r="B79" s="37" t="s">
        <v>231</v>
      </c>
      <c r="C79" t="s">
        <v>1182</v>
      </c>
      <c r="D79" s="38" t="s">
        <v>1183</v>
      </c>
      <c r="E79" t="s">
        <v>1042</v>
      </c>
    </row>
    <row r="80" spans="1:5" ht="57.6" x14ac:dyDescent="0.3">
      <c r="A80" t="s">
        <v>230</v>
      </c>
      <c r="B80" s="37" t="s">
        <v>231</v>
      </c>
      <c r="C80" t="s">
        <v>1184</v>
      </c>
      <c r="D80" s="38" t="s">
        <v>1185</v>
      </c>
      <c r="E80" t="s">
        <v>1061</v>
      </c>
    </row>
    <row r="81" spans="1:5" ht="57.6" x14ac:dyDescent="0.3">
      <c r="A81" t="s">
        <v>230</v>
      </c>
      <c r="B81" s="37" t="s">
        <v>231</v>
      </c>
      <c r="C81" t="s">
        <v>1186</v>
      </c>
      <c r="D81" s="38" t="s">
        <v>1187</v>
      </c>
      <c r="E81" t="s">
        <v>1042</v>
      </c>
    </row>
    <row r="82" spans="1:5" ht="57.6" x14ac:dyDescent="0.3">
      <c r="A82" t="s">
        <v>230</v>
      </c>
      <c r="B82" s="37" t="s">
        <v>231</v>
      </c>
      <c r="C82" t="s">
        <v>1188</v>
      </c>
      <c r="D82" s="38" t="s">
        <v>1189</v>
      </c>
      <c r="E82" t="s">
        <v>1042</v>
      </c>
    </row>
    <row r="83" spans="1:5" ht="57.6" x14ac:dyDescent="0.3">
      <c r="A83" t="s">
        <v>230</v>
      </c>
      <c r="B83" s="37" t="s">
        <v>231</v>
      </c>
      <c r="C83" t="s">
        <v>1190</v>
      </c>
      <c r="D83" s="38" t="s">
        <v>1191</v>
      </c>
      <c r="E83" t="s">
        <v>1042</v>
      </c>
    </row>
    <row r="84" spans="1:5" ht="100.8" x14ac:dyDescent="0.3">
      <c r="A84" t="s">
        <v>237</v>
      </c>
      <c r="B84" s="37" t="s">
        <v>238</v>
      </c>
      <c r="C84" t="s">
        <v>1192</v>
      </c>
      <c r="D84" s="38" t="s">
        <v>1193</v>
      </c>
      <c r="E84" t="s">
        <v>1042</v>
      </c>
    </row>
    <row r="85" spans="1:5" ht="57.6" x14ac:dyDescent="0.3">
      <c r="A85" t="s">
        <v>237</v>
      </c>
      <c r="B85" s="37" t="s">
        <v>238</v>
      </c>
      <c r="C85" t="s">
        <v>1194</v>
      </c>
      <c r="D85" s="38" t="s">
        <v>1195</v>
      </c>
      <c r="E85" t="s">
        <v>1061</v>
      </c>
    </row>
    <row r="86" spans="1:5" ht="72" x14ac:dyDescent="0.3">
      <c r="A86" t="s">
        <v>237</v>
      </c>
      <c r="B86" s="37" t="s">
        <v>238</v>
      </c>
      <c r="C86" t="s">
        <v>1196</v>
      </c>
      <c r="D86" s="38" t="s">
        <v>1197</v>
      </c>
      <c r="E86" t="s">
        <v>1042</v>
      </c>
    </row>
    <row r="87" spans="1:5" ht="57.6" x14ac:dyDescent="0.3">
      <c r="A87" t="s">
        <v>237</v>
      </c>
      <c r="B87" s="37" t="s">
        <v>238</v>
      </c>
      <c r="C87" t="s">
        <v>1198</v>
      </c>
      <c r="D87" s="38" t="s">
        <v>1199</v>
      </c>
      <c r="E87" t="s">
        <v>1042</v>
      </c>
    </row>
    <row r="88" spans="1:5" ht="57.6" x14ac:dyDescent="0.3">
      <c r="A88" t="s">
        <v>237</v>
      </c>
      <c r="B88" s="37" t="s">
        <v>238</v>
      </c>
      <c r="C88" t="s">
        <v>1200</v>
      </c>
      <c r="D88" s="38" t="s">
        <v>1201</v>
      </c>
      <c r="E88" t="s">
        <v>1042</v>
      </c>
    </row>
    <row r="89" spans="1:5" ht="43.2" x14ac:dyDescent="0.3">
      <c r="A89" t="s">
        <v>244</v>
      </c>
      <c r="B89" s="37" t="s">
        <v>245</v>
      </c>
      <c r="C89" t="s">
        <v>1202</v>
      </c>
      <c r="D89" s="38" t="s">
        <v>1203</v>
      </c>
      <c r="E89" t="s">
        <v>1042</v>
      </c>
    </row>
    <row r="90" spans="1:5" ht="43.2" x14ac:dyDescent="0.3">
      <c r="A90" t="s">
        <v>244</v>
      </c>
      <c r="B90" s="37" t="s">
        <v>245</v>
      </c>
      <c r="C90" t="s">
        <v>1204</v>
      </c>
      <c r="D90" s="38" t="s">
        <v>1205</v>
      </c>
      <c r="E90" t="s">
        <v>1042</v>
      </c>
    </row>
    <row r="91" spans="1:5" ht="43.2" x14ac:dyDescent="0.3">
      <c r="A91" t="s">
        <v>244</v>
      </c>
      <c r="B91" s="37" t="s">
        <v>245</v>
      </c>
      <c r="C91" t="s">
        <v>1206</v>
      </c>
      <c r="D91" s="38" t="s">
        <v>1207</v>
      </c>
      <c r="E91" t="s">
        <v>1042</v>
      </c>
    </row>
    <row r="92" spans="1:5" ht="43.2" x14ac:dyDescent="0.3">
      <c r="A92" t="s">
        <v>244</v>
      </c>
      <c r="B92" s="37" t="s">
        <v>245</v>
      </c>
      <c r="C92" t="s">
        <v>1208</v>
      </c>
      <c r="D92" s="38" t="s">
        <v>1209</v>
      </c>
      <c r="E92" t="s">
        <v>1042</v>
      </c>
    </row>
    <row r="93" spans="1:5" ht="72" x14ac:dyDescent="0.3">
      <c r="A93" t="s">
        <v>252</v>
      </c>
      <c r="B93" s="37" t="s">
        <v>253</v>
      </c>
      <c r="C93" t="s">
        <v>1210</v>
      </c>
      <c r="D93" s="38" t="s">
        <v>1211</v>
      </c>
      <c r="E93" t="s">
        <v>1061</v>
      </c>
    </row>
    <row r="94" spans="1:5" ht="72" x14ac:dyDescent="0.3">
      <c r="A94" t="s">
        <v>252</v>
      </c>
      <c r="B94" s="37" t="s">
        <v>253</v>
      </c>
      <c r="C94" t="s">
        <v>1212</v>
      </c>
      <c r="D94" s="38" t="s">
        <v>1213</v>
      </c>
      <c r="E94" t="s">
        <v>1042</v>
      </c>
    </row>
    <row r="95" spans="1:5" ht="72" x14ac:dyDescent="0.3">
      <c r="A95" t="s">
        <v>252</v>
      </c>
      <c r="B95" s="37" t="s">
        <v>253</v>
      </c>
      <c r="C95" t="s">
        <v>1214</v>
      </c>
      <c r="D95" s="38" t="s">
        <v>1215</v>
      </c>
      <c r="E95" t="s">
        <v>1042</v>
      </c>
    </row>
    <row r="96" spans="1:5" ht="72" x14ac:dyDescent="0.3">
      <c r="A96" t="s">
        <v>252</v>
      </c>
      <c r="B96" s="37" t="s">
        <v>253</v>
      </c>
      <c r="C96" t="s">
        <v>1216</v>
      </c>
      <c r="D96" s="38" t="s">
        <v>1217</v>
      </c>
      <c r="E96" t="s">
        <v>1042</v>
      </c>
    </row>
    <row r="97" spans="1:5" ht="43.2" x14ac:dyDescent="0.3">
      <c r="A97" t="s">
        <v>261</v>
      </c>
      <c r="B97" s="37" t="s">
        <v>262</v>
      </c>
      <c r="C97" t="s">
        <v>1218</v>
      </c>
      <c r="D97" s="38" t="s">
        <v>1219</v>
      </c>
      <c r="E97" t="s">
        <v>1042</v>
      </c>
    </row>
    <row r="98" spans="1:5" ht="43.2" x14ac:dyDescent="0.3">
      <c r="A98" t="s">
        <v>261</v>
      </c>
      <c r="B98" s="37" t="s">
        <v>262</v>
      </c>
      <c r="C98" t="s">
        <v>1220</v>
      </c>
      <c r="D98" s="38" t="s">
        <v>1221</v>
      </c>
      <c r="E98" t="s">
        <v>1051</v>
      </c>
    </row>
    <row r="99" spans="1:5" ht="43.2" x14ac:dyDescent="0.3">
      <c r="A99" t="s">
        <v>261</v>
      </c>
      <c r="B99" s="37" t="s">
        <v>262</v>
      </c>
      <c r="C99" t="s">
        <v>1222</v>
      </c>
      <c r="D99" s="38" t="s">
        <v>1223</v>
      </c>
      <c r="E99" t="s">
        <v>1042</v>
      </c>
    </row>
    <row r="100" spans="1:5" ht="28.8" x14ac:dyDescent="0.3">
      <c r="A100" t="s">
        <v>270</v>
      </c>
      <c r="B100" s="37" t="s">
        <v>272</v>
      </c>
      <c r="C100" t="s">
        <v>1224</v>
      </c>
      <c r="D100" s="38" t="s">
        <v>1203</v>
      </c>
      <c r="E100" t="s">
        <v>1042</v>
      </c>
    </row>
    <row r="101" spans="1:5" ht="28.8" x14ac:dyDescent="0.3">
      <c r="A101" t="s">
        <v>270</v>
      </c>
      <c r="B101" s="37" t="s">
        <v>272</v>
      </c>
      <c r="C101" t="s">
        <v>1225</v>
      </c>
      <c r="D101" s="38" t="s">
        <v>1226</v>
      </c>
      <c r="E101" t="s">
        <v>1051</v>
      </c>
    </row>
    <row r="102" spans="1:5" ht="28.8" x14ac:dyDescent="0.3">
      <c r="A102" t="s">
        <v>270</v>
      </c>
      <c r="B102" s="37" t="s">
        <v>272</v>
      </c>
      <c r="C102" t="s">
        <v>1227</v>
      </c>
      <c r="D102" s="38" t="s">
        <v>1228</v>
      </c>
      <c r="E102" t="s">
        <v>1042</v>
      </c>
    </row>
    <row r="103" spans="1:5" ht="28.8" x14ac:dyDescent="0.3">
      <c r="A103" t="s">
        <v>279</v>
      </c>
      <c r="B103" s="37" t="s">
        <v>281</v>
      </c>
      <c r="C103" t="s">
        <v>1229</v>
      </c>
      <c r="D103" s="38" t="s">
        <v>1230</v>
      </c>
      <c r="E103" t="s">
        <v>1051</v>
      </c>
    </row>
    <row r="104" spans="1:5" ht="28.8" x14ac:dyDescent="0.3">
      <c r="A104" t="s">
        <v>279</v>
      </c>
      <c r="B104" s="37" t="s">
        <v>281</v>
      </c>
      <c r="C104" t="s">
        <v>1231</v>
      </c>
      <c r="D104" s="38" t="s">
        <v>1232</v>
      </c>
      <c r="E104" t="s">
        <v>1042</v>
      </c>
    </row>
    <row r="105" spans="1:5" ht="28.8" x14ac:dyDescent="0.3">
      <c r="A105" t="s">
        <v>279</v>
      </c>
      <c r="B105" s="37" t="s">
        <v>281</v>
      </c>
      <c r="C105" t="s">
        <v>1233</v>
      </c>
      <c r="D105" s="38" t="s">
        <v>1234</v>
      </c>
      <c r="E105" t="s">
        <v>1042</v>
      </c>
    </row>
    <row r="106" spans="1:5" ht="57.6" x14ac:dyDescent="0.3">
      <c r="A106" t="s">
        <v>287</v>
      </c>
      <c r="B106" s="37" t="s">
        <v>289</v>
      </c>
      <c r="C106" t="s">
        <v>1235</v>
      </c>
      <c r="D106" s="38" t="s">
        <v>1203</v>
      </c>
      <c r="E106" t="s">
        <v>1042</v>
      </c>
    </row>
    <row r="107" spans="1:5" ht="57.6" x14ac:dyDescent="0.3">
      <c r="A107" t="s">
        <v>287</v>
      </c>
      <c r="B107" s="37" t="s">
        <v>289</v>
      </c>
      <c r="C107" t="s">
        <v>1236</v>
      </c>
      <c r="D107" s="38" t="s">
        <v>1237</v>
      </c>
      <c r="E107" t="s">
        <v>1042</v>
      </c>
    </row>
    <row r="108" spans="1:5" ht="57.6" x14ac:dyDescent="0.3">
      <c r="A108" t="s">
        <v>287</v>
      </c>
      <c r="B108" s="37" t="s">
        <v>289</v>
      </c>
      <c r="C108" t="s">
        <v>1238</v>
      </c>
      <c r="D108" s="38" t="s">
        <v>1239</v>
      </c>
      <c r="E108" t="s">
        <v>1061</v>
      </c>
    </row>
    <row r="109" spans="1:5" ht="57.6" x14ac:dyDescent="0.3">
      <c r="A109" t="s">
        <v>287</v>
      </c>
      <c r="B109" s="37" t="s">
        <v>289</v>
      </c>
      <c r="C109" t="s">
        <v>1240</v>
      </c>
      <c r="D109" s="38" t="s">
        <v>1241</v>
      </c>
      <c r="E109" t="s">
        <v>1042</v>
      </c>
    </row>
    <row r="110" spans="1:5" ht="28.8" x14ac:dyDescent="0.3">
      <c r="A110" t="s">
        <v>296</v>
      </c>
      <c r="B110" s="37" t="s">
        <v>298</v>
      </c>
      <c r="C110" t="s">
        <v>1242</v>
      </c>
      <c r="D110" s="38" t="s">
        <v>1219</v>
      </c>
      <c r="E110" t="s">
        <v>1061</v>
      </c>
    </row>
    <row r="111" spans="1:5" ht="28.8" x14ac:dyDescent="0.3">
      <c r="A111" t="s">
        <v>296</v>
      </c>
      <c r="B111" s="37" t="s">
        <v>298</v>
      </c>
      <c r="C111" t="s">
        <v>1243</v>
      </c>
      <c r="D111" s="38" t="s">
        <v>1244</v>
      </c>
      <c r="E111" t="s">
        <v>1042</v>
      </c>
    </row>
    <row r="112" spans="1:5" ht="28.8" x14ac:dyDescent="0.3">
      <c r="A112" t="s">
        <v>296</v>
      </c>
      <c r="B112" s="37" t="s">
        <v>298</v>
      </c>
      <c r="C112" t="s">
        <v>1245</v>
      </c>
      <c r="D112" s="38" t="s">
        <v>1246</v>
      </c>
      <c r="E112" t="s">
        <v>1042</v>
      </c>
    </row>
    <row r="113" spans="1:5" ht="72" x14ac:dyDescent="0.3">
      <c r="A113" t="s">
        <v>305</v>
      </c>
      <c r="B113" s="37" t="s">
        <v>307</v>
      </c>
      <c r="C113" t="s">
        <v>1247</v>
      </c>
      <c r="D113" s="38" t="s">
        <v>1248</v>
      </c>
      <c r="E113" t="s">
        <v>1042</v>
      </c>
    </row>
    <row r="114" spans="1:5" ht="72" x14ac:dyDescent="0.3">
      <c r="A114" t="s">
        <v>305</v>
      </c>
      <c r="B114" s="37" t="s">
        <v>307</v>
      </c>
      <c r="C114" t="s">
        <v>1249</v>
      </c>
      <c r="D114" s="38" t="s">
        <v>1250</v>
      </c>
      <c r="E114" t="s">
        <v>1042</v>
      </c>
    </row>
    <row r="115" spans="1:5" ht="72" x14ac:dyDescent="0.3">
      <c r="A115" t="s">
        <v>305</v>
      </c>
      <c r="B115" s="37" t="s">
        <v>307</v>
      </c>
      <c r="C115" t="s">
        <v>1251</v>
      </c>
      <c r="D115" s="38" t="s">
        <v>1252</v>
      </c>
      <c r="E115" t="s">
        <v>1061</v>
      </c>
    </row>
    <row r="116" spans="1:5" ht="57.6" x14ac:dyDescent="0.3">
      <c r="A116" t="s">
        <v>316</v>
      </c>
      <c r="B116" s="37" t="s">
        <v>318</v>
      </c>
      <c r="C116" t="s">
        <v>1253</v>
      </c>
      <c r="D116" s="38" t="s">
        <v>1203</v>
      </c>
      <c r="E116" t="s">
        <v>1042</v>
      </c>
    </row>
    <row r="117" spans="1:5" ht="57.6" x14ac:dyDescent="0.3">
      <c r="A117" t="s">
        <v>316</v>
      </c>
      <c r="B117" s="37" t="s">
        <v>318</v>
      </c>
      <c r="C117" t="s">
        <v>1254</v>
      </c>
      <c r="D117" s="38" t="s">
        <v>1255</v>
      </c>
      <c r="E117" t="s">
        <v>1042</v>
      </c>
    </row>
    <row r="118" spans="1:5" ht="57.6" x14ac:dyDescent="0.3">
      <c r="A118" t="s">
        <v>316</v>
      </c>
      <c r="B118" s="37" t="s">
        <v>318</v>
      </c>
      <c r="C118" t="s">
        <v>1256</v>
      </c>
      <c r="D118" s="38" t="s">
        <v>1239</v>
      </c>
      <c r="E118" t="s">
        <v>1042</v>
      </c>
    </row>
    <row r="119" spans="1:5" ht="57.6" x14ac:dyDescent="0.3">
      <c r="A119" t="s">
        <v>316</v>
      </c>
      <c r="B119" s="37" t="s">
        <v>318</v>
      </c>
      <c r="C119" t="s">
        <v>1257</v>
      </c>
      <c r="D119" s="38" t="s">
        <v>1258</v>
      </c>
      <c r="E119" t="s">
        <v>1061</v>
      </c>
    </row>
    <row r="120" spans="1:5" ht="57.6" x14ac:dyDescent="0.3">
      <c r="A120" t="s">
        <v>324</v>
      </c>
      <c r="B120" s="37" t="s">
        <v>326</v>
      </c>
      <c r="C120" t="s">
        <v>1259</v>
      </c>
      <c r="D120" s="38" t="s">
        <v>1260</v>
      </c>
      <c r="E120" t="s">
        <v>1042</v>
      </c>
    </row>
    <row r="121" spans="1:5" ht="57.6" x14ac:dyDescent="0.3">
      <c r="A121" t="s">
        <v>324</v>
      </c>
      <c r="B121" s="37" t="s">
        <v>326</v>
      </c>
      <c r="C121" t="s">
        <v>1261</v>
      </c>
      <c r="D121" s="38" t="s">
        <v>1262</v>
      </c>
      <c r="E121" t="s">
        <v>1042</v>
      </c>
    </row>
    <row r="122" spans="1:5" ht="57.6" x14ac:dyDescent="0.3">
      <c r="A122" t="s">
        <v>324</v>
      </c>
      <c r="B122" s="37" t="s">
        <v>326</v>
      </c>
      <c r="C122" t="s">
        <v>1263</v>
      </c>
      <c r="D122" s="38" t="s">
        <v>1264</v>
      </c>
      <c r="E122" t="s">
        <v>1051</v>
      </c>
    </row>
    <row r="123" spans="1:5" ht="43.2" x14ac:dyDescent="0.3">
      <c r="A123" t="s">
        <v>333</v>
      </c>
      <c r="B123" s="37" t="s">
        <v>335</v>
      </c>
      <c r="C123" t="s">
        <v>1265</v>
      </c>
      <c r="D123" s="38" t="s">
        <v>1266</v>
      </c>
      <c r="E123" t="s">
        <v>1042</v>
      </c>
    </row>
    <row r="124" spans="1:5" ht="57.6" x14ac:dyDescent="0.3">
      <c r="A124" t="s">
        <v>341</v>
      </c>
      <c r="B124" s="37" t="s">
        <v>342</v>
      </c>
      <c r="C124" t="s">
        <v>1267</v>
      </c>
      <c r="D124" s="38" t="s">
        <v>1268</v>
      </c>
      <c r="E124" t="s">
        <v>1042</v>
      </c>
    </row>
    <row r="125" spans="1:5" ht="57.6" x14ac:dyDescent="0.3">
      <c r="A125" t="s">
        <v>341</v>
      </c>
      <c r="B125" s="37" t="s">
        <v>342</v>
      </c>
      <c r="C125" t="s">
        <v>1269</v>
      </c>
      <c r="D125" s="38" t="s">
        <v>1135</v>
      </c>
      <c r="E125" t="s">
        <v>1061</v>
      </c>
    </row>
    <row r="126" spans="1:5" ht="57.6" x14ac:dyDescent="0.3">
      <c r="A126" t="s">
        <v>341</v>
      </c>
      <c r="B126" s="37" t="s">
        <v>342</v>
      </c>
      <c r="C126" t="s">
        <v>1270</v>
      </c>
      <c r="D126" s="38" t="s">
        <v>1271</v>
      </c>
      <c r="E126" t="s">
        <v>1042</v>
      </c>
    </row>
    <row r="127" spans="1:5" ht="57.6" x14ac:dyDescent="0.3">
      <c r="A127" t="s">
        <v>341</v>
      </c>
      <c r="B127" s="37" t="s">
        <v>342</v>
      </c>
      <c r="C127" t="s">
        <v>1272</v>
      </c>
      <c r="D127" s="38" t="s">
        <v>1273</v>
      </c>
      <c r="E127" t="s">
        <v>1042</v>
      </c>
    </row>
    <row r="128" spans="1:5" ht="57.6" x14ac:dyDescent="0.3">
      <c r="A128" t="s">
        <v>341</v>
      </c>
      <c r="B128" s="37" t="s">
        <v>342</v>
      </c>
      <c r="C128" t="s">
        <v>1274</v>
      </c>
      <c r="D128" s="38" t="s">
        <v>1275</v>
      </c>
      <c r="E128" t="s">
        <v>1042</v>
      </c>
    </row>
    <row r="129" spans="1:5" ht="72" x14ac:dyDescent="0.3">
      <c r="A129" t="s">
        <v>349</v>
      </c>
      <c r="B129" s="37" t="s">
        <v>351</v>
      </c>
      <c r="C129" t="s">
        <v>1276</v>
      </c>
      <c r="D129" s="38" t="s">
        <v>1252</v>
      </c>
      <c r="E129" t="s">
        <v>1061</v>
      </c>
    </row>
    <row r="130" spans="1:5" ht="72" x14ac:dyDescent="0.3">
      <c r="A130" t="s">
        <v>349</v>
      </c>
      <c r="B130" s="37" t="s">
        <v>351</v>
      </c>
      <c r="C130" t="s">
        <v>1277</v>
      </c>
      <c r="D130" s="38" t="s">
        <v>1278</v>
      </c>
      <c r="E130" t="s">
        <v>1042</v>
      </c>
    </row>
    <row r="131" spans="1:5" ht="43.2" x14ac:dyDescent="0.3">
      <c r="A131" t="s">
        <v>357</v>
      </c>
      <c r="B131" s="37" t="s">
        <v>359</v>
      </c>
      <c r="C131" t="s">
        <v>1279</v>
      </c>
      <c r="D131" s="38" t="s">
        <v>1280</v>
      </c>
      <c r="E131" t="s">
        <v>1061</v>
      </c>
    </row>
    <row r="132" spans="1:5" ht="43.2" x14ac:dyDescent="0.3">
      <c r="A132" t="s">
        <v>365</v>
      </c>
      <c r="B132" s="37" t="s">
        <v>367</v>
      </c>
      <c r="C132" t="s">
        <v>1281</v>
      </c>
      <c r="D132" s="38" t="s">
        <v>1282</v>
      </c>
      <c r="E132" t="s">
        <v>1061</v>
      </c>
    </row>
    <row r="133" spans="1:5" ht="86.4" x14ac:dyDescent="0.3">
      <c r="A133" t="s">
        <v>372</v>
      </c>
      <c r="B133" s="37" t="s">
        <v>373</v>
      </c>
      <c r="C133" t="s">
        <v>1283</v>
      </c>
      <c r="D133" s="38" t="s">
        <v>1278</v>
      </c>
      <c r="E133" t="s">
        <v>1061</v>
      </c>
    </row>
    <row r="134" spans="1:5" ht="86.4" x14ac:dyDescent="0.3">
      <c r="A134" t="s">
        <v>372</v>
      </c>
      <c r="B134" s="37" t="s">
        <v>373</v>
      </c>
      <c r="C134" t="s">
        <v>1284</v>
      </c>
      <c r="D134" s="38" t="s">
        <v>1285</v>
      </c>
      <c r="E134" t="s">
        <v>1042</v>
      </c>
    </row>
    <row r="135" spans="1:5" ht="86.4" x14ac:dyDescent="0.3">
      <c r="A135" t="s">
        <v>372</v>
      </c>
      <c r="B135" s="37" t="s">
        <v>373</v>
      </c>
      <c r="C135" t="s">
        <v>1286</v>
      </c>
      <c r="D135" s="38" t="s">
        <v>1287</v>
      </c>
      <c r="E135" t="s">
        <v>1042</v>
      </c>
    </row>
    <row r="136" spans="1:5" ht="86.4" x14ac:dyDescent="0.3">
      <c r="A136" t="s">
        <v>372</v>
      </c>
      <c r="B136" s="37" t="s">
        <v>373</v>
      </c>
      <c r="C136" t="s">
        <v>1288</v>
      </c>
      <c r="D136" s="38" t="s">
        <v>1289</v>
      </c>
      <c r="E136" t="s">
        <v>1042</v>
      </c>
    </row>
    <row r="137" spans="1:5" ht="86.4" x14ac:dyDescent="0.3">
      <c r="A137" t="s">
        <v>372</v>
      </c>
      <c r="B137" s="37" t="s">
        <v>373</v>
      </c>
      <c r="C137" t="s">
        <v>1290</v>
      </c>
      <c r="D137" s="38" t="s">
        <v>1291</v>
      </c>
      <c r="E137" t="s">
        <v>1042</v>
      </c>
    </row>
    <row r="138" spans="1:5" ht="43.2" x14ac:dyDescent="0.3">
      <c r="A138" t="s">
        <v>381</v>
      </c>
      <c r="B138" s="37" t="s">
        <v>383</v>
      </c>
      <c r="C138" t="s">
        <v>1292</v>
      </c>
      <c r="D138" s="38" t="s">
        <v>1293</v>
      </c>
      <c r="E138" t="s">
        <v>1061</v>
      </c>
    </row>
    <row r="139" spans="1:5" ht="43.2" x14ac:dyDescent="0.3">
      <c r="A139" t="s">
        <v>390</v>
      </c>
      <c r="B139" s="37" t="s">
        <v>392</v>
      </c>
      <c r="C139" t="s">
        <v>1294</v>
      </c>
      <c r="D139" s="38" t="s">
        <v>1293</v>
      </c>
      <c r="E139" t="s">
        <v>1061</v>
      </c>
    </row>
    <row r="140" spans="1:5" ht="43.2" x14ac:dyDescent="0.3">
      <c r="A140" t="s">
        <v>398</v>
      </c>
      <c r="B140" s="37" t="s">
        <v>399</v>
      </c>
      <c r="C140" t="s">
        <v>1295</v>
      </c>
      <c r="D140" s="38" t="s">
        <v>1296</v>
      </c>
      <c r="E140" t="s">
        <v>1061</v>
      </c>
    </row>
    <row r="141" spans="1:5" ht="43.2" x14ac:dyDescent="0.3">
      <c r="A141" t="s">
        <v>398</v>
      </c>
      <c r="B141" s="37" t="s">
        <v>399</v>
      </c>
      <c r="C141" t="s">
        <v>1297</v>
      </c>
      <c r="D141" s="38" t="s">
        <v>1298</v>
      </c>
      <c r="E141" t="s">
        <v>1042</v>
      </c>
    </row>
    <row r="142" spans="1:5" ht="43.2" x14ac:dyDescent="0.3">
      <c r="A142" t="s">
        <v>406</v>
      </c>
      <c r="B142" s="37" t="s">
        <v>408</v>
      </c>
      <c r="C142" t="s">
        <v>1299</v>
      </c>
      <c r="D142" s="38" t="s">
        <v>1300</v>
      </c>
      <c r="E142" t="s">
        <v>1061</v>
      </c>
    </row>
    <row r="143" spans="1:5" ht="43.2" x14ac:dyDescent="0.3">
      <c r="A143" t="s">
        <v>406</v>
      </c>
      <c r="B143" s="37" t="s">
        <v>408</v>
      </c>
      <c r="C143" t="s">
        <v>1301</v>
      </c>
      <c r="D143" s="38" t="s">
        <v>1302</v>
      </c>
      <c r="E143" t="s">
        <v>1042</v>
      </c>
    </row>
    <row r="144" spans="1:5" ht="43.2" x14ac:dyDescent="0.3">
      <c r="A144" t="s">
        <v>406</v>
      </c>
      <c r="B144" s="37" t="s">
        <v>408</v>
      </c>
      <c r="C144" t="s">
        <v>1303</v>
      </c>
      <c r="D144" s="38" t="s">
        <v>1304</v>
      </c>
      <c r="E144" t="s">
        <v>1042</v>
      </c>
    </row>
    <row r="145" spans="1:5" ht="28.8" x14ac:dyDescent="0.3">
      <c r="A145" t="s">
        <v>414</v>
      </c>
      <c r="B145" s="37" t="s">
        <v>416</v>
      </c>
      <c r="C145" t="s">
        <v>1305</v>
      </c>
      <c r="D145" s="38" t="s">
        <v>1296</v>
      </c>
      <c r="E145" t="s">
        <v>1042</v>
      </c>
    </row>
    <row r="146" spans="1:5" ht="28.8" x14ac:dyDescent="0.3">
      <c r="A146" t="s">
        <v>414</v>
      </c>
      <c r="B146" s="37" t="s">
        <v>416</v>
      </c>
      <c r="C146" t="s">
        <v>1306</v>
      </c>
      <c r="D146" s="38" t="s">
        <v>1307</v>
      </c>
      <c r="E146" t="s">
        <v>1051</v>
      </c>
    </row>
    <row r="147" spans="1:5" ht="43.2" x14ac:dyDescent="0.3">
      <c r="A147" t="s">
        <v>422</v>
      </c>
      <c r="B147" s="37" t="s">
        <v>424</v>
      </c>
      <c r="C147" t="s">
        <v>1308</v>
      </c>
      <c r="D147" s="38" t="s">
        <v>1309</v>
      </c>
      <c r="E147" t="s">
        <v>1051</v>
      </c>
    </row>
    <row r="148" spans="1:5" ht="43.2" x14ac:dyDescent="0.3">
      <c r="A148" t="s">
        <v>431</v>
      </c>
      <c r="B148" s="37" t="s">
        <v>432</v>
      </c>
      <c r="C148" t="s">
        <v>1310</v>
      </c>
      <c r="D148" s="38" t="s">
        <v>1311</v>
      </c>
      <c r="E148" t="s">
        <v>1051</v>
      </c>
    </row>
    <row r="149" spans="1:5" ht="43.2" x14ac:dyDescent="0.3">
      <c r="A149" t="s">
        <v>439</v>
      </c>
      <c r="B149" s="37" t="s">
        <v>441</v>
      </c>
      <c r="C149" t="s">
        <v>1312</v>
      </c>
      <c r="D149" s="38" t="s">
        <v>1313</v>
      </c>
      <c r="E149" t="s">
        <v>1042</v>
      </c>
    </row>
    <row r="150" spans="1:5" ht="43.2" x14ac:dyDescent="0.3">
      <c r="A150" t="s">
        <v>439</v>
      </c>
      <c r="B150" s="37" t="s">
        <v>441</v>
      </c>
      <c r="C150" t="s">
        <v>1314</v>
      </c>
      <c r="D150" s="38" t="s">
        <v>1315</v>
      </c>
      <c r="E150" t="s">
        <v>1051</v>
      </c>
    </row>
    <row r="151" spans="1:5" ht="43.2" x14ac:dyDescent="0.3">
      <c r="A151" t="s">
        <v>439</v>
      </c>
      <c r="B151" s="37" t="s">
        <v>441</v>
      </c>
      <c r="C151" t="s">
        <v>1316</v>
      </c>
      <c r="D151" s="38" t="s">
        <v>1317</v>
      </c>
      <c r="E151" t="s">
        <v>1042</v>
      </c>
    </row>
    <row r="152" spans="1:5" ht="43.2" x14ac:dyDescent="0.3">
      <c r="A152" t="s">
        <v>447</v>
      </c>
      <c r="B152" s="37" t="s">
        <v>449</v>
      </c>
      <c r="C152" t="s">
        <v>1318</v>
      </c>
      <c r="D152" s="38" t="s">
        <v>1319</v>
      </c>
      <c r="E152" t="s">
        <v>1042</v>
      </c>
    </row>
    <row r="153" spans="1:5" ht="43.2" x14ac:dyDescent="0.3">
      <c r="A153" t="s">
        <v>447</v>
      </c>
      <c r="B153" s="37" t="s">
        <v>449</v>
      </c>
      <c r="C153" t="s">
        <v>1320</v>
      </c>
      <c r="D153" s="38" t="s">
        <v>1321</v>
      </c>
      <c r="E153" t="s">
        <v>1042</v>
      </c>
    </row>
    <row r="154" spans="1:5" ht="43.2" x14ac:dyDescent="0.3">
      <c r="A154" t="s">
        <v>455</v>
      </c>
      <c r="B154" s="37" t="s">
        <v>457</v>
      </c>
      <c r="C154" t="s">
        <v>1322</v>
      </c>
      <c r="D154" s="38" t="s">
        <v>1323</v>
      </c>
      <c r="E154" t="s">
        <v>1061</v>
      </c>
    </row>
    <row r="155" spans="1:5" ht="43.2" x14ac:dyDescent="0.3">
      <c r="A155" t="s">
        <v>455</v>
      </c>
      <c r="B155" s="37" t="s">
        <v>457</v>
      </c>
      <c r="C155" t="s">
        <v>1324</v>
      </c>
      <c r="D155" s="38" t="s">
        <v>1325</v>
      </c>
      <c r="E155" t="s">
        <v>1042</v>
      </c>
    </row>
    <row r="156" spans="1:5" ht="43.2" x14ac:dyDescent="0.3">
      <c r="A156" t="s">
        <v>455</v>
      </c>
      <c r="B156" s="37" t="s">
        <v>457</v>
      </c>
      <c r="C156" t="s">
        <v>1326</v>
      </c>
      <c r="D156" s="38" t="s">
        <v>1327</v>
      </c>
      <c r="E156" t="s">
        <v>1042</v>
      </c>
    </row>
    <row r="157" spans="1:5" ht="57.6" x14ac:dyDescent="0.3">
      <c r="A157" t="s">
        <v>463</v>
      </c>
      <c r="B157" s="37" t="s">
        <v>465</v>
      </c>
      <c r="C157" t="s">
        <v>1328</v>
      </c>
      <c r="D157" s="38" t="s">
        <v>1329</v>
      </c>
      <c r="E157" t="s">
        <v>1042</v>
      </c>
    </row>
    <row r="158" spans="1:5" ht="57.6" x14ac:dyDescent="0.3">
      <c r="A158" t="s">
        <v>463</v>
      </c>
      <c r="B158" s="37" t="s">
        <v>465</v>
      </c>
      <c r="C158" t="s">
        <v>1330</v>
      </c>
      <c r="D158" s="38" t="s">
        <v>1331</v>
      </c>
      <c r="E158" t="s">
        <v>1042</v>
      </c>
    </row>
    <row r="159" spans="1:5" ht="72" x14ac:dyDescent="0.3">
      <c r="A159" t="s">
        <v>471</v>
      </c>
      <c r="B159" s="37" t="s">
        <v>473</v>
      </c>
      <c r="C159" t="s">
        <v>1332</v>
      </c>
      <c r="D159" s="38" t="s">
        <v>1329</v>
      </c>
      <c r="E159" t="s">
        <v>1042</v>
      </c>
    </row>
    <row r="160" spans="1:5" ht="72" x14ac:dyDescent="0.3">
      <c r="A160" t="s">
        <v>471</v>
      </c>
      <c r="B160" s="37" t="s">
        <v>473</v>
      </c>
      <c r="C160" t="s">
        <v>1333</v>
      </c>
      <c r="D160" s="38" t="s">
        <v>1325</v>
      </c>
      <c r="E160" t="s">
        <v>1061</v>
      </c>
    </row>
    <row r="161" spans="1:5" ht="72" x14ac:dyDescent="0.3">
      <c r="A161" t="s">
        <v>471</v>
      </c>
      <c r="B161" s="37" t="s">
        <v>473</v>
      </c>
      <c r="C161" t="s">
        <v>1334</v>
      </c>
      <c r="D161" s="38" t="s">
        <v>1335</v>
      </c>
      <c r="E161" t="s">
        <v>1042</v>
      </c>
    </row>
    <row r="162" spans="1:5" ht="72" x14ac:dyDescent="0.3">
      <c r="A162" t="s">
        <v>471</v>
      </c>
      <c r="B162" s="37" t="s">
        <v>473</v>
      </c>
      <c r="C162" t="s">
        <v>1336</v>
      </c>
      <c r="D162" s="38" t="s">
        <v>1337</v>
      </c>
      <c r="E162" t="s">
        <v>1042</v>
      </c>
    </row>
    <row r="163" spans="1:5" ht="43.2" x14ac:dyDescent="0.3">
      <c r="A163" t="s">
        <v>479</v>
      </c>
      <c r="B163" s="37" t="s">
        <v>481</v>
      </c>
      <c r="C163" t="s">
        <v>1338</v>
      </c>
      <c r="D163" s="38" t="s">
        <v>1339</v>
      </c>
      <c r="E163" t="s">
        <v>1061</v>
      </c>
    </row>
    <row r="164" spans="1:5" ht="43.2" x14ac:dyDescent="0.3">
      <c r="A164" t="s">
        <v>479</v>
      </c>
      <c r="B164" s="37" t="s">
        <v>481</v>
      </c>
      <c r="C164" t="s">
        <v>1340</v>
      </c>
      <c r="D164" s="38" t="s">
        <v>1341</v>
      </c>
      <c r="E164" t="s">
        <v>1042</v>
      </c>
    </row>
    <row r="165" spans="1:5" ht="43.2" x14ac:dyDescent="0.3">
      <c r="A165" t="s">
        <v>479</v>
      </c>
      <c r="B165" s="37" t="s">
        <v>481</v>
      </c>
      <c r="C165" t="s">
        <v>1342</v>
      </c>
      <c r="D165" s="38" t="s">
        <v>1343</v>
      </c>
      <c r="E165" t="s">
        <v>1042</v>
      </c>
    </row>
    <row r="166" spans="1:5" ht="43.2" x14ac:dyDescent="0.3">
      <c r="A166" t="s">
        <v>479</v>
      </c>
      <c r="B166" s="37" t="s">
        <v>481</v>
      </c>
      <c r="C166" t="s">
        <v>1344</v>
      </c>
      <c r="D166" s="38" t="s">
        <v>1345</v>
      </c>
      <c r="E166" t="s">
        <v>1042</v>
      </c>
    </row>
    <row r="167" spans="1:5" ht="43.2" x14ac:dyDescent="0.3">
      <c r="A167" t="s">
        <v>479</v>
      </c>
      <c r="B167" s="37" t="s">
        <v>481</v>
      </c>
      <c r="C167" t="s">
        <v>1346</v>
      </c>
      <c r="D167" s="38" t="s">
        <v>1347</v>
      </c>
      <c r="E167" t="s">
        <v>1042</v>
      </c>
    </row>
    <row r="168" spans="1:5" ht="43.2" x14ac:dyDescent="0.3">
      <c r="A168" t="s">
        <v>479</v>
      </c>
      <c r="B168" s="37" t="s">
        <v>481</v>
      </c>
      <c r="C168" t="s">
        <v>1348</v>
      </c>
      <c r="D168" s="38" t="s">
        <v>1349</v>
      </c>
      <c r="E168" t="s">
        <v>1042</v>
      </c>
    </row>
    <row r="169" spans="1:5" ht="57.6" x14ac:dyDescent="0.3">
      <c r="A169" t="s">
        <v>488</v>
      </c>
      <c r="B169" s="37" t="s">
        <v>489</v>
      </c>
      <c r="C169" t="s">
        <v>1350</v>
      </c>
      <c r="D169" s="38" t="s">
        <v>1351</v>
      </c>
      <c r="E169" t="s">
        <v>1061</v>
      </c>
    </row>
    <row r="170" spans="1:5" ht="57.6" x14ac:dyDescent="0.3">
      <c r="A170" t="s">
        <v>488</v>
      </c>
      <c r="B170" s="37" t="s">
        <v>489</v>
      </c>
      <c r="C170" t="s">
        <v>1352</v>
      </c>
      <c r="D170" s="38" t="s">
        <v>1353</v>
      </c>
      <c r="E170" t="s">
        <v>1042</v>
      </c>
    </row>
    <row r="171" spans="1:5" ht="57.6" x14ac:dyDescent="0.3">
      <c r="A171" t="s">
        <v>488</v>
      </c>
      <c r="B171" s="37" t="s">
        <v>489</v>
      </c>
      <c r="C171" t="s">
        <v>1354</v>
      </c>
      <c r="D171" s="38" t="s">
        <v>1135</v>
      </c>
      <c r="E171" t="s">
        <v>1042</v>
      </c>
    </row>
    <row r="172" spans="1:5" ht="57.6" x14ac:dyDescent="0.3">
      <c r="A172" t="s">
        <v>488</v>
      </c>
      <c r="B172" s="37" t="s">
        <v>489</v>
      </c>
      <c r="C172" t="s">
        <v>1355</v>
      </c>
      <c r="D172" s="38" t="s">
        <v>1356</v>
      </c>
      <c r="E172" t="s">
        <v>1042</v>
      </c>
    </row>
    <row r="173" spans="1:5" ht="57.6" x14ac:dyDescent="0.3">
      <c r="A173" t="s">
        <v>488</v>
      </c>
      <c r="B173" s="37" t="s">
        <v>489</v>
      </c>
      <c r="C173" t="s">
        <v>1357</v>
      </c>
      <c r="D173" s="38" t="s">
        <v>1296</v>
      </c>
      <c r="E173" t="s">
        <v>1042</v>
      </c>
    </row>
    <row r="174" spans="1:5" ht="57.6" x14ac:dyDescent="0.3">
      <c r="A174" t="s">
        <v>488</v>
      </c>
      <c r="B174" s="37" t="s">
        <v>489</v>
      </c>
      <c r="C174" t="s">
        <v>1358</v>
      </c>
      <c r="D174" s="38" t="s">
        <v>1359</v>
      </c>
      <c r="E174" t="s">
        <v>1042</v>
      </c>
    </row>
    <row r="175" spans="1:5" ht="43.2" x14ac:dyDescent="0.3">
      <c r="A175" t="s">
        <v>495</v>
      </c>
      <c r="B175" s="37" t="s">
        <v>496</v>
      </c>
      <c r="C175" t="s">
        <v>1360</v>
      </c>
      <c r="D175" s="38" t="s">
        <v>1135</v>
      </c>
      <c r="E175" t="s">
        <v>1042</v>
      </c>
    </row>
    <row r="176" spans="1:5" ht="43.2" x14ac:dyDescent="0.3">
      <c r="A176" t="s">
        <v>495</v>
      </c>
      <c r="B176" s="37" t="s">
        <v>496</v>
      </c>
      <c r="C176" t="s">
        <v>1361</v>
      </c>
      <c r="D176" s="38" t="s">
        <v>1356</v>
      </c>
      <c r="E176" t="s">
        <v>1042</v>
      </c>
    </row>
    <row r="177" spans="1:5" ht="43.2" x14ac:dyDescent="0.3">
      <c r="A177" t="s">
        <v>495</v>
      </c>
      <c r="B177" s="37" t="s">
        <v>496</v>
      </c>
      <c r="C177" t="s">
        <v>1362</v>
      </c>
      <c r="D177" s="38" t="s">
        <v>1351</v>
      </c>
      <c r="E177" t="s">
        <v>1042</v>
      </c>
    </row>
    <row r="178" spans="1:5" ht="43.2" x14ac:dyDescent="0.3">
      <c r="A178" t="s">
        <v>495</v>
      </c>
      <c r="B178" s="37" t="s">
        <v>496</v>
      </c>
      <c r="C178" t="s">
        <v>1363</v>
      </c>
      <c r="D178" s="38" t="s">
        <v>1296</v>
      </c>
      <c r="E178" t="s">
        <v>1042</v>
      </c>
    </row>
    <row r="179" spans="1:5" ht="43.2" x14ac:dyDescent="0.3">
      <c r="A179" t="s">
        <v>495</v>
      </c>
      <c r="B179" s="37" t="s">
        <v>496</v>
      </c>
      <c r="C179" t="s">
        <v>1364</v>
      </c>
      <c r="D179" s="38" t="s">
        <v>1353</v>
      </c>
      <c r="E179" t="s">
        <v>1061</v>
      </c>
    </row>
    <row r="180" spans="1:5" ht="43.2" x14ac:dyDescent="0.3">
      <c r="A180" t="s">
        <v>495</v>
      </c>
      <c r="B180" s="37" t="s">
        <v>496</v>
      </c>
      <c r="C180" t="s">
        <v>1365</v>
      </c>
      <c r="D180" s="38" t="s">
        <v>1359</v>
      </c>
      <c r="E180" t="s">
        <v>1042</v>
      </c>
    </row>
    <row r="181" spans="1:5" ht="43.2" x14ac:dyDescent="0.3">
      <c r="A181" t="s">
        <v>495</v>
      </c>
      <c r="B181" s="37" t="s">
        <v>496</v>
      </c>
      <c r="C181" t="s">
        <v>1366</v>
      </c>
      <c r="D181" s="38" t="s">
        <v>1367</v>
      </c>
      <c r="E181" t="s">
        <v>1042</v>
      </c>
    </row>
    <row r="182" spans="1:5" ht="43.2" x14ac:dyDescent="0.3">
      <c r="A182" t="s">
        <v>502</v>
      </c>
      <c r="B182" s="37" t="s">
        <v>504</v>
      </c>
      <c r="C182" t="s">
        <v>1368</v>
      </c>
      <c r="D182" s="38" t="s">
        <v>1369</v>
      </c>
      <c r="E182" t="s">
        <v>1061</v>
      </c>
    </row>
    <row r="183" spans="1:5" ht="43.2" x14ac:dyDescent="0.3">
      <c r="A183" t="s">
        <v>502</v>
      </c>
      <c r="B183" s="37" t="s">
        <v>504</v>
      </c>
      <c r="C183" t="s">
        <v>1370</v>
      </c>
      <c r="D183" s="38" t="s">
        <v>1335</v>
      </c>
      <c r="E183" t="s">
        <v>1042</v>
      </c>
    </row>
    <row r="184" spans="1:5" ht="43.2" x14ac:dyDescent="0.3">
      <c r="A184" t="s">
        <v>502</v>
      </c>
      <c r="B184" s="37" t="s">
        <v>504</v>
      </c>
      <c r="C184" t="s">
        <v>1371</v>
      </c>
      <c r="D184" s="38" t="s">
        <v>1372</v>
      </c>
      <c r="E184" t="s">
        <v>1042</v>
      </c>
    </row>
    <row r="185" spans="1:5" ht="43.2" x14ac:dyDescent="0.3">
      <c r="A185" t="s">
        <v>508</v>
      </c>
      <c r="B185" s="37" t="s">
        <v>509</v>
      </c>
      <c r="C185" t="s">
        <v>1373</v>
      </c>
      <c r="D185" s="38" t="s">
        <v>1374</v>
      </c>
      <c r="E185" t="s">
        <v>1042</v>
      </c>
    </row>
    <row r="186" spans="1:5" ht="43.2" x14ac:dyDescent="0.3">
      <c r="A186" t="s">
        <v>508</v>
      </c>
      <c r="B186" s="37" t="s">
        <v>509</v>
      </c>
      <c r="C186" t="s">
        <v>1375</v>
      </c>
      <c r="D186" s="38" t="s">
        <v>1376</v>
      </c>
      <c r="E186" t="s">
        <v>1042</v>
      </c>
    </row>
    <row r="187" spans="1:5" ht="43.2" x14ac:dyDescent="0.3">
      <c r="A187" t="s">
        <v>508</v>
      </c>
      <c r="B187" s="37" t="s">
        <v>509</v>
      </c>
      <c r="C187" t="s">
        <v>1377</v>
      </c>
      <c r="D187" s="38" t="s">
        <v>1378</v>
      </c>
      <c r="E187" t="s">
        <v>1042</v>
      </c>
    </row>
    <row r="188" spans="1:5" ht="43.2" x14ac:dyDescent="0.3">
      <c r="A188" t="s">
        <v>508</v>
      </c>
      <c r="B188" s="37" t="s">
        <v>509</v>
      </c>
      <c r="C188" t="s">
        <v>1379</v>
      </c>
      <c r="D188" s="38" t="s">
        <v>1345</v>
      </c>
      <c r="E188" t="s">
        <v>1042</v>
      </c>
    </row>
    <row r="189" spans="1:5" ht="43.2" x14ac:dyDescent="0.3">
      <c r="A189" t="s">
        <v>508</v>
      </c>
      <c r="B189" s="37" t="s">
        <v>509</v>
      </c>
      <c r="C189" t="s">
        <v>1380</v>
      </c>
      <c r="D189" s="38" t="s">
        <v>1381</v>
      </c>
      <c r="E189" t="s">
        <v>1042</v>
      </c>
    </row>
    <row r="190" spans="1:5" ht="43.2" x14ac:dyDescent="0.3">
      <c r="A190" t="s">
        <v>508</v>
      </c>
      <c r="B190" s="37" t="s">
        <v>509</v>
      </c>
      <c r="C190" t="s">
        <v>1382</v>
      </c>
      <c r="D190" s="38" t="s">
        <v>1280</v>
      </c>
      <c r="E190" t="s">
        <v>1061</v>
      </c>
    </row>
    <row r="191" spans="1:5" ht="57.6" x14ac:dyDescent="0.3">
      <c r="A191" t="s">
        <v>516</v>
      </c>
      <c r="B191" s="37" t="s">
        <v>518</v>
      </c>
      <c r="C191" t="s">
        <v>1383</v>
      </c>
      <c r="D191" s="38" t="s">
        <v>1384</v>
      </c>
      <c r="E191" t="s">
        <v>1042</v>
      </c>
    </row>
    <row r="192" spans="1:5" ht="57.6" x14ac:dyDescent="0.3">
      <c r="A192" t="s">
        <v>516</v>
      </c>
      <c r="B192" s="37" t="s">
        <v>518</v>
      </c>
      <c r="C192" t="s">
        <v>1385</v>
      </c>
      <c r="D192" s="38" t="s">
        <v>1386</v>
      </c>
      <c r="E192" t="s">
        <v>1042</v>
      </c>
    </row>
    <row r="193" spans="1:5" ht="57.6" x14ac:dyDescent="0.3">
      <c r="A193" t="s">
        <v>516</v>
      </c>
      <c r="B193" s="37" t="s">
        <v>518</v>
      </c>
      <c r="C193" t="s">
        <v>1387</v>
      </c>
      <c r="D193" s="38" t="s">
        <v>1388</v>
      </c>
      <c r="E193" t="s">
        <v>1051</v>
      </c>
    </row>
    <row r="194" spans="1:5" ht="57.6" x14ac:dyDescent="0.3">
      <c r="A194" t="s">
        <v>516</v>
      </c>
      <c r="B194" s="37" t="s">
        <v>518</v>
      </c>
      <c r="C194" t="s">
        <v>1389</v>
      </c>
      <c r="D194" s="38" t="s">
        <v>1390</v>
      </c>
      <c r="E194" t="s">
        <v>1042</v>
      </c>
    </row>
    <row r="195" spans="1:5" ht="57.6" x14ac:dyDescent="0.3">
      <c r="A195" t="s">
        <v>516</v>
      </c>
      <c r="B195" s="37" t="s">
        <v>518</v>
      </c>
      <c r="C195" t="s">
        <v>1391</v>
      </c>
      <c r="D195" s="38" t="s">
        <v>1392</v>
      </c>
      <c r="E195" t="s">
        <v>1042</v>
      </c>
    </row>
    <row r="196" spans="1:5" ht="43.2" x14ac:dyDescent="0.3">
      <c r="A196" t="s">
        <v>524</v>
      </c>
      <c r="B196" s="37" t="s">
        <v>525</v>
      </c>
      <c r="C196" t="s">
        <v>1393</v>
      </c>
      <c r="D196" s="38" t="s">
        <v>1369</v>
      </c>
      <c r="E196" t="s">
        <v>1042</v>
      </c>
    </row>
    <row r="197" spans="1:5" ht="43.2" x14ac:dyDescent="0.3">
      <c r="A197" t="s">
        <v>524</v>
      </c>
      <c r="B197" s="37" t="s">
        <v>525</v>
      </c>
      <c r="C197" t="s">
        <v>1394</v>
      </c>
      <c r="D197" s="38" t="s">
        <v>1296</v>
      </c>
      <c r="E197" t="s">
        <v>1042</v>
      </c>
    </row>
    <row r="198" spans="1:5" ht="43.2" x14ac:dyDescent="0.3">
      <c r="A198" t="s">
        <v>524</v>
      </c>
      <c r="B198" s="37" t="s">
        <v>525</v>
      </c>
      <c r="C198" t="s">
        <v>1395</v>
      </c>
      <c r="D198" s="38" t="s">
        <v>1396</v>
      </c>
      <c r="E198" t="s">
        <v>1042</v>
      </c>
    </row>
    <row r="199" spans="1:5" ht="43.2" x14ac:dyDescent="0.3">
      <c r="A199" t="s">
        <v>524</v>
      </c>
      <c r="B199" s="37" t="s">
        <v>525</v>
      </c>
      <c r="C199" t="s">
        <v>1397</v>
      </c>
      <c r="D199" s="38" t="s">
        <v>1398</v>
      </c>
      <c r="E199" t="s">
        <v>1042</v>
      </c>
    </row>
    <row r="200" spans="1:5" ht="43.2" x14ac:dyDescent="0.3">
      <c r="A200" t="s">
        <v>524</v>
      </c>
      <c r="B200" s="37" t="s">
        <v>525</v>
      </c>
      <c r="C200" t="s">
        <v>1399</v>
      </c>
      <c r="D200" s="38" t="s">
        <v>1400</v>
      </c>
      <c r="E200" t="s">
        <v>1051</v>
      </c>
    </row>
    <row r="201" spans="1:5" ht="43.2" x14ac:dyDescent="0.3">
      <c r="A201" t="s">
        <v>532</v>
      </c>
      <c r="B201" s="37" t="s">
        <v>1401</v>
      </c>
      <c r="C201" t="s">
        <v>1402</v>
      </c>
      <c r="D201" s="38" t="s">
        <v>1403</v>
      </c>
      <c r="E201" t="s">
        <v>1061</v>
      </c>
    </row>
    <row r="202" spans="1:5" ht="43.2" x14ac:dyDescent="0.3">
      <c r="A202" t="s">
        <v>532</v>
      </c>
      <c r="B202" s="37" t="s">
        <v>1401</v>
      </c>
      <c r="C202" t="s">
        <v>1404</v>
      </c>
      <c r="D202" s="38" t="s">
        <v>1405</v>
      </c>
      <c r="E202" t="s">
        <v>1042</v>
      </c>
    </row>
    <row r="203" spans="1:5" ht="43.2" x14ac:dyDescent="0.3">
      <c r="A203" t="s">
        <v>532</v>
      </c>
      <c r="B203" s="37" t="s">
        <v>1401</v>
      </c>
      <c r="C203" t="s">
        <v>1406</v>
      </c>
      <c r="D203" s="38" t="s">
        <v>1407</v>
      </c>
      <c r="E203" t="s">
        <v>1042</v>
      </c>
    </row>
    <row r="204" spans="1:5" ht="43.2" x14ac:dyDescent="0.3">
      <c r="A204" t="s">
        <v>532</v>
      </c>
      <c r="B204" s="37" t="s">
        <v>1401</v>
      </c>
      <c r="C204" t="s">
        <v>1408</v>
      </c>
      <c r="D204" s="38" t="s">
        <v>1409</v>
      </c>
      <c r="E204" t="s">
        <v>1042</v>
      </c>
    </row>
    <row r="205" spans="1:5" ht="28.8" x14ac:dyDescent="0.3">
      <c r="A205" t="s">
        <v>540</v>
      </c>
      <c r="B205" s="37" t="s">
        <v>542</v>
      </c>
      <c r="C205" t="s">
        <v>1410</v>
      </c>
      <c r="D205" s="38" t="s">
        <v>1411</v>
      </c>
      <c r="E205" t="s">
        <v>1061</v>
      </c>
    </row>
    <row r="206" spans="1:5" ht="28.8" x14ac:dyDescent="0.3">
      <c r="A206" t="s">
        <v>540</v>
      </c>
      <c r="B206" s="37" t="s">
        <v>542</v>
      </c>
      <c r="C206" t="s">
        <v>1412</v>
      </c>
      <c r="D206" s="38" t="s">
        <v>1413</v>
      </c>
      <c r="E206" t="s">
        <v>1042</v>
      </c>
    </row>
    <row r="207" spans="1:5" ht="43.2" x14ac:dyDescent="0.3">
      <c r="A207" t="s">
        <v>547</v>
      </c>
      <c r="B207" s="37" t="s">
        <v>548</v>
      </c>
      <c r="C207" t="s">
        <v>1414</v>
      </c>
      <c r="D207" s="38" t="s">
        <v>1415</v>
      </c>
      <c r="E207" t="s">
        <v>1042</v>
      </c>
    </row>
    <row r="208" spans="1:5" ht="43.2" x14ac:dyDescent="0.3">
      <c r="A208" t="s">
        <v>547</v>
      </c>
      <c r="B208" s="37" t="s">
        <v>548</v>
      </c>
      <c r="C208" t="s">
        <v>1416</v>
      </c>
      <c r="D208" s="38" t="s">
        <v>1411</v>
      </c>
      <c r="E208" t="s">
        <v>1042</v>
      </c>
    </row>
    <row r="209" spans="1:5" ht="43.2" x14ac:dyDescent="0.3">
      <c r="A209" t="s">
        <v>547</v>
      </c>
      <c r="B209" s="37" t="s">
        <v>548</v>
      </c>
      <c r="C209" t="s">
        <v>1417</v>
      </c>
      <c r="D209" s="38" t="s">
        <v>1418</v>
      </c>
      <c r="E209" t="s">
        <v>1061</v>
      </c>
    </row>
    <row r="210" spans="1:5" ht="43.2" x14ac:dyDescent="0.3">
      <c r="A210" t="s">
        <v>554</v>
      </c>
      <c r="B210" s="37" t="s">
        <v>555</v>
      </c>
      <c r="C210" t="s">
        <v>1419</v>
      </c>
      <c r="D210" s="38" t="s">
        <v>1268</v>
      </c>
      <c r="E210" t="s">
        <v>1042</v>
      </c>
    </row>
    <row r="211" spans="1:5" ht="43.2" x14ac:dyDescent="0.3">
      <c r="A211" t="s">
        <v>554</v>
      </c>
      <c r="B211" s="37" t="s">
        <v>555</v>
      </c>
      <c r="C211" t="s">
        <v>1420</v>
      </c>
      <c r="D211" s="38" t="s">
        <v>1135</v>
      </c>
      <c r="E211" t="s">
        <v>1061</v>
      </c>
    </row>
    <row r="212" spans="1:5" ht="43.2" x14ac:dyDescent="0.3">
      <c r="A212" t="s">
        <v>554</v>
      </c>
      <c r="B212" s="37" t="s">
        <v>555</v>
      </c>
      <c r="C212" t="s">
        <v>1421</v>
      </c>
      <c r="D212" s="38" t="s">
        <v>1271</v>
      </c>
      <c r="E212" t="s">
        <v>1042</v>
      </c>
    </row>
    <row r="213" spans="1:5" ht="43.2" x14ac:dyDescent="0.3">
      <c r="A213" t="s">
        <v>554</v>
      </c>
      <c r="B213" s="37" t="s">
        <v>555</v>
      </c>
      <c r="C213" t="s">
        <v>1422</v>
      </c>
      <c r="D213" s="38" t="s">
        <v>1273</v>
      </c>
      <c r="E213" t="s">
        <v>1042</v>
      </c>
    </row>
    <row r="214" spans="1:5" ht="43.2" x14ac:dyDescent="0.3">
      <c r="A214" t="s">
        <v>554</v>
      </c>
      <c r="B214" s="37" t="s">
        <v>555</v>
      </c>
      <c r="C214" t="s">
        <v>1423</v>
      </c>
      <c r="D214" s="38" t="s">
        <v>1275</v>
      </c>
      <c r="E214" t="s">
        <v>1042</v>
      </c>
    </row>
    <row r="215" spans="1:5" ht="57.6" x14ac:dyDescent="0.3">
      <c r="A215" t="s">
        <v>561</v>
      </c>
      <c r="B215" s="37" t="s">
        <v>563</v>
      </c>
      <c r="C215" t="s">
        <v>1424</v>
      </c>
      <c r="D215" s="38" t="s">
        <v>1425</v>
      </c>
      <c r="E215" t="s">
        <v>1042</v>
      </c>
    </row>
    <row r="216" spans="1:5" ht="57.6" x14ac:dyDescent="0.3">
      <c r="A216" t="s">
        <v>561</v>
      </c>
      <c r="B216" s="37" t="s">
        <v>563</v>
      </c>
      <c r="C216" t="s">
        <v>1426</v>
      </c>
      <c r="D216" s="38" t="s">
        <v>1427</v>
      </c>
      <c r="E216" t="s">
        <v>1061</v>
      </c>
    </row>
    <row r="217" spans="1:5" ht="57.6" x14ac:dyDescent="0.3">
      <c r="A217" t="s">
        <v>561</v>
      </c>
      <c r="B217" s="37" t="s">
        <v>563</v>
      </c>
      <c r="C217" t="s">
        <v>1428</v>
      </c>
      <c r="D217" s="38" t="s">
        <v>1429</v>
      </c>
      <c r="E217" t="s">
        <v>1042</v>
      </c>
    </row>
    <row r="218" spans="1:5" ht="57.6" x14ac:dyDescent="0.3">
      <c r="A218" t="s">
        <v>561</v>
      </c>
      <c r="B218" s="37" t="s">
        <v>563</v>
      </c>
      <c r="C218" t="s">
        <v>1430</v>
      </c>
      <c r="D218" s="38" t="s">
        <v>1135</v>
      </c>
      <c r="E218" t="s">
        <v>1042</v>
      </c>
    </row>
    <row r="219" spans="1:5" ht="57.6" x14ac:dyDescent="0.3">
      <c r="A219" t="s">
        <v>561</v>
      </c>
      <c r="B219" s="37" t="s">
        <v>563</v>
      </c>
      <c r="C219" t="s">
        <v>1431</v>
      </c>
      <c r="D219" s="38" t="s">
        <v>1432</v>
      </c>
      <c r="E219" t="s">
        <v>1042</v>
      </c>
    </row>
    <row r="220" spans="1:5" ht="72" x14ac:dyDescent="0.3">
      <c r="A220" t="s">
        <v>569</v>
      </c>
      <c r="B220" s="37" t="s">
        <v>570</v>
      </c>
      <c r="C220" t="s">
        <v>1433</v>
      </c>
      <c r="D220" s="38" t="s">
        <v>1434</v>
      </c>
      <c r="E220" t="s">
        <v>1061</v>
      </c>
    </row>
    <row r="221" spans="1:5" ht="43.2" x14ac:dyDescent="0.3">
      <c r="A221" t="s">
        <v>577</v>
      </c>
      <c r="B221" s="37" t="s">
        <v>578</v>
      </c>
      <c r="C221" t="s">
        <v>1435</v>
      </c>
      <c r="D221" s="38" t="s">
        <v>1436</v>
      </c>
      <c r="E221" t="s">
        <v>1042</v>
      </c>
    </row>
    <row r="222" spans="1:5" ht="43.2" x14ac:dyDescent="0.3">
      <c r="A222" t="s">
        <v>577</v>
      </c>
      <c r="B222" s="37" t="s">
        <v>578</v>
      </c>
      <c r="C222" t="s">
        <v>1437</v>
      </c>
      <c r="D222" s="38" t="s">
        <v>1413</v>
      </c>
      <c r="E222" t="s">
        <v>1042</v>
      </c>
    </row>
    <row r="223" spans="1:5" ht="43.2" x14ac:dyDescent="0.3">
      <c r="A223" t="s">
        <v>577</v>
      </c>
      <c r="B223" s="37" t="s">
        <v>578</v>
      </c>
      <c r="C223" t="s">
        <v>1438</v>
      </c>
      <c r="D223" s="38" t="s">
        <v>1411</v>
      </c>
      <c r="E223" t="s">
        <v>1042</v>
      </c>
    </row>
    <row r="224" spans="1:5" ht="43.2" x14ac:dyDescent="0.3">
      <c r="A224" t="s">
        <v>577</v>
      </c>
      <c r="B224" s="37" t="s">
        <v>578</v>
      </c>
      <c r="C224" t="s">
        <v>1439</v>
      </c>
      <c r="D224" s="38" t="s">
        <v>1440</v>
      </c>
      <c r="E224" t="s">
        <v>1061</v>
      </c>
    </row>
    <row r="225" spans="1:5" ht="43.2" x14ac:dyDescent="0.3">
      <c r="A225" t="s">
        <v>584</v>
      </c>
      <c r="B225" s="37" t="s">
        <v>586</v>
      </c>
      <c r="C225" t="s">
        <v>1441</v>
      </c>
      <c r="D225" s="38" t="s">
        <v>1296</v>
      </c>
      <c r="E225" t="s">
        <v>1042</v>
      </c>
    </row>
    <row r="226" spans="1:5" ht="43.2" x14ac:dyDescent="0.3">
      <c r="A226" t="s">
        <v>584</v>
      </c>
      <c r="B226" s="37" t="s">
        <v>586</v>
      </c>
      <c r="C226" t="s">
        <v>1442</v>
      </c>
      <c r="D226" s="38" t="s">
        <v>1427</v>
      </c>
      <c r="E226" t="s">
        <v>1061</v>
      </c>
    </row>
    <row r="227" spans="1:5" ht="43.2" x14ac:dyDescent="0.3">
      <c r="A227" t="s">
        <v>584</v>
      </c>
      <c r="B227" s="37" t="s">
        <v>586</v>
      </c>
      <c r="C227" t="s">
        <v>1443</v>
      </c>
      <c r="D227" s="38" t="s">
        <v>1444</v>
      </c>
      <c r="E227" t="s">
        <v>1042</v>
      </c>
    </row>
    <row r="228" spans="1:5" ht="43.2" x14ac:dyDescent="0.3">
      <c r="A228" t="s">
        <v>584</v>
      </c>
      <c r="B228" s="37" t="s">
        <v>586</v>
      </c>
      <c r="C228" t="s">
        <v>1445</v>
      </c>
      <c r="D228" s="38" t="s">
        <v>1335</v>
      </c>
      <c r="E228" t="s">
        <v>1042</v>
      </c>
    </row>
    <row r="229" spans="1:5" ht="43.2" x14ac:dyDescent="0.3">
      <c r="A229" t="s">
        <v>584</v>
      </c>
      <c r="B229" s="37" t="s">
        <v>586</v>
      </c>
      <c r="C229" t="s">
        <v>1446</v>
      </c>
      <c r="D229" s="38" t="s">
        <v>1425</v>
      </c>
      <c r="E229" t="s">
        <v>1042</v>
      </c>
    </row>
    <row r="230" spans="1:5" ht="43.2" x14ac:dyDescent="0.3">
      <c r="A230" t="s">
        <v>592</v>
      </c>
      <c r="B230" s="37" t="s">
        <v>594</v>
      </c>
      <c r="C230" t="s">
        <v>1447</v>
      </c>
      <c r="D230" s="38" t="s">
        <v>1448</v>
      </c>
      <c r="E230" t="s">
        <v>1042</v>
      </c>
    </row>
    <row r="231" spans="1:5" ht="43.2" x14ac:dyDescent="0.3">
      <c r="A231" t="s">
        <v>592</v>
      </c>
      <c r="B231" s="37" t="s">
        <v>594</v>
      </c>
      <c r="C231" t="s">
        <v>1449</v>
      </c>
      <c r="D231" s="38" t="s">
        <v>1450</v>
      </c>
      <c r="E231" t="s">
        <v>1042</v>
      </c>
    </row>
    <row r="232" spans="1:5" ht="43.2" x14ac:dyDescent="0.3">
      <c r="A232" t="s">
        <v>592</v>
      </c>
      <c r="B232" s="37" t="s">
        <v>594</v>
      </c>
      <c r="C232" t="s">
        <v>1451</v>
      </c>
      <c r="D232" s="38" t="s">
        <v>1452</v>
      </c>
      <c r="E232" t="s">
        <v>1042</v>
      </c>
    </row>
    <row r="233" spans="1:5" ht="43.2" x14ac:dyDescent="0.3">
      <c r="A233" t="s">
        <v>592</v>
      </c>
      <c r="B233" s="37" t="s">
        <v>594</v>
      </c>
      <c r="C233" t="s">
        <v>1453</v>
      </c>
      <c r="D233" s="38" t="s">
        <v>1415</v>
      </c>
      <c r="E233" t="s">
        <v>1051</v>
      </c>
    </row>
    <row r="234" spans="1:5" ht="43.2" x14ac:dyDescent="0.3">
      <c r="A234" t="s">
        <v>592</v>
      </c>
      <c r="B234" s="37" t="s">
        <v>594</v>
      </c>
      <c r="C234" t="s">
        <v>1454</v>
      </c>
      <c r="D234" s="38" t="s">
        <v>1455</v>
      </c>
      <c r="E234" t="s">
        <v>1042</v>
      </c>
    </row>
    <row r="235" spans="1:5" ht="43.2" x14ac:dyDescent="0.3">
      <c r="A235" t="s">
        <v>600</v>
      </c>
      <c r="B235" s="37" t="s">
        <v>601</v>
      </c>
      <c r="C235" t="s">
        <v>1456</v>
      </c>
      <c r="D235" s="38" t="s">
        <v>1457</v>
      </c>
      <c r="E235" t="s">
        <v>1042</v>
      </c>
    </row>
    <row r="236" spans="1:5" ht="43.2" x14ac:dyDescent="0.3">
      <c r="A236" t="s">
        <v>600</v>
      </c>
      <c r="B236" s="37" t="s">
        <v>601</v>
      </c>
      <c r="C236" t="s">
        <v>1458</v>
      </c>
      <c r="D236" s="38" t="s">
        <v>1459</v>
      </c>
      <c r="E236" t="s">
        <v>1042</v>
      </c>
    </row>
    <row r="237" spans="1:5" ht="43.2" x14ac:dyDescent="0.3">
      <c r="A237" t="s">
        <v>600</v>
      </c>
      <c r="B237" s="37" t="s">
        <v>601</v>
      </c>
      <c r="C237" t="s">
        <v>1460</v>
      </c>
      <c r="D237" s="38" t="s">
        <v>1415</v>
      </c>
      <c r="E237" t="s">
        <v>1042</v>
      </c>
    </row>
    <row r="238" spans="1:5" ht="43.2" x14ac:dyDescent="0.3">
      <c r="A238" t="s">
        <v>607</v>
      </c>
      <c r="B238" s="37" t="s">
        <v>609</v>
      </c>
      <c r="C238" t="s">
        <v>1461</v>
      </c>
      <c r="D238" s="38" t="s">
        <v>1427</v>
      </c>
      <c r="E238" t="s">
        <v>1042</v>
      </c>
    </row>
    <row r="239" spans="1:5" ht="43.2" x14ac:dyDescent="0.3">
      <c r="A239" t="s">
        <v>607</v>
      </c>
      <c r="B239" s="37" t="s">
        <v>609</v>
      </c>
      <c r="C239" t="s">
        <v>1462</v>
      </c>
      <c r="D239" s="38" t="s">
        <v>1463</v>
      </c>
      <c r="E239" t="s">
        <v>1042</v>
      </c>
    </row>
    <row r="240" spans="1:5" ht="43.2" x14ac:dyDescent="0.3">
      <c r="A240" t="s">
        <v>607</v>
      </c>
      <c r="B240" s="37" t="s">
        <v>609</v>
      </c>
      <c r="C240" t="s">
        <v>1464</v>
      </c>
      <c r="D240" s="38" t="s">
        <v>1465</v>
      </c>
      <c r="E240" t="s">
        <v>1061</v>
      </c>
    </row>
    <row r="241" spans="1:5" ht="43.2" x14ac:dyDescent="0.3">
      <c r="A241" t="s">
        <v>607</v>
      </c>
      <c r="B241" s="37" t="s">
        <v>609</v>
      </c>
      <c r="C241" t="s">
        <v>1466</v>
      </c>
      <c r="D241" s="38" t="s">
        <v>1467</v>
      </c>
      <c r="E241" t="s">
        <v>1042</v>
      </c>
    </row>
    <row r="242" spans="1:5" ht="43.2" x14ac:dyDescent="0.3">
      <c r="A242" t="s">
        <v>607</v>
      </c>
      <c r="B242" s="37" t="s">
        <v>609</v>
      </c>
      <c r="C242" t="s">
        <v>1468</v>
      </c>
      <c r="D242" s="38" t="s">
        <v>1135</v>
      </c>
      <c r="E242" t="s">
        <v>1042</v>
      </c>
    </row>
    <row r="243" spans="1:5" ht="43.2" x14ac:dyDescent="0.3">
      <c r="A243" t="s">
        <v>607</v>
      </c>
      <c r="B243" s="37" t="s">
        <v>609</v>
      </c>
      <c r="C243" t="s">
        <v>1469</v>
      </c>
      <c r="D243" s="38" t="s">
        <v>1470</v>
      </c>
      <c r="E243" t="s">
        <v>1042</v>
      </c>
    </row>
    <row r="244" spans="1:5" ht="43.2" x14ac:dyDescent="0.3">
      <c r="A244" t="s">
        <v>607</v>
      </c>
      <c r="B244" s="37" t="s">
        <v>609</v>
      </c>
      <c r="C244" t="s">
        <v>1471</v>
      </c>
      <c r="D244" s="38" t="s">
        <v>1472</v>
      </c>
      <c r="E244" t="s">
        <v>1042</v>
      </c>
    </row>
    <row r="245" spans="1:5" ht="43.2" x14ac:dyDescent="0.3">
      <c r="A245" t="s">
        <v>607</v>
      </c>
      <c r="B245" s="37" t="s">
        <v>609</v>
      </c>
      <c r="C245" t="s">
        <v>1473</v>
      </c>
      <c r="D245" s="38" t="s">
        <v>1474</v>
      </c>
      <c r="E245" t="s">
        <v>1042</v>
      </c>
    </row>
    <row r="246" spans="1:5" ht="72" x14ac:dyDescent="0.3">
      <c r="A246" t="s">
        <v>615</v>
      </c>
      <c r="B246" s="37" t="s">
        <v>616</v>
      </c>
      <c r="C246" t="s">
        <v>1475</v>
      </c>
      <c r="D246" s="38" t="s">
        <v>1476</v>
      </c>
      <c r="E246" t="s">
        <v>1042</v>
      </c>
    </row>
    <row r="247" spans="1:5" ht="72" x14ac:dyDescent="0.3">
      <c r="A247" t="s">
        <v>615</v>
      </c>
      <c r="B247" s="37" t="s">
        <v>616</v>
      </c>
      <c r="C247" t="s">
        <v>1477</v>
      </c>
      <c r="D247" s="38" t="s">
        <v>1478</v>
      </c>
      <c r="E247" t="s">
        <v>1042</v>
      </c>
    </row>
    <row r="248" spans="1:5" ht="72" x14ac:dyDescent="0.3">
      <c r="A248" t="s">
        <v>615</v>
      </c>
      <c r="B248" s="37" t="s">
        <v>616</v>
      </c>
      <c r="C248" t="s">
        <v>1479</v>
      </c>
      <c r="D248" s="38" t="s">
        <v>1480</v>
      </c>
      <c r="E248" t="s">
        <v>1051</v>
      </c>
    </row>
    <row r="249" spans="1:5" ht="43.2" x14ac:dyDescent="0.3">
      <c r="A249" t="s">
        <v>622</v>
      </c>
      <c r="B249" s="37" t="s">
        <v>623</v>
      </c>
      <c r="C249" t="s">
        <v>1481</v>
      </c>
      <c r="D249" s="38" t="s">
        <v>1482</v>
      </c>
      <c r="E249" t="s">
        <v>1042</v>
      </c>
    </row>
    <row r="250" spans="1:5" ht="43.2" x14ac:dyDescent="0.3">
      <c r="A250" t="s">
        <v>622</v>
      </c>
      <c r="B250" s="37" t="s">
        <v>623</v>
      </c>
      <c r="C250" t="s">
        <v>1483</v>
      </c>
      <c r="D250" s="38" t="s">
        <v>1457</v>
      </c>
      <c r="E250" t="s">
        <v>1042</v>
      </c>
    </row>
    <row r="251" spans="1:5" ht="43.2" x14ac:dyDescent="0.3">
      <c r="A251" t="s">
        <v>622</v>
      </c>
      <c r="B251" s="37" t="s">
        <v>623</v>
      </c>
      <c r="C251" t="s">
        <v>1484</v>
      </c>
      <c r="D251" s="38" t="s">
        <v>1411</v>
      </c>
      <c r="E251" t="s">
        <v>1042</v>
      </c>
    </row>
    <row r="252" spans="1:5" ht="43.2" x14ac:dyDescent="0.3">
      <c r="A252" t="s">
        <v>622</v>
      </c>
      <c r="B252" s="37" t="s">
        <v>623</v>
      </c>
      <c r="C252" t="s">
        <v>1485</v>
      </c>
      <c r="D252" s="38" t="s">
        <v>1415</v>
      </c>
      <c r="E252" t="s">
        <v>1061</v>
      </c>
    </row>
    <row r="253" spans="1:5" ht="28.8" x14ac:dyDescent="0.3">
      <c r="A253" t="s">
        <v>630</v>
      </c>
      <c r="B253" s="37" t="s">
        <v>631</v>
      </c>
      <c r="C253" t="s">
        <v>1486</v>
      </c>
      <c r="D253" s="38" t="s">
        <v>1415</v>
      </c>
      <c r="E253" t="s">
        <v>1042</v>
      </c>
    </row>
    <row r="254" spans="1:5" ht="28.8" x14ac:dyDescent="0.3">
      <c r="A254" t="s">
        <v>630</v>
      </c>
      <c r="B254" s="37" t="s">
        <v>631</v>
      </c>
      <c r="C254" t="s">
        <v>1486</v>
      </c>
      <c r="D254" s="39" t="s">
        <v>1487</v>
      </c>
      <c r="E254" t="s">
        <v>1061</v>
      </c>
    </row>
    <row r="255" spans="1:5" ht="28.8" x14ac:dyDescent="0.3">
      <c r="A255" t="s">
        <v>630</v>
      </c>
      <c r="B255" s="37" t="s">
        <v>631</v>
      </c>
      <c r="C255" t="s">
        <v>1488</v>
      </c>
      <c r="D255" s="38" t="s">
        <v>1459</v>
      </c>
      <c r="E255" t="s">
        <v>1042</v>
      </c>
    </row>
    <row r="256" spans="1:5" ht="57.6" x14ac:dyDescent="0.3">
      <c r="A256" t="s">
        <v>635</v>
      </c>
      <c r="B256" s="37" t="s">
        <v>636</v>
      </c>
      <c r="C256" t="s">
        <v>1489</v>
      </c>
      <c r="D256" s="38" t="s">
        <v>1465</v>
      </c>
      <c r="E256" t="s">
        <v>1061</v>
      </c>
    </row>
    <row r="257" spans="1:5" ht="57.6" x14ac:dyDescent="0.3">
      <c r="A257" t="s">
        <v>635</v>
      </c>
      <c r="B257" s="37" t="s">
        <v>636</v>
      </c>
      <c r="C257" t="s">
        <v>1490</v>
      </c>
      <c r="D257" s="38" t="s">
        <v>1427</v>
      </c>
      <c r="E257" t="s">
        <v>1042</v>
      </c>
    </row>
    <row r="258" spans="1:5" ht="57.6" x14ac:dyDescent="0.3">
      <c r="A258" t="s">
        <v>635</v>
      </c>
      <c r="B258" s="37" t="s">
        <v>636</v>
      </c>
      <c r="C258" t="s">
        <v>1491</v>
      </c>
      <c r="D258" s="38" t="s">
        <v>1470</v>
      </c>
      <c r="E258" t="s">
        <v>1042</v>
      </c>
    </row>
    <row r="259" spans="1:5" ht="57.6" x14ac:dyDescent="0.3">
      <c r="A259" t="s">
        <v>643</v>
      </c>
      <c r="B259" s="37" t="s">
        <v>644</v>
      </c>
      <c r="C259" t="s">
        <v>1492</v>
      </c>
      <c r="D259" s="38" t="s">
        <v>1427</v>
      </c>
      <c r="E259" t="s">
        <v>1061</v>
      </c>
    </row>
    <row r="260" spans="1:5" ht="57.6" x14ac:dyDescent="0.3">
      <c r="A260" t="s">
        <v>643</v>
      </c>
      <c r="B260" s="37" t="s">
        <v>644</v>
      </c>
      <c r="C260" t="s">
        <v>1493</v>
      </c>
      <c r="D260" s="38" t="s">
        <v>1465</v>
      </c>
      <c r="E260" t="s">
        <v>1042</v>
      </c>
    </row>
    <row r="261" spans="1:5" ht="57.6" x14ac:dyDescent="0.3">
      <c r="A261" t="s">
        <v>643</v>
      </c>
      <c r="B261" s="37" t="s">
        <v>644</v>
      </c>
      <c r="C261" t="s">
        <v>1494</v>
      </c>
      <c r="D261" s="38" t="s">
        <v>1444</v>
      </c>
      <c r="E261" t="s">
        <v>1042</v>
      </c>
    </row>
    <row r="262" spans="1:5" ht="57.6" x14ac:dyDescent="0.3">
      <c r="A262" t="s">
        <v>643</v>
      </c>
      <c r="B262" s="37" t="s">
        <v>644</v>
      </c>
      <c r="C262" t="s">
        <v>1495</v>
      </c>
      <c r="D262" s="38" t="s">
        <v>1135</v>
      </c>
      <c r="E262" t="s">
        <v>1042</v>
      </c>
    </row>
    <row r="263" spans="1:5" ht="57.6" x14ac:dyDescent="0.3">
      <c r="A263" t="s">
        <v>643</v>
      </c>
      <c r="B263" s="37" t="s">
        <v>644</v>
      </c>
      <c r="C263" t="s">
        <v>1496</v>
      </c>
      <c r="D263" s="38" t="s">
        <v>1470</v>
      </c>
      <c r="E263" t="s">
        <v>1042</v>
      </c>
    </row>
    <row r="264" spans="1:5" ht="28.8" x14ac:dyDescent="0.3">
      <c r="A264" t="s">
        <v>650</v>
      </c>
      <c r="B264" s="37" t="s">
        <v>652</v>
      </c>
      <c r="C264" t="s">
        <v>1497</v>
      </c>
      <c r="D264" s="38" t="s">
        <v>1498</v>
      </c>
      <c r="E264" t="s">
        <v>1042</v>
      </c>
    </row>
    <row r="265" spans="1:5" ht="28.8" x14ac:dyDescent="0.3">
      <c r="A265" t="s">
        <v>650</v>
      </c>
      <c r="B265" s="37" t="s">
        <v>652</v>
      </c>
      <c r="C265" t="s">
        <v>1499</v>
      </c>
      <c r="D265" s="38" t="s">
        <v>1500</v>
      </c>
      <c r="E265" t="s">
        <v>1042</v>
      </c>
    </row>
    <row r="266" spans="1:5" ht="28.8" x14ac:dyDescent="0.3">
      <c r="A266" t="s">
        <v>650</v>
      </c>
      <c r="B266" s="37" t="s">
        <v>652</v>
      </c>
      <c r="C266" t="s">
        <v>1501</v>
      </c>
      <c r="D266" s="38" t="s">
        <v>1502</v>
      </c>
      <c r="E266" t="s">
        <v>1042</v>
      </c>
    </row>
    <row r="267" spans="1:5" ht="28.8" x14ac:dyDescent="0.3">
      <c r="A267" t="s">
        <v>650</v>
      </c>
      <c r="B267" s="37" t="s">
        <v>652</v>
      </c>
      <c r="C267" t="s">
        <v>1503</v>
      </c>
      <c r="D267" s="38" t="s">
        <v>1504</v>
      </c>
      <c r="E267" t="s">
        <v>1042</v>
      </c>
    </row>
    <row r="268" spans="1:5" ht="28.8" x14ac:dyDescent="0.3">
      <c r="A268" t="s">
        <v>650</v>
      </c>
      <c r="B268" s="37" t="s">
        <v>652</v>
      </c>
      <c r="C268" t="s">
        <v>1505</v>
      </c>
      <c r="D268" s="38" t="s">
        <v>1506</v>
      </c>
      <c r="E268" t="s">
        <v>1042</v>
      </c>
    </row>
    <row r="269" spans="1:5" ht="28.8" x14ac:dyDescent="0.3">
      <c r="A269" t="s">
        <v>650</v>
      </c>
      <c r="B269" s="37" t="s">
        <v>652</v>
      </c>
      <c r="C269" t="s">
        <v>1507</v>
      </c>
      <c r="D269" s="38" t="s">
        <v>1508</v>
      </c>
      <c r="E269" t="s">
        <v>1061</v>
      </c>
    </row>
    <row r="270" spans="1:5" ht="28.8" x14ac:dyDescent="0.3">
      <c r="A270" t="s">
        <v>658</v>
      </c>
      <c r="B270" s="37" t="s">
        <v>659</v>
      </c>
      <c r="C270" t="s">
        <v>1509</v>
      </c>
      <c r="D270" s="38" t="s">
        <v>1510</v>
      </c>
      <c r="E270" t="s">
        <v>1042</v>
      </c>
    </row>
    <row r="271" spans="1:5" ht="28.8" x14ac:dyDescent="0.3">
      <c r="A271" t="s">
        <v>658</v>
      </c>
      <c r="B271" s="37" t="s">
        <v>659</v>
      </c>
      <c r="C271" t="s">
        <v>1511</v>
      </c>
      <c r="D271" s="38" t="s">
        <v>1415</v>
      </c>
      <c r="E271" t="s">
        <v>1042</v>
      </c>
    </row>
    <row r="272" spans="1:5" ht="28.8" x14ac:dyDescent="0.3">
      <c r="A272" t="s">
        <v>658</v>
      </c>
      <c r="B272" s="37" t="s">
        <v>659</v>
      </c>
      <c r="C272" t="s">
        <v>1512</v>
      </c>
      <c r="D272" s="38" t="s">
        <v>1513</v>
      </c>
      <c r="E272" t="s">
        <v>1061</v>
      </c>
    </row>
    <row r="273" spans="1:5" ht="57.6" x14ac:dyDescent="0.3">
      <c r="A273" t="s">
        <v>666</v>
      </c>
      <c r="B273" s="37" t="s">
        <v>668</v>
      </c>
      <c r="C273" t="s">
        <v>1514</v>
      </c>
      <c r="D273" s="38" t="s">
        <v>1515</v>
      </c>
      <c r="E273" t="s">
        <v>1061</v>
      </c>
    </row>
    <row r="274" spans="1:5" ht="57.6" x14ac:dyDescent="0.3">
      <c r="A274" t="s">
        <v>666</v>
      </c>
      <c r="B274" s="37" t="s">
        <v>668</v>
      </c>
      <c r="C274" t="s">
        <v>1516</v>
      </c>
      <c r="D274" s="38" t="s">
        <v>1517</v>
      </c>
      <c r="E274" t="s">
        <v>1042</v>
      </c>
    </row>
    <row r="275" spans="1:5" ht="57.6" x14ac:dyDescent="0.3">
      <c r="A275" t="s">
        <v>666</v>
      </c>
      <c r="B275" s="37" t="s">
        <v>668</v>
      </c>
      <c r="C275" t="s">
        <v>1518</v>
      </c>
      <c r="D275" s="38" t="s">
        <v>1335</v>
      </c>
      <c r="E275" t="s">
        <v>1042</v>
      </c>
    </row>
    <row r="276" spans="1:5" ht="57.6" x14ac:dyDescent="0.3">
      <c r="A276" t="s">
        <v>674</v>
      </c>
      <c r="B276" s="37" t="s">
        <v>675</v>
      </c>
      <c r="C276" t="s">
        <v>1519</v>
      </c>
      <c r="D276" s="38" t="s">
        <v>1472</v>
      </c>
      <c r="E276" t="s">
        <v>1061</v>
      </c>
    </row>
    <row r="277" spans="1:5" ht="57.6" x14ac:dyDescent="0.3">
      <c r="A277" t="s">
        <v>674</v>
      </c>
      <c r="B277" s="37" t="s">
        <v>675</v>
      </c>
      <c r="C277" t="s">
        <v>1520</v>
      </c>
      <c r="D277" s="38" t="s">
        <v>1521</v>
      </c>
      <c r="E277" t="s">
        <v>1042</v>
      </c>
    </row>
    <row r="278" spans="1:5" ht="57.6" x14ac:dyDescent="0.3">
      <c r="A278" t="s">
        <v>681</v>
      </c>
      <c r="B278" s="37" t="s">
        <v>682</v>
      </c>
      <c r="C278" t="s">
        <v>1522</v>
      </c>
      <c r="D278" s="38" t="s">
        <v>1135</v>
      </c>
      <c r="E278" t="s">
        <v>1042</v>
      </c>
    </row>
    <row r="279" spans="1:5" ht="57.6" x14ac:dyDescent="0.3">
      <c r="A279" t="s">
        <v>681</v>
      </c>
      <c r="B279" s="37" t="s">
        <v>682</v>
      </c>
      <c r="C279" t="s">
        <v>1523</v>
      </c>
      <c r="D279" s="38" t="s">
        <v>1465</v>
      </c>
      <c r="E279" t="s">
        <v>1042</v>
      </c>
    </row>
    <row r="280" spans="1:5" ht="57.6" x14ac:dyDescent="0.3">
      <c r="A280" t="s">
        <v>681</v>
      </c>
      <c r="B280" s="37" t="s">
        <v>682</v>
      </c>
      <c r="C280" t="s">
        <v>1524</v>
      </c>
      <c r="D280" s="38" t="s">
        <v>1427</v>
      </c>
      <c r="E280" t="s">
        <v>1042</v>
      </c>
    </row>
    <row r="281" spans="1:5" ht="57.6" x14ac:dyDescent="0.3">
      <c r="A281" t="s">
        <v>681</v>
      </c>
      <c r="B281" s="37" t="s">
        <v>682</v>
      </c>
      <c r="C281" t="s">
        <v>1525</v>
      </c>
      <c r="D281" s="38" t="s">
        <v>1526</v>
      </c>
      <c r="E281" t="s">
        <v>1042</v>
      </c>
    </row>
    <row r="282" spans="1:5" ht="57.6" x14ac:dyDescent="0.3">
      <c r="A282" t="s">
        <v>681</v>
      </c>
      <c r="B282" s="37" t="s">
        <v>682</v>
      </c>
      <c r="C282" t="s">
        <v>1527</v>
      </c>
      <c r="D282" s="38" t="s">
        <v>1470</v>
      </c>
      <c r="E282" t="s">
        <v>1051</v>
      </c>
    </row>
    <row r="283" spans="1:5" ht="57.6" x14ac:dyDescent="0.3">
      <c r="A283" t="s">
        <v>688</v>
      </c>
      <c r="B283" s="37" t="s">
        <v>690</v>
      </c>
      <c r="C283" t="s">
        <v>1528</v>
      </c>
      <c r="D283" s="38" t="s">
        <v>1529</v>
      </c>
      <c r="E283" t="s">
        <v>1051</v>
      </c>
    </row>
    <row r="284" spans="1:5" ht="57.6" x14ac:dyDescent="0.3">
      <c r="A284" t="s">
        <v>688</v>
      </c>
      <c r="B284" s="37" t="s">
        <v>690</v>
      </c>
      <c r="C284" t="s">
        <v>1530</v>
      </c>
      <c r="D284" s="38" t="s">
        <v>1531</v>
      </c>
      <c r="E284" t="s">
        <v>1042</v>
      </c>
    </row>
    <row r="285" spans="1:5" ht="57.6" x14ac:dyDescent="0.3">
      <c r="A285" t="s">
        <v>688</v>
      </c>
      <c r="B285" s="37" t="s">
        <v>690</v>
      </c>
      <c r="C285" t="s">
        <v>1532</v>
      </c>
      <c r="D285" s="38" t="s">
        <v>1533</v>
      </c>
      <c r="E285" t="s">
        <v>1042</v>
      </c>
    </row>
    <row r="286" spans="1:5" ht="57.6" x14ac:dyDescent="0.3">
      <c r="A286" t="s">
        <v>688</v>
      </c>
      <c r="B286" s="37" t="s">
        <v>690</v>
      </c>
      <c r="C286" t="s">
        <v>1534</v>
      </c>
      <c r="D286" s="38" t="s">
        <v>1535</v>
      </c>
      <c r="E286" t="s">
        <v>1042</v>
      </c>
    </row>
    <row r="287" spans="1:5" ht="28.8" x14ac:dyDescent="0.3">
      <c r="A287" t="s">
        <v>698</v>
      </c>
      <c r="B287" s="37" t="s">
        <v>700</v>
      </c>
      <c r="C287" t="s">
        <v>1536</v>
      </c>
      <c r="D287" s="38" t="s">
        <v>1498</v>
      </c>
      <c r="E287" t="s">
        <v>1061</v>
      </c>
    </row>
    <row r="288" spans="1:5" ht="28.8" x14ac:dyDescent="0.3">
      <c r="A288" t="s">
        <v>698</v>
      </c>
      <c r="B288" s="37" t="s">
        <v>700</v>
      </c>
      <c r="C288" t="s">
        <v>1537</v>
      </c>
      <c r="D288" s="38" t="s">
        <v>1533</v>
      </c>
      <c r="E288" t="s">
        <v>1042</v>
      </c>
    </row>
    <row r="289" spans="1:5" ht="28.8" x14ac:dyDescent="0.3">
      <c r="A289" t="s">
        <v>698</v>
      </c>
      <c r="B289" s="37" t="s">
        <v>700</v>
      </c>
      <c r="C289" t="s">
        <v>1538</v>
      </c>
      <c r="D289" s="38" t="s">
        <v>1535</v>
      </c>
      <c r="E289" t="s">
        <v>1042</v>
      </c>
    </row>
    <row r="290" spans="1:5" ht="57.6" x14ac:dyDescent="0.3">
      <c r="A290" t="s">
        <v>706</v>
      </c>
      <c r="B290" s="37" t="s">
        <v>707</v>
      </c>
      <c r="C290" t="s">
        <v>1539</v>
      </c>
      <c r="D290" s="38" t="s">
        <v>1540</v>
      </c>
      <c r="E290" t="s">
        <v>1042</v>
      </c>
    </row>
    <row r="291" spans="1:5" ht="57.6" x14ac:dyDescent="0.3">
      <c r="A291" t="s">
        <v>706</v>
      </c>
      <c r="B291" s="37" t="s">
        <v>707</v>
      </c>
      <c r="C291" t="s">
        <v>1541</v>
      </c>
      <c r="D291" s="38" t="s">
        <v>1542</v>
      </c>
      <c r="E291" t="s">
        <v>1042</v>
      </c>
    </row>
    <row r="292" spans="1:5" ht="57.6" x14ac:dyDescent="0.3">
      <c r="A292" t="s">
        <v>706</v>
      </c>
      <c r="B292" s="37" t="s">
        <v>707</v>
      </c>
      <c r="C292" t="s">
        <v>1543</v>
      </c>
      <c r="D292" s="38" t="s">
        <v>1544</v>
      </c>
      <c r="E292" t="s">
        <v>1042</v>
      </c>
    </row>
    <row r="293" spans="1:5" ht="57.6" x14ac:dyDescent="0.3">
      <c r="A293" t="s">
        <v>706</v>
      </c>
      <c r="B293" s="37" t="s">
        <v>707</v>
      </c>
      <c r="C293" t="s">
        <v>1545</v>
      </c>
      <c r="D293" s="38" t="s">
        <v>1546</v>
      </c>
      <c r="E293" t="s">
        <v>1051</v>
      </c>
    </row>
    <row r="294" spans="1:5" ht="57.6" x14ac:dyDescent="0.3">
      <c r="A294" t="s">
        <v>706</v>
      </c>
      <c r="B294" s="37" t="s">
        <v>707</v>
      </c>
      <c r="C294" t="s">
        <v>1547</v>
      </c>
      <c r="D294" s="38" t="s">
        <v>1548</v>
      </c>
      <c r="E294" t="s">
        <v>1042</v>
      </c>
    </row>
    <row r="295" spans="1:5" ht="43.2" x14ac:dyDescent="0.3">
      <c r="A295" t="s">
        <v>714</v>
      </c>
      <c r="B295" s="37" t="s">
        <v>715</v>
      </c>
      <c r="C295" t="s">
        <v>1549</v>
      </c>
      <c r="D295" s="38" t="s">
        <v>1550</v>
      </c>
      <c r="E295" t="s">
        <v>1051</v>
      </c>
    </row>
    <row r="296" spans="1:5" ht="28.8" x14ac:dyDescent="0.3">
      <c r="A296" t="s">
        <v>722</v>
      </c>
      <c r="B296" s="37" t="s">
        <v>723</v>
      </c>
      <c r="C296" t="s">
        <v>1551</v>
      </c>
      <c r="D296" s="38" t="s">
        <v>1552</v>
      </c>
      <c r="E296" t="s">
        <v>1042</v>
      </c>
    </row>
    <row r="297" spans="1:5" ht="28.8" x14ac:dyDescent="0.3">
      <c r="A297" t="s">
        <v>722</v>
      </c>
      <c r="B297" s="37" t="s">
        <v>723</v>
      </c>
      <c r="C297" t="s">
        <v>1553</v>
      </c>
      <c r="D297" s="38" t="s">
        <v>1554</v>
      </c>
      <c r="E297" t="s">
        <v>1042</v>
      </c>
    </row>
    <row r="298" spans="1:5" ht="28.8" x14ac:dyDescent="0.3">
      <c r="A298" t="s">
        <v>722</v>
      </c>
      <c r="B298" s="37" t="s">
        <v>723</v>
      </c>
      <c r="C298" t="s">
        <v>1555</v>
      </c>
      <c r="D298" s="38" t="s">
        <v>1556</v>
      </c>
      <c r="E298" t="s">
        <v>1042</v>
      </c>
    </row>
    <row r="299" spans="1:5" ht="28.8" x14ac:dyDescent="0.3">
      <c r="A299" t="s">
        <v>722</v>
      </c>
      <c r="B299" s="37" t="s">
        <v>723</v>
      </c>
      <c r="C299" t="s">
        <v>1557</v>
      </c>
      <c r="D299" s="38" t="s">
        <v>1558</v>
      </c>
      <c r="E299" t="s">
        <v>1061</v>
      </c>
    </row>
    <row r="300" spans="1:5" ht="28.8" x14ac:dyDescent="0.3">
      <c r="A300" t="s">
        <v>722</v>
      </c>
      <c r="B300" s="37" t="s">
        <v>723</v>
      </c>
      <c r="C300" t="s">
        <v>1559</v>
      </c>
      <c r="D300" s="38" t="s">
        <v>1560</v>
      </c>
      <c r="E300" t="s">
        <v>1042</v>
      </c>
    </row>
    <row r="301" spans="1:5" ht="28.8" x14ac:dyDescent="0.3">
      <c r="A301" t="s">
        <v>722</v>
      </c>
      <c r="B301" s="37" t="s">
        <v>723</v>
      </c>
      <c r="C301" t="s">
        <v>1561</v>
      </c>
      <c r="D301" s="38" t="s">
        <v>1562</v>
      </c>
      <c r="E301" t="s">
        <v>1042</v>
      </c>
    </row>
    <row r="302" spans="1:5" ht="28.8" x14ac:dyDescent="0.3">
      <c r="A302" t="s">
        <v>722</v>
      </c>
      <c r="B302" s="37" t="s">
        <v>723</v>
      </c>
      <c r="C302" t="s">
        <v>1563</v>
      </c>
      <c r="D302" s="38" t="s">
        <v>1564</v>
      </c>
      <c r="E302" t="s">
        <v>1042</v>
      </c>
    </row>
    <row r="303" spans="1:5" ht="43.2" x14ac:dyDescent="0.3">
      <c r="A303" t="s">
        <v>729</v>
      </c>
      <c r="B303" s="37" t="s">
        <v>730</v>
      </c>
      <c r="C303" t="s">
        <v>1565</v>
      </c>
      <c r="D303" s="38" t="s">
        <v>1566</v>
      </c>
      <c r="E303" t="s">
        <v>1042</v>
      </c>
    </row>
    <row r="304" spans="1:5" ht="43.2" x14ac:dyDescent="0.3">
      <c r="A304" t="s">
        <v>729</v>
      </c>
      <c r="B304" s="37" t="s">
        <v>730</v>
      </c>
      <c r="C304" t="s">
        <v>1567</v>
      </c>
      <c r="D304" s="38" t="s">
        <v>1568</v>
      </c>
      <c r="E304" t="s">
        <v>1042</v>
      </c>
    </row>
    <row r="305" spans="1:5" ht="43.2" x14ac:dyDescent="0.3">
      <c r="A305" t="s">
        <v>729</v>
      </c>
      <c r="B305" s="37" t="s">
        <v>730</v>
      </c>
      <c r="C305" t="s">
        <v>1569</v>
      </c>
      <c r="D305" s="38" t="s">
        <v>1570</v>
      </c>
      <c r="E305" t="s">
        <v>1042</v>
      </c>
    </row>
    <row r="306" spans="1:5" ht="43.2" x14ac:dyDescent="0.3">
      <c r="A306" t="s">
        <v>729</v>
      </c>
      <c r="B306" s="37" t="s">
        <v>730</v>
      </c>
      <c r="C306" t="s">
        <v>1571</v>
      </c>
      <c r="D306" s="38" t="s">
        <v>1572</v>
      </c>
      <c r="E306" t="s">
        <v>1061</v>
      </c>
    </row>
    <row r="307" spans="1:5" ht="43.2" x14ac:dyDescent="0.3">
      <c r="A307" t="s">
        <v>737</v>
      </c>
      <c r="B307" s="37" t="s">
        <v>739</v>
      </c>
      <c r="C307" t="s">
        <v>1573</v>
      </c>
      <c r="D307" s="38" t="s">
        <v>1574</v>
      </c>
      <c r="E307" t="s">
        <v>1061</v>
      </c>
    </row>
    <row r="308" spans="1:5" ht="43.2" x14ac:dyDescent="0.3">
      <c r="A308" t="s">
        <v>737</v>
      </c>
      <c r="B308" s="37" t="s">
        <v>739</v>
      </c>
      <c r="C308" t="s">
        <v>1575</v>
      </c>
      <c r="D308" s="38" t="s">
        <v>1576</v>
      </c>
      <c r="E308" t="s">
        <v>1042</v>
      </c>
    </row>
    <row r="309" spans="1:5" ht="43.2" x14ac:dyDescent="0.3">
      <c r="A309" t="s">
        <v>745</v>
      </c>
      <c r="B309" s="37" t="s">
        <v>747</v>
      </c>
      <c r="C309" t="s">
        <v>1577</v>
      </c>
      <c r="D309" s="38" t="s">
        <v>1574</v>
      </c>
      <c r="E309" t="s">
        <v>1042</v>
      </c>
    </row>
    <row r="310" spans="1:5" ht="43.2" x14ac:dyDescent="0.3">
      <c r="A310" t="s">
        <v>745</v>
      </c>
      <c r="B310" s="37" t="s">
        <v>747</v>
      </c>
      <c r="C310" t="s">
        <v>1578</v>
      </c>
      <c r="D310" s="38" t="s">
        <v>1570</v>
      </c>
      <c r="E310" t="s">
        <v>1042</v>
      </c>
    </row>
    <row r="311" spans="1:5" ht="43.2" x14ac:dyDescent="0.3">
      <c r="A311" t="s">
        <v>745</v>
      </c>
      <c r="B311" s="37" t="s">
        <v>747</v>
      </c>
      <c r="C311" t="s">
        <v>1579</v>
      </c>
      <c r="D311" s="38" t="s">
        <v>1576</v>
      </c>
      <c r="E311" t="s">
        <v>1061</v>
      </c>
    </row>
    <row r="312" spans="1:5" ht="72" x14ac:dyDescent="0.3">
      <c r="A312" t="s">
        <v>753</v>
      </c>
      <c r="B312" s="37" t="s">
        <v>754</v>
      </c>
      <c r="C312" t="s">
        <v>1580</v>
      </c>
      <c r="D312" s="38" t="s">
        <v>1581</v>
      </c>
      <c r="E312" t="s">
        <v>1061</v>
      </c>
    </row>
    <row r="313" spans="1:5" ht="72" x14ac:dyDescent="0.3">
      <c r="A313" t="s">
        <v>753</v>
      </c>
      <c r="B313" s="37" t="s">
        <v>754</v>
      </c>
      <c r="C313" t="s">
        <v>1582</v>
      </c>
      <c r="D313" s="38" t="s">
        <v>1583</v>
      </c>
      <c r="E313" t="s">
        <v>1042</v>
      </c>
    </row>
    <row r="314" spans="1:5" ht="72" x14ac:dyDescent="0.3">
      <c r="A314" t="s">
        <v>753</v>
      </c>
      <c r="B314" s="37" t="s">
        <v>754</v>
      </c>
      <c r="C314" t="s">
        <v>1584</v>
      </c>
      <c r="D314" s="38" t="s">
        <v>1585</v>
      </c>
      <c r="E314" t="s">
        <v>1042</v>
      </c>
    </row>
    <row r="315" spans="1:5" ht="72" x14ac:dyDescent="0.3">
      <c r="A315" t="s">
        <v>753</v>
      </c>
      <c r="B315" s="37" t="s">
        <v>754</v>
      </c>
      <c r="C315" t="s">
        <v>1586</v>
      </c>
      <c r="D315" s="38" t="s">
        <v>1587</v>
      </c>
      <c r="E315" t="s">
        <v>1042</v>
      </c>
    </row>
    <row r="316" spans="1:5" ht="72" x14ac:dyDescent="0.3">
      <c r="A316" t="s">
        <v>753</v>
      </c>
      <c r="B316" s="37" t="s">
        <v>754</v>
      </c>
      <c r="C316" t="s">
        <v>1588</v>
      </c>
      <c r="D316" s="38" t="s">
        <v>1589</v>
      </c>
      <c r="E316" t="s">
        <v>1042</v>
      </c>
    </row>
    <row r="317" spans="1:5" ht="43.2" x14ac:dyDescent="0.3">
      <c r="A317" t="s">
        <v>760</v>
      </c>
      <c r="B317" s="37" t="s">
        <v>762</v>
      </c>
      <c r="C317" t="s">
        <v>1590</v>
      </c>
      <c r="D317" s="39" t="s">
        <v>1591</v>
      </c>
      <c r="E317" t="s">
        <v>1061</v>
      </c>
    </row>
    <row r="318" spans="1:5" ht="28.8" x14ac:dyDescent="0.3">
      <c r="A318" t="s">
        <v>770</v>
      </c>
      <c r="B318" s="37" t="s">
        <v>771</v>
      </c>
      <c r="C318" t="s">
        <v>1592</v>
      </c>
      <c r="D318" s="39" t="s">
        <v>1566</v>
      </c>
      <c r="E318" t="s">
        <v>1042</v>
      </c>
    </row>
    <row r="319" spans="1:5" ht="28.8" x14ac:dyDescent="0.3">
      <c r="A319" t="s">
        <v>770</v>
      </c>
      <c r="B319" s="37" t="s">
        <v>771</v>
      </c>
      <c r="C319" t="s">
        <v>1593</v>
      </c>
      <c r="D319" s="39" t="s">
        <v>1594</v>
      </c>
      <c r="E319" t="s">
        <v>1061</v>
      </c>
    </row>
    <row r="320" spans="1:5" ht="28.8" x14ac:dyDescent="0.3">
      <c r="A320" t="s">
        <v>770</v>
      </c>
      <c r="B320" s="37" t="s">
        <v>771</v>
      </c>
      <c r="C320" t="s">
        <v>1595</v>
      </c>
      <c r="D320" s="39" t="s">
        <v>1596</v>
      </c>
      <c r="E320" t="s">
        <v>1042</v>
      </c>
    </row>
    <row r="321" spans="1:5" ht="28.8" x14ac:dyDescent="0.3">
      <c r="A321" t="s">
        <v>778</v>
      </c>
      <c r="B321" s="37" t="s">
        <v>779</v>
      </c>
      <c r="C321" t="s">
        <v>1597</v>
      </c>
      <c r="D321" s="38" t="s">
        <v>1598</v>
      </c>
      <c r="E321" t="s">
        <v>1061</v>
      </c>
    </row>
    <row r="322" spans="1:5" ht="28.8" x14ac:dyDescent="0.3">
      <c r="A322" t="s">
        <v>785</v>
      </c>
      <c r="B322" s="37" t="s">
        <v>786</v>
      </c>
      <c r="C322" t="s">
        <v>1599</v>
      </c>
      <c r="D322" s="39" t="s">
        <v>1600</v>
      </c>
      <c r="E322" t="s">
        <v>1042</v>
      </c>
    </row>
    <row r="323" spans="1:5" ht="28.8" x14ac:dyDescent="0.3">
      <c r="A323" t="s">
        <v>785</v>
      </c>
      <c r="B323" s="37" t="s">
        <v>786</v>
      </c>
      <c r="C323" t="s">
        <v>1601</v>
      </c>
      <c r="D323" s="39" t="s">
        <v>1602</v>
      </c>
      <c r="E323" t="s">
        <v>1042</v>
      </c>
    </row>
    <row r="324" spans="1:5" ht="28.8" x14ac:dyDescent="0.3">
      <c r="A324" t="s">
        <v>785</v>
      </c>
      <c r="B324" s="37" t="s">
        <v>786</v>
      </c>
      <c r="C324" t="s">
        <v>1603</v>
      </c>
      <c r="D324" s="39" t="s">
        <v>1596</v>
      </c>
      <c r="E324" t="s">
        <v>1042</v>
      </c>
    </row>
    <row r="325" spans="1:5" ht="28.8" x14ac:dyDescent="0.3">
      <c r="A325" t="s">
        <v>785</v>
      </c>
      <c r="B325" s="37" t="s">
        <v>786</v>
      </c>
      <c r="C325" t="s">
        <v>1604</v>
      </c>
      <c r="D325" s="39" t="s">
        <v>1605</v>
      </c>
      <c r="E325" t="s">
        <v>1042</v>
      </c>
    </row>
    <row r="326" spans="1:5" ht="28.8" x14ac:dyDescent="0.3">
      <c r="A326" t="s">
        <v>785</v>
      </c>
      <c r="B326" s="37" t="s">
        <v>786</v>
      </c>
      <c r="C326" t="s">
        <v>1606</v>
      </c>
      <c r="D326" s="39" t="s">
        <v>1607</v>
      </c>
      <c r="E326" t="s">
        <v>1061</v>
      </c>
    </row>
    <row r="327" spans="1:5" ht="43.2" x14ac:dyDescent="0.3">
      <c r="A327" t="s">
        <v>792</v>
      </c>
      <c r="B327" s="37" t="s">
        <v>794</v>
      </c>
      <c r="C327" t="s">
        <v>1608</v>
      </c>
      <c r="D327" s="38" t="s">
        <v>1581</v>
      </c>
      <c r="E327" t="s">
        <v>1051</v>
      </c>
    </row>
    <row r="328" spans="1:5" ht="28.8" x14ac:dyDescent="0.3">
      <c r="A328" t="s">
        <v>800</v>
      </c>
      <c r="B328" s="37" t="s">
        <v>801</v>
      </c>
      <c r="C328" t="s">
        <v>1609</v>
      </c>
      <c r="D328" s="38" t="s">
        <v>1596</v>
      </c>
      <c r="E328" t="s">
        <v>1051</v>
      </c>
    </row>
    <row r="329" spans="1:5" ht="43.2" x14ac:dyDescent="0.3">
      <c r="A329" t="s">
        <v>808</v>
      </c>
      <c r="B329" s="37" t="s">
        <v>810</v>
      </c>
      <c r="C329" t="s">
        <v>1610</v>
      </c>
      <c r="D329" s="38" t="s">
        <v>1611</v>
      </c>
      <c r="E329" t="s">
        <v>1051</v>
      </c>
    </row>
    <row r="330" spans="1:5" ht="43.2" x14ac:dyDescent="0.3">
      <c r="A330" t="s">
        <v>808</v>
      </c>
      <c r="B330" s="37" t="s">
        <v>810</v>
      </c>
      <c r="C330" t="s">
        <v>1612</v>
      </c>
      <c r="D330" s="38" t="s">
        <v>1613</v>
      </c>
      <c r="E330" t="s">
        <v>1042</v>
      </c>
    </row>
    <row r="331" spans="1:5" ht="28.8" x14ac:dyDescent="0.3">
      <c r="A331" t="s">
        <v>816</v>
      </c>
      <c r="B331" s="37" t="s">
        <v>817</v>
      </c>
      <c r="C331" t="s">
        <v>1614</v>
      </c>
      <c r="D331" s="38" t="s">
        <v>1615</v>
      </c>
      <c r="E331" t="s">
        <v>1051</v>
      </c>
    </row>
    <row r="332" spans="1:5" ht="28.8" x14ac:dyDescent="0.3">
      <c r="A332" t="s">
        <v>816</v>
      </c>
      <c r="B332" s="37" t="s">
        <v>817</v>
      </c>
      <c r="C332" t="s">
        <v>1616</v>
      </c>
      <c r="D332" s="38" t="s">
        <v>1602</v>
      </c>
      <c r="E332" t="s">
        <v>1042</v>
      </c>
    </row>
    <row r="333" spans="1:5" ht="43.2" x14ac:dyDescent="0.3">
      <c r="A333" t="s">
        <v>824</v>
      </c>
      <c r="B333" s="37" t="s">
        <v>825</v>
      </c>
      <c r="C333" t="s">
        <v>1617</v>
      </c>
      <c r="D333" s="38" t="s">
        <v>1570</v>
      </c>
      <c r="E333" t="s">
        <v>1051</v>
      </c>
    </row>
    <row r="334" spans="1:5" ht="43.2" x14ac:dyDescent="0.3">
      <c r="A334" t="s">
        <v>832</v>
      </c>
      <c r="B334" s="37" t="s">
        <v>833</v>
      </c>
      <c r="C334" t="s">
        <v>1618</v>
      </c>
      <c r="D334" s="39" t="s">
        <v>1619</v>
      </c>
      <c r="E334" t="s">
        <v>1042</v>
      </c>
    </row>
    <row r="335" spans="1:5" ht="43.2" x14ac:dyDescent="0.3">
      <c r="A335" t="s">
        <v>832</v>
      </c>
      <c r="B335" s="37" t="s">
        <v>833</v>
      </c>
      <c r="C335" t="s">
        <v>1620</v>
      </c>
      <c r="D335" s="39" t="s">
        <v>1611</v>
      </c>
      <c r="E335" t="s">
        <v>1621</v>
      </c>
    </row>
    <row r="336" spans="1:5" ht="43.2" x14ac:dyDescent="0.3">
      <c r="A336" t="s">
        <v>832</v>
      </c>
      <c r="B336" s="37" t="s">
        <v>833</v>
      </c>
      <c r="C336" t="s">
        <v>1622</v>
      </c>
      <c r="D336" s="39" t="s">
        <v>1623</v>
      </c>
      <c r="E336" t="s">
        <v>1042</v>
      </c>
    </row>
    <row r="337" spans="1:5" ht="43.2" x14ac:dyDescent="0.3">
      <c r="A337" t="s">
        <v>832</v>
      </c>
      <c r="B337" s="37" t="s">
        <v>833</v>
      </c>
      <c r="C337" t="s">
        <v>1624</v>
      </c>
      <c r="D337" s="39" t="s">
        <v>1574</v>
      </c>
      <c r="E337" t="s">
        <v>1042</v>
      </c>
    </row>
    <row r="338" spans="1:5" ht="28.8" x14ac:dyDescent="0.3">
      <c r="A338" t="s">
        <v>839</v>
      </c>
      <c r="B338" s="37" t="s">
        <v>1625</v>
      </c>
      <c r="C338" t="s">
        <v>1626</v>
      </c>
      <c r="D338" s="38" t="s">
        <v>1627</v>
      </c>
      <c r="E338" t="s">
        <v>1061</v>
      </c>
    </row>
    <row r="339" spans="1:5" ht="28.8" x14ac:dyDescent="0.3">
      <c r="A339" t="s">
        <v>848</v>
      </c>
      <c r="B339" s="37" t="s">
        <v>849</v>
      </c>
      <c r="C339" t="s">
        <v>1628</v>
      </c>
      <c r="D339" s="38" t="s">
        <v>1629</v>
      </c>
      <c r="E339" t="s">
        <v>1051</v>
      </c>
    </row>
    <row r="340" spans="1:5" ht="28.8" x14ac:dyDescent="0.3">
      <c r="A340" t="s">
        <v>848</v>
      </c>
      <c r="B340" s="37" t="s">
        <v>849</v>
      </c>
      <c r="C340" t="s">
        <v>1630</v>
      </c>
      <c r="D340" s="38" t="s">
        <v>1570</v>
      </c>
      <c r="E340" t="s">
        <v>1042</v>
      </c>
    </row>
    <row r="341" spans="1:5" ht="28.8" x14ac:dyDescent="0.3">
      <c r="A341" t="s">
        <v>848</v>
      </c>
      <c r="B341" s="37" t="s">
        <v>849</v>
      </c>
      <c r="C341" t="s">
        <v>1631</v>
      </c>
      <c r="D341" s="38" t="s">
        <v>1632</v>
      </c>
      <c r="E341" t="s">
        <v>1042</v>
      </c>
    </row>
    <row r="342" spans="1:5" ht="57.6" x14ac:dyDescent="0.3">
      <c r="A342" t="s">
        <v>856</v>
      </c>
      <c r="B342" s="37" t="s">
        <v>857</v>
      </c>
      <c r="C342" t="s">
        <v>1633</v>
      </c>
      <c r="D342" s="38" t="s">
        <v>1634</v>
      </c>
      <c r="E342" t="s">
        <v>1061</v>
      </c>
    </row>
    <row r="343" spans="1:5" ht="72" x14ac:dyDescent="0.3">
      <c r="A343" t="s">
        <v>863</v>
      </c>
      <c r="B343" s="37" t="s">
        <v>864</v>
      </c>
      <c r="C343" t="s">
        <v>1635</v>
      </c>
      <c r="D343" s="39" t="s">
        <v>1636</v>
      </c>
      <c r="E343" t="s">
        <v>1042</v>
      </c>
    </row>
    <row r="344" spans="1:5" ht="72" x14ac:dyDescent="0.3">
      <c r="A344" t="s">
        <v>863</v>
      </c>
      <c r="B344" s="37" t="s">
        <v>864</v>
      </c>
      <c r="C344" t="s">
        <v>1637</v>
      </c>
      <c r="D344" s="39" t="s">
        <v>1596</v>
      </c>
      <c r="E344" t="s">
        <v>1042</v>
      </c>
    </row>
    <row r="345" spans="1:5" ht="72" x14ac:dyDescent="0.3">
      <c r="A345" t="s">
        <v>863</v>
      </c>
      <c r="B345" s="37" t="s">
        <v>864</v>
      </c>
      <c r="C345" t="s">
        <v>1638</v>
      </c>
      <c r="D345" s="39" t="s">
        <v>1639</v>
      </c>
      <c r="E345" t="s">
        <v>1061</v>
      </c>
    </row>
    <row r="346" spans="1:5" ht="72" x14ac:dyDescent="0.3">
      <c r="A346" t="s">
        <v>863</v>
      </c>
      <c r="B346" s="37" t="s">
        <v>864</v>
      </c>
      <c r="C346" t="s">
        <v>1640</v>
      </c>
      <c r="D346" s="39" t="s">
        <v>1641</v>
      </c>
      <c r="E346" t="s">
        <v>1042</v>
      </c>
    </row>
    <row r="347" spans="1:5" ht="28.8" x14ac:dyDescent="0.3">
      <c r="A347" t="s">
        <v>872</v>
      </c>
      <c r="B347" s="37" t="s">
        <v>873</v>
      </c>
      <c r="C347" t="s">
        <v>1642</v>
      </c>
      <c r="D347" s="39" t="s">
        <v>1643</v>
      </c>
      <c r="E347" t="s">
        <v>1042</v>
      </c>
    </row>
    <row r="348" spans="1:5" ht="28.8" x14ac:dyDescent="0.3">
      <c r="A348" t="s">
        <v>872</v>
      </c>
      <c r="B348" s="37" t="s">
        <v>873</v>
      </c>
      <c r="C348" t="s">
        <v>1644</v>
      </c>
      <c r="D348" s="39" t="s">
        <v>1596</v>
      </c>
      <c r="E348" t="s">
        <v>1061</v>
      </c>
    </row>
    <row r="349" spans="1:5" ht="28.8" x14ac:dyDescent="0.3">
      <c r="A349" t="s">
        <v>872</v>
      </c>
      <c r="B349" s="37" t="s">
        <v>873</v>
      </c>
      <c r="C349" t="s">
        <v>1645</v>
      </c>
      <c r="D349" s="39" t="s">
        <v>1639</v>
      </c>
      <c r="E349" t="s">
        <v>1042</v>
      </c>
    </row>
    <row r="350" spans="1:5" ht="28.8" x14ac:dyDescent="0.3">
      <c r="A350" t="s">
        <v>872</v>
      </c>
      <c r="B350" s="37" t="s">
        <v>873</v>
      </c>
      <c r="C350" t="s">
        <v>1646</v>
      </c>
      <c r="D350" s="39" t="s">
        <v>1647</v>
      </c>
      <c r="E350" t="s">
        <v>1042</v>
      </c>
    </row>
    <row r="351" spans="1:5" ht="28.8" x14ac:dyDescent="0.3">
      <c r="A351" t="s">
        <v>872</v>
      </c>
      <c r="B351" s="37" t="s">
        <v>873</v>
      </c>
      <c r="C351" t="s">
        <v>1648</v>
      </c>
      <c r="D351" s="39" t="s">
        <v>1649</v>
      </c>
      <c r="E351" t="s">
        <v>1042</v>
      </c>
    </row>
    <row r="352" spans="1:5" ht="28.8" x14ac:dyDescent="0.3">
      <c r="A352" t="s">
        <v>872</v>
      </c>
      <c r="B352" s="37" t="s">
        <v>873</v>
      </c>
      <c r="C352" t="s">
        <v>1650</v>
      </c>
      <c r="D352" s="39" t="s">
        <v>1651</v>
      </c>
      <c r="E352" t="s">
        <v>1042</v>
      </c>
    </row>
    <row r="353" spans="1:5" ht="86.4" x14ac:dyDescent="0.3">
      <c r="A353" t="s">
        <v>879</v>
      </c>
      <c r="B353" s="37" t="s">
        <v>880</v>
      </c>
      <c r="C353" t="s">
        <v>1652</v>
      </c>
      <c r="D353" s="39" t="s">
        <v>1653</v>
      </c>
      <c r="E353" t="s">
        <v>1061</v>
      </c>
    </row>
    <row r="354" spans="1:5" ht="86.4" x14ac:dyDescent="0.3">
      <c r="A354" t="s">
        <v>879</v>
      </c>
      <c r="B354" s="37" t="s">
        <v>880</v>
      </c>
      <c r="C354" t="s">
        <v>1654</v>
      </c>
      <c r="D354" s="39" t="s">
        <v>1655</v>
      </c>
      <c r="E354" t="s">
        <v>1042</v>
      </c>
    </row>
    <row r="355" spans="1:5" ht="86.4" x14ac:dyDescent="0.3">
      <c r="A355" t="s">
        <v>879</v>
      </c>
      <c r="B355" s="37" t="s">
        <v>880</v>
      </c>
      <c r="C355" t="s">
        <v>1656</v>
      </c>
      <c r="D355" s="39" t="s">
        <v>1596</v>
      </c>
      <c r="E355" t="s">
        <v>1042</v>
      </c>
    </row>
    <row r="356" spans="1:5" ht="86.4" x14ac:dyDescent="0.3">
      <c r="A356" t="s">
        <v>879</v>
      </c>
      <c r="B356" s="37" t="s">
        <v>880</v>
      </c>
      <c r="C356" t="s">
        <v>1657</v>
      </c>
      <c r="D356" s="39" t="s">
        <v>1658</v>
      </c>
      <c r="E356" t="s">
        <v>1042</v>
      </c>
    </row>
    <row r="357" spans="1:5" ht="86.4" x14ac:dyDescent="0.3">
      <c r="A357" t="s">
        <v>879</v>
      </c>
      <c r="B357" s="37" t="s">
        <v>880</v>
      </c>
      <c r="C357" t="s">
        <v>1659</v>
      </c>
      <c r="D357" s="39" t="s">
        <v>1660</v>
      </c>
      <c r="E357" t="s">
        <v>1042</v>
      </c>
    </row>
    <row r="358" spans="1:5" ht="43.2" x14ac:dyDescent="0.3">
      <c r="A358" s="40" t="s">
        <v>887</v>
      </c>
      <c r="B358" s="37" t="s">
        <v>888</v>
      </c>
      <c r="C358" t="s">
        <v>1661</v>
      </c>
      <c r="D358" s="39" t="s">
        <v>1662</v>
      </c>
      <c r="E358" t="s">
        <v>1061</v>
      </c>
    </row>
    <row r="359" spans="1:5" ht="43.2" x14ac:dyDescent="0.3">
      <c r="A359" s="40" t="s">
        <v>887</v>
      </c>
      <c r="B359" s="37" t="s">
        <v>888</v>
      </c>
      <c r="C359" t="s">
        <v>1663</v>
      </c>
      <c r="D359" s="39" t="s">
        <v>1664</v>
      </c>
      <c r="E359" t="s">
        <v>1042</v>
      </c>
    </row>
    <row r="360" spans="1:5" ht="43.2" x14ac:dyDescent="0.3">
      <c r="A360" s="40" t="s">
        <v>895</v>
      </c>
      <c r="B360" s="37" t="s">
        <v>896</v>
      </c>
      <c r="C360" t="s">
        <v>1665</v>
      </c>
      <c r="D360" s="39" t="s">
        <v>1666</v>
      </c>
      <c r="E360" t="s">
        <v>1667</v>
      </c>
    </row>
    <row r="361" spans="1:5" ht="43.2" x14ac:dyDescent="0.3">
      <c r="A361" s="40" t="s">
        <v>895</v>
      </c>
      <c r="B361" s="37" t="s">
        <v>896</v>
      </c>
      <c r="C361" t="s">
        <v>1668</v>
      </c>
      <c r="D361" s="39" t="s">
        <v>1669</v>
      </c>
      <c r="E361" t="s">
        <v>1042</v>
      </c>
    </row>
    <row r="362" spans="1:5" ht="43.2" x14ac:dyDescent="0.3">
      <c r="A362" s="40" t="s">
        <v>895</v>
      </c>
      <c r="B362" s="37" t="s">
        <v>896</v>
      </c>
      <c r="C362" t="s">
        <v>1670</v>
      </c>
      <c r="D362" s="39" t="s">
        <v>1671</v>
      </c>
      <c r="E362" t="s">
        <v>1042</v>
      </c>
    </row>
    <row r="363" spans="1:5" ht="43.2" x14ac:dyDescent="0.3">
      <c r="A363" s="40" t="s">
        <v>895</v>
      </c>
      <c r="B363" s="37" t="s">
        <v>896</v>
      </c>
      <c r="C363" t="s">
        <v>1672</v>
      </c>
      <c r="D363" s="39" t="s">
        <v>1673</v>
      </c>
      <c r="E363" t="s">
        <v>1042</v>
      </c>
    </row>
    <row r="364" spans="1:5" ht="43.2" x14ac:dyDescent="0.3">
      <c r="A364" s="40" t="s">
        <v>895</v>
      </c>
      <c r="B364" s="37" t="s">
        <v>896</v>
      </c>
      <c r="C364" t="s">
        <v>1674</v>
      </c>
      <c r="D364" s="39" t="s">
        <v>1675</v>
      </c>
      <c r="E364" t="s">
        <v>1042</v>
      </c>
    </row>
    <row r="365" spans="1:5" ht="43.2" x14ac:dyDescent="0.3">
      <c r="A365" s="40" t="s">
        <v>895</v>
      </c>
      <c r="B365" s="37" t="s">
        <v>896</v>
      </c>
      <c r="C365" t="s">
        <v>1676</v>
      </c>
      <c r="D365" s="39" t="s">
        <v>1677</v>
      </c>
      <c r="E365" t="s">
        <v>1042</v>
      </c>
    </row>
    <row r="366" spans="1:5" ht="43.2" x14ac:dyDescent="0.3">
      <c r="A366" s="40" t="s">
        <v>895</v>
      </c>
      <c r="B366" s="37" t="s">
        <v>896</v>
      </c>
      <c r="C366" t="s">
        <v>1678</v>
      </c>
      <c r="D366" s="39" t="s">
        <v>1629</v>
      </c>
      <c r="E366" t="s">
        <v>1042</v>
      </c>
    </row>
    <row r="367" spans="1:5" ht="28.8" x14ac:dyDescent="0.3">
      <c r="A367" s="40" t="s">
        <v>902</v>
      </c>
      <c r="B367" s="37" t="s">
        <v>903</v>
      </c>
      <c r="C367" t="s">
        <v>1679</v>
      </c>
      <c r="D367" s="39" t="s">
        <v>1680</v>
      </c>
      <c r="E367" t="s">
        <v>1667</v>
      </c>
    </row>
    <row r="368" spans="1:5" ht="28.8" x14ac:dyDescent="0.3">
      <c r="A368" t="s">
        <v>902</v>
      </c>
      <c r="B368" s="37" t="s">
        <v>903</v>
      </c>
      <c r="C368" t="s">
        <v>1681</v>
      </c>
      <c r="D368" s="39" t="s">
        <v>1682</v>
      </c>
      <c r="E368" t="s">
        <v>1042</v>
      </c>
    </row>
    <row r="369" spans="1:5" ht="43.2" x14ac:dyDescent="0.3">
      <c r="A369" t="s">
        <v>932</v>
      </c>
      <c r="B369" s="37" t="s">
        <v>933</v>
      </c>
      <c r="C369" t="s">
        <v>1683</v>
      </c>
      <c r="D369" s="27" t="s">
        <v>1684</v>
      </c>
      <c r="E369" t="s">
        <v>1061</v>
      </c>
    </row>
    <row r="370" spans="1:5" ht="43.2" x14ac:dyDescent="0.3">
      <c r="A370" t="s">
        <v>932</v>
      </c>
      <c r="B370" s="37" t="s">
        <v>933</v>
      </c>
      <c r="C370" t="s">
        <v>1685</v>
      </c>
      <c r="D370" s="27" t="s">
        <v>1686</v>
      </c>
      <c r="E370" t="s">
        <v>1042</v>
      </c>
    </row>
    <row r="371" spans="1:5" ht="28.8" x14ac:dyDescent="0.3">
      <c r="A371" s="41" t="s">
        <v>946</v>
      </c>
      <c r="B371" s="37" t="s">
        <v>947</v>
      </c>
      <c r="C371" t="s">
        <v>1687</v>
      </c>
      <c r="D371" s="41" t="s">
        <v>1596</v>
      </c>
      <c r="E371" t="s">
        <v>1042</v>
      </c>
    </row>
    <row r="372" spans="1:5" ht="28.8" x14ac:dyDescent="0.3">
      <c r="A372" t="s">
        <v>946</v>
      </c>
      <c r="B372" s="37" t="s">
        <v>947</v>
      </c>
      <c r="C372" t="s">
        <v>1688</v>
      </c>
      <c r="D372" s="27" t="s">
        <v>1689</v>
      </c>
      <c r="E372" t="s">
        <v>1042</v>
      </c>
    </row>
    <row r="373" spans="1:5" ht="28.8" x14ac:dyDescent="0.3">
      <c r="A373" t="s">
        <v>946</v>
      </c>
      <c r="B373" s="37" t="s">
        <v>947</v>
      </c>
      <c r="C373" t="s">
        <v>1690</v>
      </c>
      <c r="D373" s="27" t="s">
        <v>1691</v>
      </c>
      <c r="E373" t="s">
        <v>1061</v>
      </c>
    </row>
    <row r="374" spans="1:5" ht="43.2" x14ac:dyDescent="0.3">
      <c r="A374" t="s">
        <v>954</v>
      </c>
      <c r="B374" s="37" t="s">
        <v>956</v>
      </c>
      <c r="C374" t="s">
        <v>1692</v>
      </c>
      <c r="D374" s="27" t="s">
        <v>1691</v>
      </c>
      <c r="E374" t="s">
        <v>1061</v>
      </c>
    </row>
    <row r="375" spans="1:5" ht="43.2" x14ac:dyDescent="0.3">
      <c r="A375" t="s">
        <v>924</v>
      </c>
      <c r="B375" s="37" t="s">
        <v>925</v>
      </c>
      <c r="C375" t="s">
        <v>1693</v>
      </c>
      <c r="D375" s="27" t="s">
        <v>1694</v>
      </c>
      <c r="E375" t="s">
        <v>1061</v>
      </c>
    </row>
    <row r="376" spans="1:5" ht="43.2" x14ac:dyDescent="0.3">
      <c r="A376" t="s">
        <v>909</v>
      </c>
      <c r="B376" s="37" t="s">
        <v>910</v>
      </c>
      <c r="C376" t="s">
        <v>1695</v>
      </c>
      <c r="D376" s="27" t="s">
        <v>1696</v>
      </c>
      <c r="E376" t="s">
        <v>1061</v>
      </c>
    </row>
    <row r="377" spans="1:5" ht="28.8" x14ac:dyDescent="0.3">
      <c r="A377" t="s">
        <v>917</v>
      </c>
      <c r="B377" s="37" t="s">
        <v>918</v>
      </c>
      <c r="C377" s="27" t="s">
        <v>1697</v>
      </c>
      <c r="D377" s="27" t="s">
        <v>1684</v>
      </c>
      <c r="E377" t="s">
        <v>1042</v>
      </c>
    </row>
    <row r="378" spans="1:5" ht="28.8" x14ac:dyDescent="0.3">
      <c r="A378" t="s">
        <v>917</v>
      </c>
      <c r="B378" s="37" t="s">
        <v>918</v>
      </c>
      <c r="C378" s="27" t="s">
        <v>1698</v>
      </c>
      <c r="D378" s="27" t="s">
        <v>1596</v>
      </c>
      <c r="E378" t="s">
        <v>1042</v>
      </c>
    </row>
    <row r="379" spans="1:5" ht="28.8" x14ac:dyDescent="0.3">
      <c r="A379" t="s">
        <v>917</v>
      </c>
      <c r="B379" s="37" t="s">
        <v>918</v>
      </c>
      <c r="C379" s="27" t="s">
        <v>1699</v>
      </c>
      <c r="D379" s="27" t="s">
        <v>1682</v>
      </c>
      <c r="E379" t="s">
        <v>1042</v>
      </c>
    </row>
    <row r="380" spans="1:5" ht="28.8" x14ac:dyDescent="0.3">
      <c r="A380" t="s">
        <v>917</v>
      </c>
      <c r="B380" s="37" t="s">
        <v>918</v>
      </c>
      <c r="C380" s="27" t="s">
        <v>1700</v>
      </c>
      <c r="D380" s="27" t="s">
        <v>1686</v>
      </c>
      <c r="E380" t="s">
        <v>1061</v>
      </c>
    </row>
    <row r="381" spans="1:5" ht="57.6" x14ac:dyDescent="0.3">
      <c r="A381" t="s">
        <v>939</v>
      </c>
      <c r="B381" s="37" t="s">
        <v>940</v>
      </c>
      <c r="C381" t="s">
        <v>1701</v>
      </c>
      <c r="D381" s="27" t="s">
        <v>1686</v>
      </c>
      <c r="E381" t="s">
        <v>1061</v>
      </c>
    </row>
    <row r="382" spans="1:5" ht="28.8" x14ac:dyDescent="0.3">
      <c r="A382" s="42" t="s">
        <v>969</v>
      </c>
      <c r="B382" s="37" t="s">
        <v>971</v>
      </c>
      <c r="C382" s="42" t="s">
        <v>1702</v>
      </c>
      <c r="D382" s="27" t="s">
        <v>1703</v>
      </c>
      <c r="E382" t="s">
        <v>1061</v>
      </c>
    </row>
    <row r="383" spans="1:5" ht="28.8" x14ac:dyDescent="0.3">
      <c r="A383" t="s">
        <v>969</v>
      </c>
      <c r="B383" s="37" t="s">
        <v>971</v>
      </c>
      <c r="C383" s="42" t="s">
        <v>1704</v>
      </c>
      <c r="D383" s="27" t="s">
        <v>1705</v>
      </c>
      <c r="E383" t="s">
        <v>1042</v>
      </c>
    </row>
    <row r="384" spans="1:5" ht="28.8" x14ac:dyDescent="0.3">
      <c r="A384" t="s">
        <v>969</v>
      </c>
      <c r="B384" s="37" t="s">
        <v>971</v>
      </c>
      <c r="C384" s="42" t="s">
        <v>1706</v>
      </c>
      <c r="D384" s="27" t="s">
        <v>1707</v>
      </c>
      <c r="E384" t="s">
        <v>1042</v>
      </c>
    </row>
    <row r="385" spans="1:5" ht="72" x14ac:dyDescent="0.3">
      <c r="A385" t="s">
        <v>990</v>
      </c>
      <c r="B385" s="37" t="s">
        <v>992</v>
      </c>
      <c r="C385" t="s">
        <v>1708</v>
      </c>
      <c r="D385" s="27" t="s">
        <v>1709</v>
      </c>
      <c r="E385" t="s">
        <v>1061</v>
      </c>
    </row>
    <row r="386" spans="1:5" ht="28.8" x14ac:dyDescent="0.3">
      <c r="A386" t="s">
        <v>999</v>
      </c>
      <c r="B386" s="37" t="s">
        <v>1000</v>
      </c>
      <c r="C386" t="s">
        <v>1710</v>
      </c>
      <c r="D386" s="27" t="s">
        <v>1711</v>
      </c>
      <c r="E386" t="s">
        <v>1061</v>
      </c>
    </row>
    <row r="387" spans="1:5" ht="28.8" x14ac:dyDescent="0.3">
      <c r="A387" s="37" t="s">
        <v>977</v>
      </c>
      <c r="B387" s="37" t="s">
        <v>978</v>
      </c>
      <c r="C387" s="37" t="s">
        <v>1712</v>
      </c>
      <c r="D387" s="27" t="s">
        <v>1713</v>
      </c>
      <c r="E387" s="37" t="s">
        <v>1061</v>
      </c>
    </row>
    <row r="388" spans="1:5" ht="28.8" x14ac:dyDescent="0.3">
      <c r="A388" s="37" t="s">
        <v>977</v>
      </c>
      <c r="B388" s="37" t="s">
        <v>978</v>
      </c>
      <c r="C388" s="37" t="s">
        <v>1714</v>
      </c>
      <c r="D388" s="27" t="s">
        <v>1715</v>
      </c>
      <c r="E388" t="s">
        <v>1042</v>
      </c>
    </row>
    <row r="389" spans="1:5" ht="43.2" x14ac:dyDescent="0.3">
      <c r="A389" s="37" t="s">
        <v>983</v>
      </c>
      <c r="B389" s="37" t="s">
        <v>984</v>
      </c>
      <c r="C389" s="37" t="s">
        <v>1716</v>
      </c>
      <c r="D389" s="27" t="s">
        <v>1717</v>
      </c>
      <c r="E389" s="37" t="s">
        <v>1042</v>
      </c>
    </row>
    <row r="390" spans="1:5" ht="43.2" x14ac:dyDescent="0.3">
      <c r="A390" s="37" t="s">
        <v>983</v>
      </c>
      <c r="B390" s="37" t="s">
        <v>984</v>
      </c>
      <c r="C390" s="37" t="s">
        <v>1718</v>
      </c>
      <c r="D390" s="27" t="s">
        <v>1719</v>
      </c>
      <c r="E390" s="37" t="s">
        <v>1042</v>
      </c>
    </row>
    <row r="391" spans="1:5" ht="43.2" x14ac:dyDescent="0.3">
      <c r="A391" s="37" t="s">
        <v>983</v>
      </c>
      <c r="B391" s="37" t="s">
        <v>984</v>
      </c>
      <c r="C391" s="37" t="s">
        <v>1720</v>
      </c>
      <c r="D391" s="27" t="s">
        <v>1721</v>
      </c>
      <c r="E391" s="37" t="s">
        <v>1042</v>
      </c>
    </row>
    <row r="392" spans="1:5" ht="43.2" x14ac:dyDescent="0.3">
      <c r="A392" s="37" t="s">
        <v>983</v>
      </c>
      <c r="B392" s="37" t="s">
        <v>984</v>
      </c>
      <c r="C392" s="37" t="s">
        <v>1722</v>
      </c>
      <c r="D392" s="27" t="s">
        <v>1715</v>
      </c>
      <c r="E392" s="37" t="s">
        <v>1061</v>
      </c>
    </row>
    <row r="393" spans="1:5" ht="57.6" x14ac:dyDescent="0.3">
      <c r="A393" s="43" t="s">
        <v>962</v>
      </c>
      <c r="B393" s="37" t="s">
        <v>963</v>
      </c>
      <c r="C393" s="37" t="s">
        <v>1723</v>
      </c>
      <c r="D393" s="27" t="s">
        <v>1715</v>
      </c>
      <c r="E393" s="37" t="s">
        <v>1061</v>
      </c>
    </row>
    <row r="394" spans="1:5" ht="57.6" x14ac:dyDescent="0.3">
      <c r="A394" s="43" t="s">
        <v>962</v>
      </c>
      <c r="B394" s="37" t="s">
        <v>963</v>
      </c>
      <c r="C394" s="37" t="s">
        <v>1723</v>
      </c>
      <c r="D394" s="27" t="s">
        <v>1707</v>
      </c>
      <c r="E394" s="37" t="s">
        <v>1042</v>
      </c>
    </row>
    <row r="395" spans="1:5" ht="43.2" x14ac:dyDescent="0.3">
      <c r="A395" s="37" t="s">
        <v>1007</v>
      </c>
      <c r="B395" s="37" t="s">
        <v>1009</v>
      </c>
      <c r="C395" t="s">
        <v>1724</v>
      </c>
      <c r="D395" s="27" t="s">
        <v>1725</v>
      </c>
      <c r="E395" t="s">
        <v>1061</v>
      </c>
    </row>
    <row r="396" spans="1:5" ht="43.2" x14ac:dyDescent="0.3">
      <c r="A396" t="s">
        <v>1017</v>
      </c>
      <c r="B396" s="37" t="s">
        <v>1018</v>
      </c>
      <c r="C396" t="s">
        <v>1726</v>
      </c>
      <c r="D396" s="27" t="s">
        <v>1727</v>
      </c>
      <c r="E396" t="s">
        <v>1061</v>
      </c>
    </row>
    <row r="397" spans="1:5" ht="43.2" x14ac:dyDescent="0.3">
      <c r="A397" t="s">
        <v>1017</v>
      </c>
      <c r="B397" s="37" t="s">
        <v>1018</v>
      </c>
      <c r="C397" t="s">
        <v>1728</v>
      </c>
      <c r="D397" s="27" t="s">
        <v>1594</v>
      </c>
      <c r="E397" t="s">
        <v>1042</v>
      </c>
    </row>
    <row r="398" spans="1:5" ht="43.2" x14ac:dyDescent="0.3">
      <c r="A398" t="s">
        <v>1026</v>
      </c>
      <c r="B398" s="37" t="s">
        <v>1027</v>
      </c>
      <c r="C398" t="s">
        <v>1729</v>
      </c>
      <c r="D398" s="27" t="s">
        <v>1730</v>
      </c>
      <c r="E398" t="s">
        <v>1061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8742-97F0-49C5-9E66-7A675B4A5A19}">
  <dimension ref="A3:A6"/>
  <sheetViews>
    <sheetView workbookViewId="0">
      <selection activeCell="A7" sqref="A7"/>
    </sheetView>
  </sheetViews>
  <sheetFormatPr baseColWidth="10" defaultRowHeight="14.4" x14ac:dyDescent="0.3"/>
  <sheetData>
    <row r="3" spans="1:1" x14ac:dyDescent="0.3">
      <c r="A3" t="s">
        <v>1731</v>
      </c>
    </row>
    <row r="4" spans="1:1" x14ac:dyDescent="0.3">
      <c r="A4" t="s">
        <v>1738</v>
      </c>
    </row>
    <row r="5" spans="1:1" x14ac:dyDescent="0.3">
      <c r="A5" t="s">
        <v>1741</v>
      </c>
    </row>
    <row r="6" spans="1:1" x14ac:dyDescent="0.3">
      <c r="A6" t="s">
        <v>1742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D185D-4316-48AF-BD8E-255CDB7079DD}">
  <dimension ref="A1:J21"/>
  <sheetViews>
    <sheetView topLeftCell="E1" workbookViewId="0">
      <selection activeCell="I19" sqref="I19"/>
    </sheetView>
  </sheetViews>
  <sheetFormatPr baseColWidth="10" defaultRowHeight="14.4" x14ac:dyDescent="0.3"/>
  <cols>
    <col min="2" max="2" width="0" hidden="1" customWidth="1"/>
    <col min="3" max="3" width="17.109375" bestFit="1" customWidth="1"/>
    <col min="4" max="5" width="45.6640625" customWidth="1"/>
    <col min="6" max="6" width="21.109375" customWidth="1"/>
    <col min="7" max="7" width="28.21875" customWidth="1"/>
    <col min="8" max="8" width="17.21875" bestFit="1" customWidth="1"/>
    <col min="9" max="9" width="17.21875" customWidth="1"/>
    <col min="10" max="10" width="27" customWidth="1"/>
  </cols>
  <sheetData>
    <row r="1" spans="1:10" x14ac:dyDescent="0.3">
      <c r="A1" t="s">
        <v>1950</v>
      </c>
      <c r="B1" t="s">
        <v>1743</v>
      </c>
      <c r="C1" t="s">
        <v>1745</v>
      </c>
      <c r="D1" s="84" t="s">
        <v>1907</v>
      </c>
      <c r="E1" s="84" t="s">
        <v>1958</v>
      </c>
      <c r="F1" s="85" t="s">
        <v>1908</v>
      </c>
      <c r="G1" s="85" t="s">
        <v>1909</v>
      </c>
      <c r="H1" s="84" t="s">
        <v>1910</v>
      </c>
      <c r="I1" s="84" t="s">
        <v>1981</v>
      </c>
      <c r="J1" s="84" t="s">
        <v>1911</v>
      </c>
    </row>
    <row r="2" spans="1:10" x14ac:dyDescent="0.3">
      <c r="A2" s="81">
        <f t="shared" ref="A2:A21" si="0">MAX($B$2:$B$127)</f>
        <v>60</v>
      </c>
      <c r="B2" s="73" cm="1">
        <f t="array" ref="B2">IFERROR(MAX(--_xlfn.TEXTSPLIT(C2,";")),0)</f>
        <v>3</v>
      </c>
      <c r="C2" t="s">
        <v>1951</v>
      </c>
      <c r="D2" s="37" t="s">
        <v>1912</v>
      </c>
      <c r="E2" s="37" t="s">
        <v>37</v>
      </c>
      <c r="F2" s="74" t="s">
        <v>1913</v>
      </c>
      <c r="G2" s="75" t="s">
        <v>1914</v>
      </c>
      <c r="H2" s="76">
        <v>811000000</v>
      </c>
      <c r="I2" s="76" t="s">
        <v>1980</v>
      </c>
      <c r="J2" s="78" t="s">
        <v>1972</v>
      </c>
    </row>
    <row r="3" spans="1:10" x14ac:dyDescent="0.3">
      <c r="A3" s="82">
        <f t="shared" si="0"/>
        <v>60</v>
      </c>
      <c r="B3" s="83" cm="1">
        <f t="array" ref="B3">IFERROR(MAX(--_xlfn.TEXTSPLIT(C3,";")),0)</f>
        <v>60</v>
      </c>
      <c r="C3" t="s">
        <v>1970</v>
      </c>
      <c r="D3" s="37" t="s">
        <v>1915</v>
      </c>
      <c r="E3" s="37" t="s">
        <v>1960</v>
      </c>
      <c r="F3" s="74" t="s">
        <v>1913</v>
      </c>
      <c r="G3" s="75" t="s">
        <v>1914</v>
      </c>
      <c r="H3" s="77">
        <v>160000000</v>
      </c>
      <c r="I3" s="77" t="s">
        <v>1979</v>
      </c>
    </row>
    <row r="4" spans="1:10" x14ac:dyDescent="0.3">
      <c r="A4" s="81">
        <f t="shared" si="0"/>
        <v>60</v>
      </c>
      <c r="B4" s="73" cm="1">
        <f t="array" ref="B4">IFERROR(MAX(--_xlfn.TEXTSPLIT(C4,";")),0)</f>
        <v>54</v>
      </c>
      <c r="C4" t="s">
        <v>1967</v>
      </c>
      <c r="D4" s="37" t="s">
        <v>1916</v>
      </c>
      <c r="E4" s="37" t="s">
        <v>866</v>
      </c>
      <c r="F4" s="74" t="s">
        <v>1913</v>
      </c>
      <c r="G4" s="75" t="s">
        <v>1914</v>
      </c>
      <c r="H4" s="77">
        <v>40000000</v>
      </c>
      <c r="I4" s="77" t="s">
        <v>1979</v>
      </c>
      <c r="J4" s="78" t="s">
        <v>1973</v>
      </c>
    </row>
    <row r="5" spans="1:10" x14ac:dyDescent="0.3">
      <c r="A5" s="82">
        <f t="shared" si="0"/>
        <v>60</v>
      </c>
      <c r="B5" s="83" cm="1">
        <f t="array" ref="B5">IFERROR(MAX(--_xlfn.TEXTSPLIT(C5,";")),0)</f>
        <v>26</v>
      </c>
      <c r="C5" t="s">
        <v>1952</v>
      </c>
      <c r="D5" s="37" t="s">
        <v>1917</v>
      </c>
      <c r="E5" s="37" t="s">
        <v>1961</v>
      </c>
      <c r="F5" s="74" t="s">
        <v>1913</v>
      </c>
      <c r="G5" s="75" t="s">
        <v>1914</v>
      </c>
      <c r="H5" s="77">
        <v>3000000</v>
      </c>
      <c r="I5" s="77" t="s">
        <v>1978</v>
      </c>
      <c r="J5" s="78" t="s">
        <v>1974</v>
      </c>
    </row>
    <row r="6" spans="1:10" ht="12.6" customHeight="1" x14ac:dyDescent="0.3">
      <c r="A6" s="81">
        <f t="shared" si="0"/>
        <v>60</v>
      </c>
      <c r="B6" s="73" cm="1">
        <f t="array" ref="B6">IFERROR(MAX(--_xlfn.TEXTSPLIT(C6,";")),0)</f>
        <v>29</v>
      </c>
      <c r="C6" t="s">
        <v>1953</v>
      </c>
      <c r="D6" s="37" t="s">
        <v>1918</v>
      </c>
      <c r="E6" s="37" t="s">
        <v>912</v>
      </c>
      <c r="F6" s="74" t="s">
        <v>1913</v>
      </c>
      <c r="G6" s="75" t="s">
        <v>1914</v>
      </c>
      <c r="H6" s="77">
        <v>950000000</v>
      </c>
      <c r="I6" s="77" t="s">
        <v>1979</v>
      </c>
      <c r="J6" s="87" t="s">
        <v>1975</v>
      </c>
    </row>
    <row r="7" spans="1:10" x14ac:dyDescent="0.3">
      <c r="A7" s="82">
        <f t="shared" si="0"/>
        <v>60</v>
      </c>
      <c r="B7" s="83" cm="1">
        <f t="array" ref="B7">IFERROR(MAX(--_xlfn.TEXTSPLIT(C7,";")),0)</f>
        <v>34</v>
      </c>
      <c r="C7" t="s">
        <v>1954</v>
      </c>
      <c r="D7" s="37" t="s">
        <v>1919</v>
      </c>
      <c r="E7" s="37" t="s">
        <v>912</v>
      </c>
      <c r="F7" s="74" t="s">
        <v>1913</v>
      </c>
      <c r="G7" s="75" t="s">
        <v>1914</v>
      </c>
      <c r="H7" s="77">
        <v>1877000000</v>
      </c>
      <c r="I7" s="77" t="s">
        <v>1979</v>
      </c>
      <c r="J7" s="78" t="s">
        <v>1976</v>
      </c>
    </row>
    <row r="8" spans="1:10" ht="13.8" customHeight="1" x14ac:dyDescent="0.3">
      <c r="A8" s="81">
        <f t="shared" si="0"/>
        <v>60</v>
      </c>
      <c r="B8" s="73" cm="1">
        <f t="array" ref="B8">IFERROR(MAX(--_xlfn.TEXTSPLIT(C8,";")),0)</f>
        <v>35</v>
      </c>
      <c r="C8">
        <v>35</v>
      </c>
      <c r="D8" s="37" t="s">
        <v>1920</v>
      </c>
      <c r="E8" s="37" t="s">
        <v>75</v>
      </c>
      <c r="F8" s="74" t="s">
        <v>1913</v>
      </c>
      <c r="G8" s="75" t="s">
        <v>1914</v>
      </c>
      <c r="H8" t="s">
        <v>1921</v>
      </c>
      <c r="I8" t="s">
        <v>1978</v>
      </c>
      <c r="J8" s="88" t="s">
        <v>1977</v>
      </c>
    </row>
    <row r="9" spans="1:10" x14ac:dyDescent="0.3">
      <c r="A9" s="82">
        <f t="shared" si="0"/>
        <v>60</v>
      </c>
      <c r="B9" s="83" cm="1">
        <f t="array" ref="B9">IFERROR(MAX(--_xlfn.TEXTSPLIT(C9,";")),0)</f>
        <v>41</v>
      </c>
      <c r="C9">
        <v>41</v>
      </c>
      <c r="D9" s="37" t="s">
        <v>1922</v>
      </c>
      <c r="E9" s="37" t="s">
        <v>37</v>
      </c>
      <c r="F9" s="74" t="s">
        <v>1913</v>
      </c>
      <c r="G9" s="75" t="s">
        <v>1914</v>
      </c>
      <c r="H9" s="77">
        <v>79000000</v>
      </c>
      <c r="I9" s="77" t="s">
        <v>1980</v>
      </c>
      <c r="J9" s="78" t="s">
        <v>1923</v>
      </c>
    </row>
    <row r="10" spans="1:10" x14ac:dyDescent="0.3">
      <c r="A10" s="81">
        <f t="shared" si="0"/>
        <v>60</v>
      </c>
      <c r="B10" s="73" cm="1">
        <f t="array" ref="B10">IFERROR(MAX(--_xlfn.TEXTSPLIT(C10,";")),0)</f>
        <v>0</v>
      </c>
      <c r="D10" s="37" t="s">
        <v>1924</v>
      </c>
      <c r="E10" s="37" t="s">
        <v>1962</v>
      </c>
      <c r="F10" s="74" t="s">
        <v>1913</v>
      </c>
      <c r="G10" s="75" t="s">
        <v>1914</v>
      </c>
      <c r="H10" s="77">
        <v>8000000</v>
      </c>
      <c r="I10" s="77"/>
      <c r="J10" s="79" t="s">
        <v>1925</v>
      </c>
    </row>
    <row r="11" spans="1:10" x14ac:dyDescent="0.3">
      <c r="A11" s="81">
        <f t="shared" si="0"/>
        <v>60</v>
      </c>
      <c r="B11" s="73" cm="1">
        <f t="array" ref="B11">IFERROR(MAX(--_xlfn.TEXTSPLIT(C11,";")),0)</f>
        <v>53</v>
      </c>
      <c r="C11" t="s">
        <v>1966</v>
      </c>
      <c r="D11" s="37" t="s">
        <v>1926</v>
      </c>
      <c r="E11" s="37" t="s">
        <v>37</v>
      </c>
      <c r="F11" s="74" t="s">
        <v>1913</v>
      </c>
      <c r="G11" s="75" t="s">
        <v>1914</v>
      </c>
      <c r="H11" s="77">
        <v>22600000</v>
      </c>
      <c r="I11" s="77" t="s">
        <v>1980</v>
      </c>
      <c r="J11" s="78" t="s">
        <v>1927</v>
      </c>
    </row>
    <row r="12" spans="1:10" ht="28.8" x14ac:dyDescent="0.3">
      <c r="A12" s="82">
        <f t="shared" si="0"/>
        <v>60</v>
      </c>
      <c r="B12" s="83" cm="1">
        <f t="array" ref="B12">IFERROR(MAX(--_xlfn.TEXTSPLIT(C12,";")),0)</f>
        <v>60</v>
      </c>
      <c r="C12" t="s">
        <v>1971</v>
      </c>
      <c r="D12" s="37" t="s">
        <v>1928</v>
      </c>
      <c r="E12" s="37" t="s">
        <v>1963</v>
      </c>
      <c r="F12" s="74" t="s">
        <v>1913</v>
      </c>
      <c r="G12" s="75" t="s">
        <v>1914</v>
      </c>
      <c r="H12" s="77">
        <v>17600000</v>
      </c>
      <c r="I12" s="77" t="s">
        <v>1979</v>
      </c>
      <c r="J12" s="78" t="s">
        <v>1929</v>
      </c>
    </row>
    <row r="13" spans="1:10" x14ac:dyDescent="0.3">
      <c r="A13" s="81">
        <f t="shared" si="0"/>
        <v>60</v>
      </c>
      <c r="B13" s="73" cm="1">
        <f t="array" ref="B13">IFERROR(MAX(--_xlfn.TEXTSPLIT(C13,";")),0)</f>
        <v>37</v>
      </c>
      <c r="C13" t="s">
        <v>1955</v>
      </c>
      <c r="D13" s="37" t="s">
        <v>1930</v>
      </c>
      <c r="E13" s="37" t="s">
        <v>1961</v>
      </c>
      <c r="F13" s="74" t="s">
        <v>1913</v>
      </c>
      <c r="G13" s="75" t="s">
        <v>1914</v>
      </c>
      <c r="H13" s="77">
        <v>155000000</v>
      </c>
      <c r="I13" s="77" t="s">
        <v>1978</v>
      </c>
      <c r="J13" s="79" t="s">
        <v>1931</v>
      </c>
    </row>
    <row r="14" spans="1:10" x14ac:dyDescent="0.3">
      <c r="A14" s="82">
        <f t="shared" si="0"/>
        <v>60</v>
      </c>
      <c r="B14" s="83" cm="1">
        <f t="array" ref="B14">IFERROR(MAX(--_xlfn.TEXTSPLIT(C14,";")),0)</f>
        <v>44</v>
      </c>
      <c r="C14" t="s">
        <v>1957</v>
      </c>
      <c r="D14" s="37" t="s">
        <v>1932</v>
      </c>
      <c r="E14" s="37" t="s">
        <v>1011</v>
      </c>
      <c r="F14" s="74" t="s">
        <v>1913</v>
      </c>
      <c r="G14" s="75" t="s">
        <v>1914</v>
      </c>
      <c r="H14" s="77">
        <v>700000</v>
      </c>
      <c r="I14" s="77" t="s">
        <v>1978</v>
      </c>
      <c r="J14" s="78" t="s">
        <v>1933</v>
      </c>
    </row>
    <row r="15" spans="1:10" x14ac:dyDescent="0.3">
      <c r="A15" s="81">
        <f t="shared" si="0"/>
        <v>60</v>
      </c>
      <c r="B15" s="73" cm="1">
        <f t="array" ref="B15">IFERROR(MAX(--_xlfn.TEXTSPLIT(C15,";")),0)</f>
        <v>58</v>
      </c>
      <c r="C15" t="s">
        <v>1969</v>
      </c>
      <c r="D15" s="37" t="s">
        <v>1934</v>
      </c>
      <c r="E15" s="37" t="s">
        <v>1964</v>
      </c>
      <c r="F15" s="74" t="s">
        <v>1913</v>
      </c>
      <c r="G15" s="75" t="s">
        <v>1914</v>
      </c>
      <c r="H15" s="80" t="s">
        <v>1935</v>
      </c>
      <c r="I15" s="80" t="s">
        <v>1979</v>
      </c>
      <c r="J15" s="78" t="s">
        <v>1936</v>
      </c>
    </row>
    <row r="16" spans="1:10" x14ac:dyDescent="0.3">
      <c r="A16" s="82">
        <f t="shared" si="0"/>
        <v>60</v>
      </c>
      <c r="B16" s="83" cm="1">
        <f t="array" ref="B16">IFERROR(MAX(--_xlfn.TEXTSPLIT(C16,";")),0)</f>
        <v>52</v>
      </c>
      <c r="C16" t="s">
        <v>1965</v>
      </c>
      <c r="D16" s="37" t="s">
        <v>1937</v>
      </c>
      <c r="E16" s="37" t="s">
        <v>1961</v>
      </c>
      <c r="F16" s="74" t="s">
        <v>1913</v>
      </c>
      <c r="G16" s="75" t="s">
        <v>1914</v>
      </c>
      <c r="H16" s="77">
        <v>276000000</v>
      </c>
      <c r="I16" s="77" t="s">
        <v>1978</v>
      </c>
      <c r="J16" s="78" t="s">
        <v>1938</v>
      </c>
    </row>
    <row r="17" spans="1:10" ht="28.8" x14ac:dyDescent="0.3">
      <c r="A17" s="81">
        <f t="shared" si="0"/>
        <v>60</v>
      </c>
      <c r="B17" s="73" cm="1">
        <f t="array" ref="B17">IFERROR(MAX(--_xlfn.TEXTSPLIT(C17,";")),0)</f>
        <v>52</v>
      </c>
      <c r="C17" t="s">
        <v>1965</v>
      </c>
      <c r="D17" s="37" t="s">
        <v>1939</v>
      </c>
      <c r="E17" s="37" t="s">
        <v>1961</v>
      </c>
      <c r="F17" s="74" t="s">
        <v>1913</v>
      </c>
      <c r="G17" s="75" t="s">
        <v>1914</v>
      </c>
      <c r="H17" s="77">
        <v>12000000</v>
      </c>
      <c r="I17" s="77" t="s">
        <v>1978</v>
      </c>
      <c r="J17" s="78" t="s">
        <v>1940</v>
      </c>
    </row>
    <row r="18" spans="1:10" ht="28.8" x14ac:dyDescent="0.3">
      <c r="A18" s="82">
        <f t="shared" si="0"/>
        <v>60</v>
      </c>
      <c r="B18" s="83" cm="1">
        <f t="array" ref="B18">IFERROR(MAX(--_xlfn.TEXTSPLIT(C18,";")),0)</f>
        <v>56</v>
      </c>
      <c r="C18" s="86" t="s">
        <v>1968</v>
      </c>
      <c r="D18" s="37" t="s">
        <v>1941</v>
      </c>
      <c r="E18" s="37" t="s">
        <v>37</v>
      </c>
      <c r="F18" s="74" t="s">
        <v>1913</v>
      </c>
      <c r="G18" s="75" t="s">
        <v>1914</v>
      </c>
      <c r="H18" s="77">
        <v>35000000</v>
      </c>
      <c r="I18" s="77" t="s">
        <v>1980</v>
      </c>
      <c r="J18" s="78" t="s">
        <v>1942</v>
      </c>
    </row>
    <row r="19" spans="1:10" ht="28.8" x14ac:dyDescent="0.3">
      <c r="A19" s="81">
        <f t="shared" si="0"/>
        <v>60</v>
      </c>
      <c r="B19" s="83" cm="1">
        <f t="array" ref="B19">IFERROR(MAX(--_xlfn.TEXTSPLIT(C19,";")),0)</f>
        <v>0</v>
      </c>
      <c r="D19" s="37" t="s">
        <v>1943</v>
      </c>
      <c r="E19" s="37" t="s">
        <v>1962</v>
      </c>
      <c r="F19" s="74" t="s">
        <v>1913</v>
      </c>
      <c r="G19" s="75" t="s">
        <v>1914</v>
      </c>
      <c r="H19" s="77">
        <v>32000000</v>
      </c>
      <c r="I19" s="77"/>
      <c r="J19" s="78" t="s">
        <v>1944</v>
      </c>
    </row>
    <row r="20" spans="1:10" x14ac:dyDescent="0.3">
      <c r="A20" s="82">
        <f t="shared" si="0"/>
        <v>60</v>
      </c>
      <c r="B20" s="83" cm="1">
        <f t="array" ref="B20">IFERROR(MAX(--_xlfn.TEXTSPLIT(C20,";")),0)</f>
        <v>40</v>
      </c>
      <c r="C20" t="s">
        <v>1956</v>
      </c>
      <c r="D20" s="37" t="s">
        <v>1945</v>
      </c>
      <c r="E20" s="37" t="s">
        <v>1011</v>
      </c>
      <c r="F20" s="74" t="s">
        <v>1913</v>
      </c>
      <c r="G20" s="75" t="s">
        <v>1914</v>
      </c>
      <c r="H20" s="77">
        <v>212000000</v>
      </c>
      <c r="I20" s="77" t="s">
        <v>1978</v>
      </c>
      <c r="J20" s="78" t="s">
        <v>1946</v>
      </c>
    </row>
    <row r="21" spans="1:10" ht="28.8" x14ac:dyDescent="0.3">
      <c r="A21" s="81">
        <f t="shared" si="0"/>
        <v>60</v>
      </c>
      <c r="B21" s="73" cm="1">
        <f t="array" ref="B21">IFERROR(MAX(--_xlfn.TEXTSPLIT(C21,";")),0)</f>
        <v>45</v>
      </c>
      <c r="C21" t="s">
        <v>1959</v>
      </c>
      <c r="D21" s="37" t="s">
        <v>1947</v>
      </c>
      <c r="E21" s="37" t="s">
        <v>1961</v>
      </c>
      <c r="F21" s="74" t="s">
        <v>1913</v>
      </c>
      <c r="G21" s="75" t="s">
        <v>1914</v>
      </c>
      <c r="H21" s="80" t="s">
        <v>1948</v>
      </c>
      <c r="I21" s="80" t="s">
        <v>1978</v>
      </c>
      <c r="J21" s="78" t="s">
        <v>1949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TD BD</vt:lpstr>
      <vt:lpstr>BD</vt:lpstr>
      <vt:lpstr>OF</vt:lpstr>
      <vt:lpstr>Consideraciones</vt:lpstr>
      <vt:lpstr>EFE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Vicente Pérez</dc:creator>
  <cp:lastModifiedBy>Vicente Pérez</cp:lastModifiedBy>
  <dcterms:created xsi:type="dcterms:W3CDTF">2026-07-14T23:28:04Z</dcterms:created>
  <dcterms:modified xsi:type="dcterms:W3CDTF">2026-08-07T02:34:03Z</dcterms:modified>
</cp:coreProperties>
</file>