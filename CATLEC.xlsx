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Edison\Desktop\CATLEC\Codigo CATLEC - backup\"/>
    </mc:Choice>
  </mc:AlternateContent>
  <xr:revisionPtr revIDLastSave="0" documentId="13_ncr:1_{4F5A67E3-C97B-42B7-831F-385EF22EC400}" xr6:coauthVersionLast="47" xr6:coauthVersionMax="47" xr10:uidLastSave="{00000000-0000-0000-0000-000000000000}"/>
  <bookViews>
    <workbookView xWindow="-108" yWindow="-108" windowWidth="23256" windowHeight="13896" activeTab="1" xr2:uid="{AFBC47FB-AA6E-4273-9F80-1754DD486B9C}"/>
  </bookViews>
  <sheets>
    <sheet name="TD BD" sheetId="3" r:id="rId1"/>
    <sheet name="BD" sheetId="1" r:id="rId2"/>
    <sheet name="OF" sheetId="4" r:id="rId3"/>
    <sheet name="Consideraciones" sheetId="6" r:id="rId4"/>
    <sheet name="EFE" sheetId="9" r:id="rId5"/>
  </sheets>
  <definedNames>
    <definedName name="_xlnm._FilterDatabase" localSheetId="1" hidden="1">BD!$AK$1:$AK$128</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1" i="9" l="1" a="1"/>
  <c r="B21" i="9" s="1"/>
  <c r="B20" i="9" a="1"/>
  <c r="B20" i="9" s="1"/>
  <c r="B19" i="9" a="1"/>
  <c r="B19" i="9" s="1"/>
  <c r="B18" i="9" a="1"/>
  <c r="B18" i="9" s="1"/>
  <c r="B17" i="9" a="1"/>
  <c r="B17" i="9" s="1"/>
  <c r="B16" i="9" a="1"/>
  <c r="B16" i="9" s="1"/>
  <c r="B15" i="9" a="1"/>
  <c r="B15" i="9" s="1"/>
  <c r="B14" i="9" a="1"/>
  <c r="B14" i="9" s="1"/>
  <c r="B13" i="9" a="1"/>
  <c r="B13" i="9" s="1"/>
  <c r="B12" i="9" a="1"/>
  <c r="B12" i="9" s="1"/>
  <c r="B11" i="9" a="1"/>
  <c r="B11" i="9" s="1"/>
  <c r="B10" i="9" a="1"/>
  <c r="B10" i="9" s="1"/>
  <c r="B9" i="9" a="1"/>
  <c r="B9" i="9" s="1"/>
  <c r="B8" i="9" a="1"/>
  <c r="B8" i="9" s="1"/>
  <c r="B7" i="9" a="1"/>
  <c r="B7" i="9" s="1"/>
  <c r="B6" i="9" a="1"/>
  <c r="B6" i="9" s="1"/>
  <c r="B5" i="9" a="1"/>
  <c r="B5" i="9" s="1"/>
  <c r="B4" i="9" a="1"/>
  <c r="B4" i="9" s="1"/>
  <c r="B3" i="9" a="1"/>
  <c r="B3" i="9" s="1"/>
  <c r="B2" i="9" a="1"/>
  <c r="B2" i="9" s="1"/>
  <c r="C2" i="1" a="1"/>
  <c r="C2" i="1" s="1"/>
  <c r="C3" i="1" a="1"/>
  <c r="C3" i="1" s="1"/>
  <c r="C4" i="1" a="1"/>
  <c r="C4" i="1" s="1"/>
  <c r="C5" i="1" a="1"/>
  <c r="C5" i="1" s="1"/>
  <c r="C6" i="1" a="1"/>
  <c r="C6" i="1" s="1"/>
  <c r="C124" i="1" a="1"/>
  <c r="C124" i="1" s="1"/>
  <c r="C120" i="1" a="1"/>
  <c r="C120" i="1" s="1"/>
  <c r="C9" i="1" a="1"/>
  <c r="C9" i="1" s="1"/>
  <c r="C119" i="1" a="1"/>
  <c r="C119" i="1" s="1"/>
  <c r="C11" i="1" a="1"/>
  <c r="C11" i="1" s="1"/>
  <c r="C111" i="1" a="1"/>
  <c r="C111" i="1" s="1"/>
  <c r="C113" i="1" a="1"/>
  <c r="C113" i="1" s="1"/>
  <c r="C108" i="1" a="1"/>
  <c r="C108" i="1" s="1"/>
  <c r="C15" i="1" a="1"/>
  <c r="C15" i="1" s="1"/>
  <c r="C16" i="1" a="1"/>
  <c r="C16" i="1" s="1"/>
  <c r="C17" i="1" a="1"/>
  <c r="C17" i="1" s="1"/>
  <c r="C106" i="1" a="1"/>
  <c r="C106" i="1" s="1"/>
  <c r="C19" i="1" a="1"/>
  <c r="C19" i="1" s="1"/>
  <c r="C20" i="1" a="1"/>
  <c r="C20" i="1" s="1"/>
  <c r="C105" i="1" a="1"/>
  <c r="C105" i="1" s="1"/>
  <c r="C22" i="1" a="1"/>
  <c r="C22" i="1" s="1"/>
  <c r="C23" i="1" a="1"/>
  <c r="C23" i="1" s="1"/>
  <c r="C107" i="1" a="1"/>
  <c r="C107"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104" i="1" a="1"/>
  <c r="C104" i="1" s="1"/>
  <c r="C37" i="1" a="1"/>
  <c r="C37" i="1" s="1"/>
  <c r="C38" i="1" a="1"/>
  <c r="C38" i="1" s="1"/>
  <c r="C103" i="1" a="1"/>
  <c r="C103" i="1" s="1"/>
  <c r="C100" i="1" a="1"/>
  <c r="C100" i="1" s="1"/>
  <c r="C41" i="1" a="1"/>
  <c r="C41" i="1" s="1"/>
  <c r="C42" i="1" a="1"/>
  <c r="C42" i="1" s="1"/>
  <c r="C99" i="1" a="1"/>
  <c r="C99" i="1" s="1"/>
  <c r="C98" i="1" a="1"/>
  <c r="C98" i="1" s="1"/>
  <c r="C45" i="1" a="1"/>
  <c r="C45" i="1" s="1"/>
  <c r="C46" i="1" a="1"/>
  <c r="C46" i="1" s="1"/>
  <c r="C47" i="1" a="1"/>
  <c r="C47" i="1" s="1"/>
  <c r="C101" i="1" a="1"/>
  <c r="C101" i="1" s="1"/>
  <c r="C49" i="1" a="1"/>
  <c r="C49" i="1" s="1"/>
  <c r="C50" i="1" a="1"/>
  <c r="C50" i="1" s="1"/>
  <c r="C51" i="1" a="1"/>
  <c r="C51" i="1" s="1"/>
  <c r="C52" i="1" a="1"/>
  <c r="C52" i="1" s="1"/>
  <c r="C94" i="1" a="1"/>
  <c r="C94" i="1" s="1"/>
  <c r="C54" i="1" a="1"/>
  <c r="C54" i="1" s="1"/>
  <c r="C55" i="1" a="1"/>
  <c r="C55" i="1" s="1"/>
  <c r="C91" i="1" a="1"/>
  <c r="C91" i="1" s="1"/>
  <c r="C57" i="1" a="1"/>
  <c r="C57" i="1" s="1"/>
  <c r="C58" i="1" a="1"/>
  <c r="C58" i="1" s="1"/>
  <c r="C59" i="1" a="1"/>
  <c r="C59" i="1" s="1"/>
  <c r="C60" i="1" a="1"/>
  <c r="C60" i="1" s="1"/>
  <c r="C89" i="1" a="1"/>
  <c r="C89" i="1" s="1"/>
  <c r="C62" i="1" a="1"/>
  <c r="C62" i="1" s="1"/>
  <c r="C63" i="1" a="1"/>
  <c r="C63" i="1" s="1"/>
  <c r="C64" i="1" a="1"/>
  <c r="C64" i="1" s="1"/>
  <c r="C65" i="1" a="1"/>
  <c r="C65" i="1" s="1"/>
  <c r="C66" i="1" a="1"/>
  <c r="C66" i="1" s="1"/>
  <c r="C86" i="1" a="1"/>
  <c r="C86" i="1" s="1"/>
  <c r="C68" i="1" a="1"/>
  <c r="C68" i="1" s="1"/>
  <c r="C85" i="1" a="1"/>
  <c r="C85" i="1" s="1"/>
  <c r="C81" i="1" a="1"/>
  <c r="C81" i="1" s="1"/>
  <c r="C80" i="1" a="1"/>
  <c r="C80" i="1" s="1"/>
  <c r="C72" i="1" a="1"/>
  <c r="C72" i="1" s="1"/>
  <c r="C73" i="1" a="1"/>
  <c r="C73" i="1" s="1"/>
  <c r="C79" i="1" a="1"/>
  <c r="C79" i="1" s="1"/>
  <c r="C78" i="1" a="1"/>
  <c r="C78" i="1" s="1"/>
  <c r="C77" i="1" a="1"/>
  <c r="C77" i="1" s="1"/>
  <c r="C76" i="1" a="1"/>
  <c r="C76" i="1" s="1"/>
  <c r="C75" i="1" a="1"/>
  <c r="C75" i="1" s="1"/>
  <c r="C74" i="1" a="1"/>
  <c r="C74" i="1" s="1"/>
  <c r="C71" i="1" a="1"/>
  <c r="C71" i="1" s="1"/>
  <c r="C70" i="1" a="1"/>
  <c r="C70" i="1" s="1"/>
  <c r="C82" i="1" a="1"/>
  <c r="C82" i="1" s="1"/>
  <c r="C83" i="1" a="1"/>
  <c r="C83" i="1" s="1"/>
  <c r="C84" i="1" a="1"/>
  <c r="C84" i="1" s="1"/>
  <c r="C69" i="1" a="1"/>
  <c r="C69" i="1" s="1"/>
  <c r="C67" i="1" a="1"/>
  <c r="C67" i="1" s="1"/>
  <c r="C87" i="1" a="1"/>
  <c r="C87" i="1" s="1"/>
  <c r="C88" i="1" a="1"/>
  <c r="C88" i="1" s="1"/>
  <c r="C61" i="1" a="1"/>
  <c r="C61" i="1" s="1"/>
  <c r="C90" i="1" a="1"/>
  <c r="C90" i="1" s="1"/>
  <c r="C56" i="1" a="1"/>
  <c r="C56" i="1" s="1"/>
  <c r="C92" i="1" a="1"/>
  <c r="C92" i="1" s="1"/>
  <c r="C93" i="1" a="1"/>
  <c r="C93" i="1" s="1"/>
  <c r="C53" i="1" a="1"/>
  <c r="C53" i="1" s="1"/>
  <c r="C95" i="1" a="1"/>
  <c r="C95" i="1" s="1"/>
  <c r="C96" i="1" a="1"/>
  <c r="C96" i="1" s="1"/>
  <c r="C97" i="1" a="1"/>
  <c r="C97" i="1" s="1"/>
  <c r="C10" i="1" a="1"/>
  <c r="C10" i="1" s="1"/>
  <c r="C12" i="1" a="1"/>
  <c r="C12" i="1" s="1"/>
  <c r="C8" i="1" a="1"/>
  <c r="C8" i="1" s="1"/>
  <c r="C7" i="1" a="1"/>
  <c r="C7" i="1" s="1"/>
  <c r="C102" i="1" a="1"/>
  <c r="C102" i="1" s="1"/>
  <c r="C48" i="1" a="1"/>
  <c r="C48" i="1" s="1"/>
  <c r="C43" i="1" a="1"/>
  <c r="C43" i="1" s="1"/>
  <c r="C44" i="1" a="1"/>
  <c r="C44" i="1" s="1"/>
  <c r="C40" i="1" a="1"/>
  <c r="C40" i="1" s="1"/>
  <c r="C39" i="1" a="1"/>
  <c r="C39" i="1" s="1"/>
  <c r="C36" i="1" a="1"/>
  <c r="C36" i="1" s="1"/>
  <c r="C109" i="1" a="1"/>
  <c r="C109" i="1" s="1"/>
  <c r="C110" i="1" a="1"/>
  <c r="C110" i="1" s="1"/>
  <c r="C24" i="1" a="1"/>
  <c r="C24" i="1" s="1"/>
  <c r="C112" i="1" a="1"/>
  <c r="C112" i="1" s="1"/>
  <c r="C21" i="1" a="1"/>
  <c r="C21" i="1" s="1"/>
  <c r="C114" i="1" a="1"/>
  <c r="C114" i="1" s="1"/>
  <c r="C115" i="1" a="1"/>
  <c r="C115" i="1" s="1"/>
  <c r="C116" i="1" a="1"/>
  <c r="C116" i="1" s="1"/>
  <c r="C117" i="1" a="1"/>
  <c r="C117" i="1" s="1"/>
  <c r="C118" i="1" a="1"/>
  <c r="C118" i="1" s="1"/>
  <c r="C18" i="1" a="1"/>
  <c r="C18" i="1" s="1"/>
  <c r="C14" i="1" a="1"/>
  <c r="C14" i="1" s="1"/>
  <c r="C121" i="1" a="1"/>
  <c r="C121" i="1" s="1"/>
  <c r="C122" i="1" a="1"/>
  <c r="C122" i="1" s="1"/>
  <c r="C123" i="1" a="1"/>
  <c r="C123" i="1" s="1"/>
  <c r="C13" i="1" a="1"/>
  <c r="C13" i="1" s="1"/>
  <c r="C125" i="1" a="1"/>
  <c r="C125" i="1" s="1"/>
  <c r="C126" i="1" a="1"/>
  <c r="C126" i="1" s="1"/>
  <c r="C127" i="1" a="1"/>
  <c r="C127" i="1" s="1"/>
  <c r="C128" i="1" a="1"/>
  <c r="C128" i="1" s="1"/>
  <c r="AK55" i="1"/>
  <c r="AK104" i="1"/>
  <c r="AK94" i="1"/>
  <c r="AK98" i="1"/>
  <c r="AK93" i="1"/>
  <c r="AK59" i="1"/>
  <c r="AK103" i="1"/>
  <c r="AK35" i="1"/>
  <c r="AK95" i="1"/>
  <c r="AK32" i="1"/>
  <c r="AK29" i="1"/>
  <c r="AK106" i="1"/>
  <c r="AK53" i="1"/>
  <c r="AK76" i="1"/>
  <c r="AK65" i="1"/>
  <c r="AK39" i="1"/>
  <c r="AK68" i="1"/>
  <c r="AK74" i="1"/>
  <c r="AK22" i="1"/>
  <c r="AK61" i="1"/>
  <c r="AK21" i="1"/>
  <c r="AK67" i="1"/>
  <c r="AK105" i="1"/>
  <c r="AK69" i="1"/>
  <c r="AK66" i="1"/>
  <c r="AK64" i="1"/>
  <c r="AK56" i="1"/>
  <c r="AK25" i="1"/>
  <c r="AK107" i="1"/>
  <c r="AK9" i="1"/>
  <c r="AK16" i="1"/>
  <c r="AK78" i="1"/>
  <c r="AK92" i="1"/>
  <c r="AK3" i="1"/>
  <c r="AK36" i="1"/>
  <c r="AK43" i="1"/>
  <c r="AK58" i="1"/>
  <c r="AK101" i="1"/>
  <c r="AK91" i="1"/>
  <c r="AK89" i="1"/>
  <c r="AK2" i="1"/>
  <c r="AK8" i="1"/>
  <c r="AK30" i="1"/>
  <c r="AK18" i="1"/>
  <c r="AK122" i="1"/>
  <c r="AK60" i="1"/>
  <c r="AK11" i="1"/>
  <c r="AK73" i="1"/>
  <c r="AK71" i="1"/>
  <c r="AK19" i="1"/>
  <c r="AK90" i="1"/>
  <c r="AK46" i="1"/>
  <c r="AK88" i="1"/>
  <c r="AK72" i="1"/>
  <c r="AK33" i="1"/>
  <c r="AK86" i="1"/>
  <c r="AK100" i="1"/>
  <c r="AK125" i="1"/>
  <c r="AK79" i="1"/>
  <c r="AK34" i="1"/>
  <c r="AK49" i="1"/>
  <c r="AK40" i="1"/>
  <c r="AK26" i="1"/>
  <c r="AK12" i="1"/>
  <c r="AK99" i="1"/>
  <c r="AK4" i="1"/>
  <c r="AK20" i="1"/>
  <c r="AK113" i="1"/>
  <c r="AK6" i="1"/>
  <c r="AK70" i="1"/>
  <c r="AK38" i="1"/>
  <c r="AK50" i="1"/>
  <c r="AK127" i="1"/>
  <c r="AK48" i="1"/>
  <c r="AK23" i="1"/>
  <c r="AK14" i="1"/>
  <c r="AK63" i="1"/>
  <c r="AK52" i="1"/>
  <c r="AK62" i="1"/>
  <c r="AK81" i="1"/>
  <c r="AK128" i="1"/>
  <c r="AK96" i="1"/>
  <c r="AK82" i="1"/>
  <c r="AK80" i="1"/>
  <c r="AK85" i="1"/>
  <c r="AK44" i="1"/>
  <c r="AK84" i="1"/>
  <c r="AK57" i="1"/>
  <c r="AK119" i="1"/>
  <c r="AK111" i="1"/>
  <c r="AK15" i="1"/>
  <c r="AK108" i="1"/>
  <c r="AK17" i="1"/>
  <c r="AK5" i="1"/>
  <c r="AK120" i="1"/>
  <c r="AK41" i="1"/>
  <c r="AK102" i="1"/>
  <c r="AK126" i="1"/>
  <c r="AK24" i="1"/>
  <c r="AK109" i="1"/>
  <c r="AK116" i="1"/>
  <c r="AK83" i="1"/>
  <c r="AK42" i="1"/>
  <c r="AK117" i="1"/>
  <c r="AK13" i="1"/>
  <c r="AK7" i="1"/>
  <c r="AK114" i="1"/>
  <c r="AK54" i="1"/>
  <c r="AK97" i="1"/>
  <c r="AK124" i="1"/>
  <c r="AK10" i="1"/>
  <c r="AK27" i="1"/>
  <c r="AK77" i="1"/>
  <c r="AK123" i="1"/>
  <c r="AK47" i="1"/>
  <c r="AK75" i="1"/>
  <c r="AK110" i="1"/>
  <c r="AK115" i="1"/>
  <c r="AK118" i="1"/>
  <c r="AK37" i="1"/>
  <c r="AK51" i="1"/>
  <c r="AK112" i="1"/>
  <c r="AK28" i="1"/>
  <c r="AK87" i="1"/>
  <c r="AK31" i="1"/>
  <c r="AK45" i="1"/>
  <c r="AK121" i="1"/>
  <c r="C30" i="3"/>
  <c r="C22" i="3"/>
  <c r="C15" i="3"/>
  <c r="C11" i="3"/>
  <c r="C4" i="3"/>
  <c r="A21" i="9" l="1"/>
  <c r="A4" i="9"/>
  <c r="A5" i="9"/>
  <c r="A6" i="9"/>
  <c r="A8" i="9"/>
  <c r="A10" i="9"/>
  <c r="A3" i="9"/>
  <c r="A7" i="9"/>
  <c r="A9" i="9"/>
  <c r="A11" i="9"/>
  <c r="A12" i="9"/>
  <c r="A13" i="9"/>
  <c r="A14" i="9"/>
  <c r="A16" i="9"/>
  <c r="A18" i="9"/>
  <c r="A17" i="9"/>
  <c r="A19" i="9"/>
  <c r="A20" i="9"/>
  <c r="A15" i="9"/>
  <c r="A2" i="9"/>
  <c r="B120" i="1"/>
  <c r="B28" i="1"/>
  <c r="B101" i="1"/>
  <c r="B68" i="1"/>
  <c r="B88" i="1"/>
  <c r="B36" i="1"/>
  <c r="B128" i="1"/>
  <c r="B105" i="1"/>
  <c r="B22" i="1"/>
  <c r="B82" i="1"/>
  <c r="B63" i="1"/>
  <c r="B123" i="1"/>
  <c r="B4" i="1"/>
  <c r="B107" i="1"/>
  <c r="B64" i="1"/>
  <c r="B43" i="1"/>
  <c r="B13" i="1"/>
  <c r="B25" i="1"/>
  <c r="B26" i="1"/>
  <c r="B66" i="1"/>
  <c r="B40" i="1"/>
  <c r="B27" i="1"/>
  <c r="B87" i="1"/>
  <c r="B9" i="1"/>
  <c r="B29" i="1"/>
  <c r="B49" i="1"/>
  <c r="B85" i="1"/>
  <c r="B61" i="1"/>
  <c r="B109" i="1"/>
  <c r="B119" i="1"/>
  <c r="B30" i="1"/>
  <c r="B50" i="1"/>
  <c r="B81" i="1"/>
  <c r="B90" i="1"/>
  <c r="B110" i="1"/>
  <c r="B11" i="1"/>
  <c r="B31" i="1"/>
  <c r="B51" i="1"/>
  <c r="B80" i="1"/>
  <c r="B56" i="1"/>
  <c r="B24" i="1"/>
  <c r="B111" i="1"/>
  <c r="B32" i="1"/>
  <c r="B52" i="1"/>
  <c r="B72" i="1"/>
  <c r="B92" i="1"/>
  <c r="B112" i="1"/>
  <c r="B113" i="1"/>
  <c r="B33" i="1"/>
  <c r="B94" i="1"/>
  <c r="B73" i="1"/>
  <c r="B93" i="1"/>
  <c r="B21" i="1"/>
  <c r="B20" i="1"/>
  <c r="B100" i="1"/>
  <c r="B60" i="1"/>
  <c r="B8" i="1"/>
  <c r="B14" i="1"/>
  <c r="B41" i="1"/>
  <c r="B70" i="1"/>
  <c r="B121" i="1"/>
  <c r="B2" i="1"/>
  <c r="B42" i="1"/>
  <c r="B102" i="1"/>
  <c r="B3" i="1"/>
  <c r="B99" i="1"/>
  <c r="B48" i="1"/>
  <c r="B84" i="1"/>
  <c r="B5" i="1"/>
  <c r="B45" i="1"/>
  <c r="B69" i="1"/>
  <c r="B125" i="1"/>
  <c r="B67" i="1"/>
  <c r="B86" i="1"/>
  <c r="B39" i="1"/>
  <c r="B108" i="1"/>
  <c r="B34" i="1"/>
  <c r="B54" i="1"/>
  <c r="B79" i="1"/>
  <c r="B53" i="1"/>
  <c r="B114" i="1"/>
  <c r="B15" i="1"/>
  <c r="B35" i="1"/>
  <c r="B55" i="1"/>
  <c r="B78" i="1"/>
  <c r="B95" i="1"/>
  <c r="B115" i="1"/>
  <c r="B16" i="1"/>
  <c r="B104" i="1"/>
  <c r="B91" i="1"/>
  <c r="B77" i="1"/>
  <c r="B96" i="1"/>
  <c r="B116" i="1"/>
  <c r="B17" i="1"/>
  <c r="B37" i="1"/>
  <c r="B57" i="1"/>
  <c r="B76" i="1"/>
  <c r="B97" i="1"/>
  <c r="B117" i="1"/>
  <c r="B106" i="1"/>
  <c r="B38" i="1"/>
  <c r="B58" i="1"/>
  <c r="B75" i="1"/>
  <c r="B10" i="1"/>
  <c r="B118" i="1"/>
  <c r="B19" i="1"/>
  <c r="B103" i="1"/>
  <c r="B59" i="1"/>
  <c r="B74" i="1"/>
  <c r="B12" i="1"/>
  <c r="B18" i="1"/>
  <c r="B71" i="1"/>
  <c r="B89" i="1"/>
  <c r="B7" i="1"/>
  <c r="B62" i="1"/>
  <c r="B122" i="1"/>
  <c r="B23" i="1"/>
  <c r="B83" i="1"/>
  <c r="B98" i="1"/>
  <c r="B65" i="1"/>
  <c r="B44" i="1"/>
  <c r="B6" i="1"/>
  <c r="B126" i="1"/>
  <c r="B124" i="1"/>
  <c r="B47" i="1"/>
  <c r="B127" i="1"/>
  <c r="B4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<sst xmlns="http://schemas.openxmlformats.org/spreadsheetml/2006/main" count="4780" uniqueCount="1993">
  <si>
    <t>Código proyecto</t>
  </si>
  <si>
    <t xml:space="preserve">Nombre de la Concesión </t>
  </si>
  <si>
    <t>NUM_Lic</t>
  </si>
  <si>
    <t>Nombre de uso común</t>
  </si>
  <si>
    <t xml:space="preserve">Descripción </t>
  </si>
  <si>
    <t>Sector del proyecto</t>
  </si>
  <si>
    <t>Región geográfica</t>
  </si>
  <si>
    <t>Link a mapa página web</t>
  </si>
  <si>
    <t>Origen</t>
  </si>
  <si>
    <t>Fecha resolución declaración interes público</t>
  </si>
  <si>
    <t>Presupuesto oficial estimado</t>
  </si>
  <si>
    <t>Moneda</t>
  </si>
  <si>
    <t>Link pagina web concesiones</t>
  </si>
  <si>
    <t>ESTADO</t>
  </si>
  <si>
    <t>Metodo de licitación</t>
  </si>
  <si>
    <t>Variable(s) de licitación</t>
  </si>
  <si>
    <t>Fecha llamado a licitación</t>
  </si>
  <si>
    <t>Fecha recepción ofertas</t>
  </si>
  <si>
    <t>Fecha apertura económica</t>
  </si>
  <si>
    <t>Fecha decreto adjudicación</t>
  </si>
  <si>
    <t>Fecha publicación decreto adjudicación</t>
  </si>
  <si>
    <t>Rut sociedad Concesionaria</t>
  </si>
  <si>
    <t>Nombre sociedad concesionaria</t>
  </si>
  <si>
    <t>Link a CMF de SC</t>
  </si>
  <si>
    <t>Fecha inicio del contrato de concesión</t>
  </si>
  <si>
    <t>Fecha término de la concesión</t>
  </si>
  <si>
    <t xml:space="preserve">Plazo fijo / variable </t>
  </si>
  <si>
    <t>Fecha inicio de obras</t>
  </si>
  <si>
    <t>Fecha puesta servicio provisorio</t>
  </si>
  <si>
    <t>Fecha puesta servicio definitivo</t>
  </si>
  <si>
    <t>Inversión Materializada estimada</t>
  </si>
  <si>
    <t>% Avance obras físicas</t>
  </si>
  <si>
    <t>001_TEME1</t>
  </si>
  <si>
    <t>Túnel El Melón</t>
  </si>
  <si>
    <t>Primera concesión Túnel El Melón</t>
  </si>
  <si>
    <t>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t>
  </si>
  <si>
    <t>Vial interurbana</t>
  </si>
  <si>
    <t>Valparaíso</t>
  </si>
  <si>
    <t>Sitio en construcción</t>
  </si>
  <si>
    <t>Público</t>
  </si>
  <si>
    <t/>
  </si>
  <si>
    <t>UF</t>
  </si>
  <si>
    <t>https://concesiones.mop.gob.cl/project/primera-concesion-tunel-el-melon/</t>
  </si>
  <si>
    <t>Finalizado</t>
  </si>
  <si>
    <t>Sólo licitación pública</t>
  </si>
  <si>
    <t>Nivel y estructura de tarifa; Plazo; menor Subsidio o mayor Pagos; Ingresos garantizados; Riesgo oferente; Fórmula reajuste tarifa; Calificación de servicios adicionales.</t>
  </si>
  <si>
    <t>96671360-7</t>
  </si>
  <si>
    <t>TÚNEL EL MELÓN SA</t>
  </si>
  <si>
    <t>SIN</t>
  </si>
  <si>
    <t>Fijo</t>
  </si>
  <si>
    <t>SD</t>
  </si>
  <si>
    <t>002_CDMA1</t>
  </si>
  <si>
    <t>Camino de la Madera</t>
  </si>
  <si>
    <t>Primera concesión Camino de la Madera</t>
  </si>
  <si>
    <t>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
La iniciativa incluyó también el mejoramiento de los caminos existentes y nuevas obras como enlaces y retornos, entre otros.</t>
  </si>
  <si>
    <t>Biobío</t>
  </si>
  <si>
    <t>https://concesiones.mop.gob.cl/project/camino-de-la-madera/</t>
  </si>
  <si>
    <t>Nivel y estructura de tarifa; Plazo; menor Subsidio o mayor  Pagos; Ingresos garantizados; Riesgo oferente; Fórmula reajuste tarifa; Calificación de servicios adicionales.</t>
  </si>
  <si>
    <t>96704590-K</t>
  </si>
  <si>
    <t>CAMINO DE LA MADERA SOCIEDAD CONCESIONARIA S.A.</t>
  </si>
  <si>
    <t>https://www.cmfchile.cl/institucional/mercados/entidad.php?auth=&amp;send=&amp;mercado=O&amp;rut=96704590&amp;grupo=&amp;tipoentidad=RGEIN&amp;vig=NV&amp;row=AAAwy2ACTAAAAWcAAb&amp;control=svs&amp;pestania=1</t>
  </si>
  <si>
    <t>003_ADAI1</t>
  </si>
  <si>
    <t>Primera concesión Terminales de Pasajeros y de Carga Aeropuerto Diego Aracena de Iquique</t>
  </si>
  <si>
    <t>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
Con el desarrollo de esta obra se buscó mejorar los estándares de las instalaciones aeroportuarias.
La obra fue relicitada y en la actualidad está vigente la cuarta concesión.</t>
  </si>
  <si>
    <t>Aeroportuaria</t>
  </si>
  <si>
    <t>Tarapacá</t>
  </si>
  <si>
    <t>Privado</t>
  </si>
  <si>
    <t>https://concesiones.mop.gob.cl/project/primera-concesion-aeropuerto-diego-aracena-de-iquique/</t>
  </si>
  <si>
    <t>Nivel de tarifa; Puntaje oferta técnica; Plazo.</t>
  </si>
  <si>
    <t>96778310-2</t>
  </si>
  <si>
    <t>Concesionaria Chucutama</t>
  </si>
  <si>
    <t>https://www.cmfchile.cl/institucional/mercados/entidad.php?mercado=V&amp;rut=96778310&amp;grupo=&amp;tipoentidad=RVEMI&amp;row=AAAwy2ACTAAABzAAAj&amp;vig=NV&amp;control=svs&amp;pestania=5</t>
  </si>
  <si>
    <t>004_ATEP1</t>
  </si>
  <si>
    <t>Primera concesión Terminal de Pasajeros Aeropuerto El Tepual de Puerto Montt</t>
  </si>
  <si>
    <t>Esta concesión finalizó en 2008 y consideró la construcción de un nuevo edificio terminal de pasajeros de 4.962 m2, con zonas de embarque y desembarque independientes para vuelos nacionales e internacionales.
El proyecto también incluyó una plataforma de estacionamiento de aviones, planta de tratamiento de aguas servidas y la ampliación de estacionamiento para vehículos junto con nuevas calles de acceso en el recinto.
La obra fue relicitada y en la actualidad está vigente la cuarta concesión.</t>
  </si>
  <si>
    <t>Los Lagos</t>
  </si>
  <si>
    <t>https://concesiones.mop.gob.cl/project/primera-concesion-aeropuerto-el-tepual-de-puerto-montt/</t>
  </si>
  <si>
    <t>96770980-8</t>
  </si>
  <si>
    <t>CONCESION AEROPUERTO EL TEPUAL S.A.</t>
  </si>
  <si>
    <t>https://www.cmfchile.cl/institucional/mercados/entidad.php?mercado=O&amp;rut=96770980&amp;grupo=&amp;tipoentidad=RGEIN&amp;row=AAAwy2ACTAAAAWbAAW&amp;vig=NV&amp;control=svs&amp;pestania=5</t>
  </si>
  <si>
    <t>005_ANCO1</t>
  </si>
  <si>
    <t>Primera concesión Ruta del Itata</t>
  </si>
  <si>
    <t>Autopista de doble calzada que se extiende por 75 km, desde el km 413,2 de la Ruta 5 Sur (aproximadamente 11 km al sur de Chillán) hasta su empalme con la Ruta 150 CH que une a Penco con Concepción, en la Región del Bío Bío.
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
También presenta cinco enlaces, un puente sobre el Río Itata, dos pasos sobre la línea férrea y 73 pasos desnivelados, mejorando la conectividad de la región con el resto del país.</t>
  </si>
  <si>
    <t>Ñuble; Biobío</t>
  </si>
  <si>
    <t>https://concesiones.mop.gob.cl/project/ruta-del-itata-concesion-acceso-norte-a-concepcion/</t>
  </si>
  <si>
    <t>Nivel de tarifa; Subsidio.</t>
  </si>
  <si>
    <t>96751030-0</t>
  </si>
  <si>
    <t>SOC CONCESIONARIA AUTOPISTA DEL ITATA S A</t>
  </si>
  <si>
    <t>https://www.cmfchile.cl/institucional/mercados/entidad.php?auth=&amp;send=&amp;mercado=O&amp;rut=96751030&amp;grupo=&amp;tipoentidad=RGEIN&amp;vig=VI&amp;row=AAAwy2ACTAAABy3AAY&amp;control=svs&amp;pestania=1</t>
  </si>
  <si>
    <t>006_SASA1</t>
  </si>
  <si>
    <t>Primera concesión Autopista Santiago - San Antonio</t>
  </si>
  <si>
    <t>Esta concesión finalizó el 21 de marzo de 2022 y consideró la construcción y operación de la Autopista Santiago-San Antonio, también conocida como Ruta 78 y Autopista del Sol, de 131,4 km de extensión.
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
La obra fue relicitada y en la actualidad está vigente la segunda concesión.</t>
  </si>
  <si>
    <t>Valparaíso; Metropolitana de Santiago</t>
  </si>
  <si>
    <t>https://concesiones.mop.gob.cl/project/primera-concesion-autopista-santiago-san-antonio-ruta-78/</t>
  </si>
  <si>
    <t>Nivel de tarifa; Subsidio; Otros (i)</t>
  </si>
  <si>
    <t>96762780-1</t>
  </si>
  <si>
    <t>SOC CONCESIONARIA AUTOPISTA DEL SOL S A</t>
  </si>
  <si>
    <t>ttps://www.cmfchile.cl/institucional/mercados/entidad.php?auth=&amp;send=&amp;mercado=O&amp;rut=96762780&amp;grupo=&amp;tipoentidad=RGEIN&amp;vig=VI&amp;row=AAAwy2ACTAAAAWfAAK&amp;control=svs&amp;pestania=1</t>
  </si>
  <si>
    <t>007_CNPU1</t>
  </si>
  <si>
    <t>Camino Nogales - Puchuncaví</t>
  </si>
  <si>
    <t>Primera concesión Camino Nogales - Puchuncaví</t>
  </si>
  <si>
    <t>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
La obra fue relicitada y en la actualidad está vigente la segunda concesión.</t>
  </si>
  <si>
    <t>https://concesiones.mop.gob.cl/project/primera-concesion-camino-nogales-puchuncavi/</t>
  </si>
  <si>
    <t>96771870-k</t>
  </si>
  <si>
    <t>SOCIEDAD CONCESIONARIA CAMINO NOGALES PUCHUNCAVI S.A.</t>
  </si>
  <si>
    <t>https://www.cmfchile.cl/institucional/mercados/entidad.php?mercado=O&amp;rut=96771870&amp;grupo=&amp;tipoentidad=RGEIN&amp;row=AAAwy2ACTAAAAWcAAS&amp;vig=NV&amp;control=svs&amp;pestania=5</t>
  </si>
  <si>
    <t>Variable</t>
  </si>
  <si>
    <t>008_AVAM1</t>
  </si>
  <si>
    <t>Acceso Vial Aeropuerto Arturo Merino Benítez</t>
  </si>
  <si>
    <t>Primera concesión Acceso Vial Aeropuerto Arturo Merino Benítez</t>
  </si>
  <si>
    <t>Esta concesión finalizó en septiembre de 2008 y consideró la construcción y operación de una ruta de doble calzada de 2,2 km de extensión, que une la Avenida Américo Vespucio con el Aeropuerto Arturo Merino Benítez.
El proyecto, además de la construcción y operación de la nueva vialidad, incluyó el desarrollo de enlaces y señalética de seguridad, entre otros.
La obra fue relicitada y en la actualidad está vigente la segunda concesión.</t>
  </si>
  <si>
    <t>Vial urbana</t>
  </si>
  <si>
    <t>Metropolitana de Santiago</t>
  </si>
  <si>
    <t>https://concesiones.mop.gob.cl/project/primera-concesion-acceso-vial-aeropuerto-arturo-merino-benitez/</t>
  </si>
  <si>
    <t>Nivel de tarifa.</t>
  </si>
  <si>
    <t>96784130-7</t>
  </si>
  <si>
    <t>SOCIEDAD CONCESIONARIA AEROVIAS S.A.</t>
  </si>
  <si>
    <t>https://www.cmfchile.cl/institucional/mercados/entidad.php?auth=&amp;send=&amp;mercado=V&amp;rut=96784130&amp;grupo=&amp;tipoentidad=RVEMI&amp;vig=NV&amp;row=AAAwy2ACTAAABzAAAo&amp;control=svs&amp;pestania=1</t>
  </si>
  <si>
    <t>009_TACH1</t>
  </si>
  <si>
    <t>Primera concesión Concesión Ruta 5 Tramo Talca - Chillán</t>
  </si>
  <si>
    <t>Esta concesión finalizó en marzo de 2021 y consideró la construcción y operación de una autopista de doble calzada de 193,3 km de longitud que corresponde al tramo Talca-Chillán de la Ruta 5 Sur que se emplaza entre las regiones del Maule y Ñuble.
La obra consideró el desarrollo de intersecciones a desnivel, además del mejoramiento de las calzadas existentes lo que permite garantizar velocidades de diseño de 120 km/hr.
También se construyeron nuevos puentes y se mejoraron los existentes. El principal beneficio de esta autopista es el estándar de doble calzada que permite mejorar los tiempos de desplazamiento y la conectividad.
La obra fue relicitada y en la actualidad está vigente la segunda concesión.</t>
  </si>
  <si>
    <t>Maule; Ñuble</t>
  </si>
  <si>
    <t>https://concesiones.mop.gob.cl/project/primera-concesion-ruta-5-tramo-talca-chillan/</t>
  </si>
  <si>
    <t>Licitación pública con preselección</t>
  </si>
  <si>
    <t>Nivel de tarifa; Plazo.</t>
  </si>
  <si>
    <t>96787910-K</t>
  </si>
  <si>
    <t>RUTA DEL MAULE SOCIEDAD CONCESIONARIA S.A.</t>
  </si>
  <si>
    <t>https://www.cmfchile.cl/institucional/mercados/entidad.php?auth=&amp;send=&amp;mercado=O&amp;rut=96787910&amp;grupo=&amp;tipoentidad=RGEIN&amp;vig=VI&amp;row=AAAwy2ACTAAABywAAA&amp;control=svs&amp;pestania=1</t>
  </si>
  <si>
    <t>010_SCLA1</t>
  </si>
  <si>
    <t>Camino Santiago - Colina - Los Andes</t>
  </si>
  <si>
    <t>Primera concesión Camino Santiago - Colina - Los Andes</t>
  </si>
  <si>
    <t>Autopista de 116 km de extensión que conecta la capital y el corredor Bioceánico Cristo Redentor y así como Valparaíso con el Paso Los Libertadores (frontera con Argentina), es por ello que esta ruta constituye un eje fundamental para el transporte terrestre.
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
La ruta recorre las comunas de Los Andes, Rinconada y Calle Larga, en la Región de Valparaíso y Quilicura, Huechuraba y Colina, en la Región Metropolitana.</t>
  </si>
  <si>
    <t>https://concesiones.mop.gob.cl/project/concesion-ruta-57-santiago-colina-los-andes/</t>
  </si>
  <si>
    <t>Operación</t>
  </si>
  <si>
    <t>Nivel de tarifa:Plazo; Pagos.</t>
  </si>
  <si>
    <t>96818910-7</t>
  </si>
  <si>
    <t>SOC CONCESIONARIA AUTOPISTA LOS LIBERTADORES S A</t>
  </si>
  <si>
    <t>https://www.cmfchile.cl/institucional/mercados/entidad.php?auth=&amp;send=&amp;mercado=O&amp;rut=96818910&amp;grupo=&amp;tipoentidad=RGEIN&amp;vig=VI&amp;row=AAAwy2ACTAAAAWfAAA&amp;control=svs&amp;pestania=1</t>
  </si>
  <si>
    <t>011_SALV1</t>
  </si>
  <si>
    <t>Primera concesión Concesión Ruta 5 Tramo Santiago - Los Vilos</t>
  </si>
  <si>
    <t>Corresponde a la ejecución, conservación y explotación de una autopista de 218,24 kms. de longitud en la Ruta 5 Norte, que se extiende entre los km. 10,8, en Quilicura, y el km. 229,1 en Los Vilos.
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
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
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
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
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
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t>
  </si>
  <si>
    <t>Coquimbo; Valparaíso; Metropolitana de Santiago</t>
  </si>
  <si>
    <t>https://concesiones.mop.gob.cl/project/concesion-ruta-5-tramo-santiago-los-vilos/</t>
  </si>
  <si>
    <t>Nivel de tarifa; Plazo; Pagos.</t>
  </si>
  <si>
    <t>96820630-3</t>
  </si>
  <si>
    <t>SOC CONCESIONARIA AUTOPISTA DEL ACONCAGUA S A</t>
  </si>
  <si>
    <t>https://www.cmfchile.cl/institucional/mercados/entidad.php?auth=&amp;send=&amp;mercado=O&amp;rut=96820630&amp;grupo=&amp;tipoentidad=RGEIN&amp;vig=VI&amp;row=AAAwy2ACTAAABy3AAa&amp;control=svs&amp;pestania=1</t>
  </si>
  <si>
    <t>012_ISVV1</t>
  </si>
  <si>
    <t>Interconexión Vial Santiago - Valparaíso - Viña del Mar</t>
  </si>
  <si>
    <t>Primera concesión Interconexión Vial Santiago - Valparaíso - Viña del Mar</t>
  </si>
  <si>
    <t>Esta interconexión vial comprende un total de 141,3 km compuestos por 109,6 km de la Ruta 68; 21,0 km de la Ruta 62 (Troncal Sur) y 10,7 km de la Ruta 60-CH (Vía Las Palmas). Esta vía constituye la principal ruta que conecta las regiones Metropolitana y de Valparaíso.
Cuenta con cuatro túneles, 16 puentes, 22 enlaces y catorce atraviesos, a ello se suma 40,2 km de calles de servicio urbanas, 19,6 km de calles de servicio rural y quince pasarelas peatonales, entre otros.
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t>
  </si>
  <si>
    <t>https://concesiones.mop.gob.cl/project/concesion-interconexion-vial-santiago-valparaiso-vina-del-mar-ruta-68/</t>
  </si>
  <si>
    <t>Ingresos totales de la concesión.</t>
  </si>
  <si>
    <t>96873140-8</t>
  </si>
  <si>
    <t>SOC CONCESIONARIA RUTAS DEL PACIFICO S A</t>
  </si>
  <si>
    <t>https://www.cmfchile.cl/institucional/mercados/entidad.php?auth=&amp;send=&amp;mercado=O&amp;rut=96873140&amp;grupo=&amp;tipoentidad=RGEIN&amp;vig=VI&amp;row=AAAwy2ACTAAABy+AAI&amp;control=svs&amp;pestania=1</t>
  </si>
  <si>
    <t>013_CHCO1</t>
  </si>
  <si>
    <t>Primera concesión Internacional Ruta 5 Tramo Chillán - Collipulli</t>
  </si>
  <si>
    <t>Autopista de doble calzada que corresponde al tramo de la Ruta 5 Sur ubicado en la Región del Bío Bío. Cuenta con una extensión de 160,2 km.
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
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
Este tramo de la ruta Ruta da conectividad a centros productivos con mercados locales, empalmando puertos y pasos fronterizos, fortaleciendo así la actividad comercial del sur del país.</t>
  </si>
  <si>
    <t>Ñuble; Biobío; La Araucanía</t>
  </si>
  <si>
    <t>https://concesiones.mop.gob.cl/project/primera-concesion-ruta-5-tramo-chillan-collipulli/</t>
  </si>
  <si>
    <t>96843170-6</t>
  </si>
  <si>
    <t>RUTA DEL BOSQUE SOCIEDAD CONCECIONARIA S.A.</t>
  </si>
  <si>
    <t>https://www.cmfchile.cl/institucional/mercados/entidad.php?auth=&amp;send=&amp;mercado=V&amp;rut=96843170&amp;grupo=&amp;tipoentidad=RVEMI&amp;vig=VI&amp;row=AAAwy2ACTAAABy9AAC&amp;control=svs&amp;pestania=1</t>
  </si>
  <si>
    <t>014_TERB1</t>
  </si>
  <si>
    <t>Primera concesión Internacional Ruta 5 Tramo Temuco - Río Bueno</t>
  </si>
  <si>
    <t>Autopista de 171,7 km de longitud, ubicada en los km 718,3 y 890 de la ruta 5 Sur que cruza las comunas de Gorbea y Loncoche, en la Región de la Araucanía, y a las de Lanco, San José de la Mariquina, Máfil, Los Lagos, Paillaco, La Unión y Río Bueno, en la Región de Los Lagos.
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
El principal beneficio de esta ruta es mejorar la conectividad en la zona y dotar de mayor seguridad para los usuarios y a los habitantes de zonas aledañas a la vía.</t>
  </si>
  <si>
    <t>La Araucanía; Los Ríos</t>
  </si>
  <si>
    <t>https://concesiones.mop.gob.cl/project/concesion-ruta-5-tramo-temuco-rio-bueno/</t>
  </si>
  <si>
    <t>96848050-2</t>
  </si>
  <si>
    <t>RUTA DE LOS RIOS SOCIEDAD CONCESIONARIA S A</t>
  </si>
  <si>
    <t>https://www.cmfchile.cl/institucional/mercados/entidad.php?auth=&amp;send=&amp;mercado=O&amp;rut=96848050&amp;grupo=&amp;tipoentidad=RGEIN&amp;vig=VI&amp;row=AAAwy2ACTAAAAWbAAD&amp;control=svs&amp;pestania=1</t>
  </si>
  <si>
    <t>015_LVLS1</t>
  </si>
  <si>
    <t>Primera concesión Internacional Ruta 5 Tramo Los Vilos - La Serena</t>
  </si>
  <si>
    <t>Autopista de doble calzada con 229 km de extensión que continua el trazado de la Ruta 5 Norte entre el norte de Los Vilos hasta La Herradura en Coquimbo.
El tramo tiene cuatro áreas con estacionamientos, cafeterías y servicios higiénicos, dos áreas de control policial y dos áreas de estacionamientos para camiones.
Esta nueva infraestructura vial ha permitido impulsar la industria del pisco de los valles de Elqui y Limarí, así como el transporte de carga nacional y de exportación a través del puerto de Coquimbo.</t>
  </si>
  <si>
    <t>Coquimbo</t>
  </si>
  <si>
    <t>https://concesiones.mop.gob.cl/project/primera-concesion-ruta-5-tramo-los-vilos-la-serena/</t>
  </si>
  <si>
    <t>96826380-3</t>
  </si>
  <si>
    <t>SOC CONCESIONARIA DEL ELQUI S A</t>
  </si>
  <si>
    <t>https://www.cmfchile.cl/institucional/mercados/entidad.php?auth=&amp;send=&amp;mercado=O&amp;rut=96826380&amp;grupo=&amp;tipoentidad=RGEIN&amp;vig=VI&amp;row=AAAwy2ACTAAAByxAAB&amp;control=svs&amp;pestania=1</t>
  </si>
  <si>
    <t>016_ALFS1</t>
  </si>
  <si>
    <t>Primera concesión Terminal de Pasajeros Aeropuerto La Florida de La Serena</t>
  </si>
  <si>
    <t>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t>
  </si>
  <si>
    <t>https://concesiones.mop.gob.cl/project/primera-concesion-aeropuerto-la-florida-de-la-serena/</t>
  </si>
  <si>
    <t>96843940-5</t>
  </si>
  <si>
    <t>CONCESION AEROPUERTO LA FLORIDA S.A.</t>
  </si>
  <si>
    <t>https://www.cmfchile.cl/institucional/mercados/entidad.php?auth=&amp;send=&amp;mercado=V&amp;rut=96843940&amp;grupo=&amp;tipoentidad=RVEMI&amp;vig=NV&amp;row=AAAwy2ACTAAAAWbAAC&amp;control=svs&amp;pestania=1</t>
  </si>
  <si>
    <t>017_ALOA1</t>
  </si>
  <si>
    <t>Primera concesión Terminal de Pasajeros Aeropuerto El Loa de Calama</t>
  </si>
  <si>
    <t>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
La obra fue relicitada y en la actualidad está vigente la segunda concesión.</t>
  </si>
  <si>
    <t>Antofagasta</t>
  </si>
  <si>
    <t>https://concesiones.mop.gob.cl/project/primera-concesion-aeropuerto-el-loa-de-calama/</t>
  </si>
  <si>
    <t>96858110-4</t>
  </si>
  <si>
    <t>CONCESION AEROPUERTO EL LOA S.A.</t>
  </si>
  <si>
    <t>https://www.cmfchile.cl/institucional/mercados/entidad.php?mercado=V&amp;rut=96858110&amp;grupo=&amp;tipoentidad=RVEMI&amp;row=AAAwy2ACTAAAAWcAAJ&amp;vig=NV&amp;control=svs&amp;pestania=6</t>
  </si>
  <si>
    <t>018_RBPM1</t>
  </si>
  <si>
    <t>Primera concesión Internacional Ruta 5 Tramo Río Bueno - Puerto Montt</t>
  </si>
  <si>
    <t>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
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
La autopista permite una mayor actividad comercial gracias a la cercanía con puertos, aeropuertos y pasos fronterizos.</t>
  </si>
  <si>
    <t>Los Ríos; Los Lagos</t>
  </si>
  <si>
    <t>https://concesiones.mop.gob.cl/project/concesion-ruta-5-tramo-rio-bueno-puerto-montt/</t>
  </si>
  <si>
    <t>Nivel de tarifa; Pagos.</t>
  </si>
  <si>
    <t>96854510-8</t>
  </si>
  <si>
    <t>SOC CONCESIONARIA DE LOS LAGOS S A</t>
  </si>
  <si>
    <t>https://www.cmfchile.cl/institucional/mercados/entidad.php?auth=&amp;send=&amp;mercado=O&amp;rut=96854510&amp;grupo=&amp;tipoentidad=RGEIN&amp;vig=VI&amp;row=AAAwy2ACTAAAAWcAAI&amp;control=svs&amp;pestania=1</t>
  </si>
  <si>
    <t>019_AAMB1</t>
  </si>
  <si>
    <t>Aeropuerto Internacional Arturo Merino Benítez de Santiago</t>
  </si>
  <si>
    <t>Primera concesión Aeropuerto Internacional Arturo Merino Benítez de Santiago</t>
  </si>
  <si>
    <t>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t>
  </si>
  <si>
    <t>https://concesiones.mop.gob.cl/project/primera-concesion-aeropuerto-internacional-arturo-merino-benitez/</t>
  </si>
  <si>
    <t>Nivel de tarifa; Plazo; Otros (ii)</t>
  </si>
  <si>
    <t>96850960-8</t>
  </si>
  <si>
    <t xml:space="preserve">SCL TERMINAL AEREO SANTIAGO S.A. SOCIEDAD CONCESIONARIA </t>
  </si>
  <si>
    <t>https://www.cmfchile.cl/institucional/mercados/entidad.php?auth=&amp;send=&amp;mercado=O&amp;rut=96850960&amp;grupo=&amp;tipoentidad=RGEIN&amp;vig=NV&amp;row=AAAwy2ACTAAABy7AAj&amp;control=svs&amp;pestania=2</t>
  </si>
  <si>
    <t>020_COTE1</t>
  </si>
  <si>
    <t>Primera concesión Internacional Ruta 5 Tramo Collipulli - Temuco</t>
  </si>
  <si>
    <t>Autopista de 144 km de extensión que da continuidad a la ruta 5 Sur, emplazándose en la Región de la Araucanía.
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
También considera el desarrollo de calles de servicio, 22 pasarelas peatonales, un paso peatonal bajo nivel, un paso bajo línea férrea, cinco pasos superiores, 31 atraviesos, 260 alcantarillas y 66 paraderos de buses.
Este tramo de la Ruta beneficia directamente a los sectores agropecuarios, lechero y maderero de la zona, así como al transporte terrestre de productos de toda La Araucanía, que movilizan su carga a regiones próximas.</t>
  </si>
  <si>
    <t>La Araucanía</t>
  </si>
  <si>
    <t>https://concesiones.mop.gob.cl/project/concesion-ruta-5-tramo-collipulli-temuco/</t>
  </si>
  <si>
    <t>96869650-5</t>
  </si>
  <si>
    <t>RUTA DE LA ARAUCANIA SOCIEDAD CONCESIONARIA S A</t>
  </si>
  <si>
    <t>https://www.cmfchile.cl/institucional/mercados/entidad.php?auth=&amp;send=&amp;mercado=O&amp;rut=96869650&amp;grupo=&amp;tipoentidad=RGEIN&amp;vig=VI&amp;row=AAAwy2ACTAAABy8AAO&amp;control=svs&amp;pestania=1</t>
  </si>
  <si>
    <t>021_SATA1</t>
  </si>
  <si>
    <t>Primera concesión Internacional Ruta 5 Tramo Santiago - Talca y Acceso Sur a Santiago</t>
  </si>
  <si>
    <t>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
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
Esta obra destaca también la realización de terceras pistas en el sector de Angostura de la Ruta 5 Sur y la nueva plaza de peajes, ambas iniciativas mejoran los tiempos de desplazamiento de un sector altamente demandado.</t>
  </si>
  <si>
    <t>Metropolitana de Santiago; Libertador General Bernardo O'Higgins; Maule</t>
  </si>
  <si>
    <t>https://concesiones.mop.gob.cl/project/concesion-ruta-5-tramo-santiago-talca-y-acceso-sur-a-santiago/</t>
  </si>
  <si>
    <t>Nivel de tarifa; Pagos; Otros (iii)</t>
  </si>
  <si>
    <t>96875230-8</t>
  </si>
  <si>
    <t>RUTA DEL MAIPO SOCIEDAD CONCESIONARIA S.A.</t>
  </si>
  <si>
    <t>https://www.cmfchile.cl/institucional/mercados/entidad.php?auth=&amp;send=&amp;mercado=V&amp;rut=96875230&amp;grupo=&amp;tipoentidad=RVEMI&amp;vig=VI&amp;row=AAAwy2ACTAAAAWeAAL&amp;control=svs&amp;pestania=2</t>
  </si>
  <si>
    <t>022_ACSU1</t>
  </si>
  <si>
    <t>Primera concesión Terminal de Pasajeros Aeropuerto Carriel Sur de Concepción</t>
  </si>
  <si>
    <t>Esta concesión finalizó en agosto de 2016 y consideró la construcción de un nuevo edificio Terminal de dos niveles y con cuatro mangas de embarque, con una capacidad para recibir un millón de pasajeros al año.
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
La obra fue relicitada y en la actualidad está vigente la segunda concesión.</t>
  </si>
  <si>
    <t>https://concesiones.mop.gob.cl/project/primera-concesion-aeropuerto-carriel-sur-de-concepcion/</t>
  </si>
  <si>
    <t>96888630-4</t>
  </si>
  <si>
    <t>SOCIEDAD CONCESIONARIA AEROSUR S.A</t>
  </si>
  <si>
    <t>https://www.cmfchile.cl/institucional/mercados/entidad.php?auth=&amp;send=&amp;mercado=O&amp;rut=96888630&amp;grupo=&amp;tipoentidad=RGEIN&amp;vig=NV&amp;row=AAAwy2ACTAAAAWcAAA&amp;control=svs&amp;pestania=1</t>
  </si>
  <si>
    <t>023_ACMA1</t>
  </si>
  <si>
    <t>Primera concesión Terminal de Pasajeros Aeropuerto Cerro Moreno de Antofagasta</t>
  </si>
  <si>
    <t>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
Con el desarrollo de esta obra se buscó mejorar los estándares de las instalaciones aeroportuarias.
La obra fue relicitada y en la actualidad está vigente la segunda concesión.</t>
  </si>
  <si>
    <t>https://concesiones.mop.gob.cl/project/primera-concesion-aeropuerto-cerro-moreno-de-antofagasta/</t>
  </si>
  <si>
    <t>96912990-6</t>
  </si>
  <si>
    <t>AEROPUERTO CERRO MORENO SOCIEDAD CONCESIONARIA S.A.</t>
  </si>
  <si>
    <t>https://www.cmfchile.cl/institucional/mercados/entidad.php?mercado=O&amp;rut=96912990&amp;grupo=&amp;tipoentidad=RGEIN&amp;row=AAAwy2ACTAAAByxAAR&amp;vig=NV&amp;control=svs&amp;pestania=6</t>
  </si>
  <si>
    <t>024_SOPN1</t>
  </si>
  <si>
    <t>Primera concesión Internacional Sistema Oriente - Poniente</t>
  </si>
  <si>
    <t>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
La obra conecta once comunas de la Región Metropolitana, Lo Barnechea, Vitacura, Las Condes, Providencia, Santiago, Recoleta, Independencia, Quinta Normal, Cerro Navia, Renca y Pudahuel.
La autopista permite además comunicar de manera rápida la ruta 68 y el Aeropuerto Internacional de Santiago, mejorando así la conectividad de la región.
La autopista cuenta con sistema de telepeaje.</t>
  </si>
  <si>
    <t>https://concesiones.mop.gob.cl/project/concesion-sistema-oriente-poniente-costanera-norte/</t>
  </si>
  <si>
    <t>Subsidio; Pagos; Riesgo oferente.</t>
  </si>
  <si>
    <t>76496130-7</t>
  </si>
  <si>
    <t>SOCIEDAD CONCESIONARIA COSTANERA NORTE S A</t>
  </si>
  <si>
    <t>https://www.cmfchile.cl/institucional/mercados/entidad.php?auth=&amp;send=&amp;mercado=V&amp;rut=76496130&amp;grupo=&amp;tipoentidad=RVEMI&amp;vig=VI&amp;row=AAAwy2ACTAAABy3AAA&amp;control=svs&amp;pestania=2</t>
  </si>
  <si>
    <t>025_ACIP1</t>
  </si>
  <si>
    <t>Primera concesión Terminal de Pasajeros Aeropuerto Presidente Carlos Ibáñez del Campo de Punta Arenas</t>
  </si>
  <si>
    <t>Esta concesión finalizó en enero de 2010 y consideró la construcción de un nuevo edificio terminal de pasajeros de aproximadamente 6.060 m2, con dos cintas transportadoras de equipaje y tres puentes de embarque, para atender a 500 mil pasajeros al año.
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
La obra fue relicitada y en la actualidad está vigente la segunda concesión.</t>
  </si>
  <si>
    <t>Magallanes y de la Antártica Chilena</t>
  </si>
  <si>
    <t>https://concesiones.mop.gob.cl/project/primera-concesion-aeropuerto-carlos-ibanez-del-campo-de-punta-arenas/</t>
  </si>
  <si>
    <t>Plazo.</t>
  </si>
  <si>
    <t>96921070-3</t>
  </si>
  <si>
    <t>AUSTRAL SOCIEDAD CONCESIONARIA S.A.</t>
  </si>
  <si>
    <t>https://www.cmfchile.cl/institucional/mercados/entidad.php?auth=&amp;send=&amp;mercado=O&amp;rut=96921070&amp;grupo=&amp;tipoentidad=RGEIN&amp;vig=NV&amp;row=AAAwy2ACTAAAAWbAAT&amp;control=svs&amp;pestania=2</t>
  </si>
  <si>
    <t>026_EEBA1</t>
  </si>
  <si>
    <t>Primera concesión Internacional Embalse Illapel</t>
  </si>
  <si>
    <t>Soluciones hídricas</t>
  </si>
  <si>
    <t>no hay disponible</t>
  </si>
  <si>
    <t>Plazo; Subsidio.</t>
  </si>
  <si>
    <t>96971160-5</t>
  </si>
  <si>
    <t>SOCIEDAD CONCESIONARIA EMBALSE ILLAPEL S.A.</t>
  </si>
  <si>
    <t>https://www.cmfchile.cl/institucional/mercados/entidad.php?auth=&amp;send=&amp;mercado=V&amp;rut=96971160&amp;grupo=&amp;tipoentidad=RVEMI&amp;vig=NV&amp;row=AAAwy2ACTAAABzAAAd&amp;control=svs&amp;pestania=2</t>
  </si>
  <si>
    <t>No aplica</t>
  </si>
  <si>
    <t>027_SNSS1</t>
  </si>
  <si>
    <t>Sistema Norte - Sur</t>
  </si>
  <si>
    <t>Primera concesión Sistema Norte - Sur</t>
  </si>
  <si>
    <t>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
La ruta cuenta con obras adicionales como el enlace Balmaceda y el enlace General Velásquez.
La Autopista Central fue inaugurada en diciembre de 2004, siendo la primera autopista urbana construida bajo el sistema de Concesiones.
La autopista cuenta con sistema de telepeaje.</t>
  </si>
  <si>
    <t>https://concesiones.mop.gob.cl/project/concesion-sistema-norte-sur-autopista-central/</t>
  </si>
  <si>
    <t>Pagos; Riesgo oferente.</t>
  </si>
  <si>
    <t>96945440-8</t>
  </si>
  <si>
    <t>SOC CONCESIONARIA AUTOPISTA CENTRAL S A</t>
  </si>
  <si>
    <t>https://www.cmfchile.cl/institucional/mercados/entidad.php?auth=&amp;send=&amp;mercado=V&amp;rut=96945440&amp;grupo=&amp;tipoentidad=RVEMI&amp;vig=VI&amp;row=AAAwy2ACTAAABy+AAF&amp;control=svs&amp;pestania=2</t>
  </si>
  <si>
    <t>028_RVLC1</t>
  </si>
  <si>
    <t>Red Vial Litoral Central</t>
  </si>
  <si>
    <t>Primera concesión Red Vial Litoral Central</t>
  </si>
  <si>
    <t>Red vial de 77 km de longitud que se extiende por el litoral desde Cartagena hasta Algarrobo, en la Región de Valparaíso.
La iniciativa considera conexión al camino Santiago-Valparaíso-Viña del Mar, en el sector de Casablanca, y al camino Santiago-San Antonio, en el sector de Aguas Buenas.
La obra consiste en cuatro sectores: Nuevo camino Costero Cartagena-Algarrobo, Camino Algarrobo-Casablanca (Ruta F-90), Camino Costero Interior y Algarrobo-Mirasol.
Esta obra beneficia a los habitantes de la región y turistas que cuentan con un mejoramiento vial que permite mejorar los flujos de tránsito, así como favorecer el comercio local.</t>
  </si>
  <si>
    <t>https://concesiones.mop.gob.cl/project/concesion-red-vial-litoral-central/</t>
  </si>
  <si>
    <t>96943620-5</t>
  </si>
  <si>
    <t>SOC CONCESIONARIA LITORAL CENTRAL S A</t>
  </si>
  <si>
    <t>https://www.cmfchile.cl/institucional/mercados/entidad.php?auth=&amp;send=&amp;mercado=O&amp;rut=96943620&amp;grupo=&amp;tipoentidad=RGEIN&amp;vig=VI&amp;row=AAAwy2ACTAAAByxAAF&amp;control=svs&amp;pestania=1</t>
  </si>
  <si>
    <t>029_AVES1</t>
  </si>
  <si>
    <t>Sistema Américo Vespucio Sur, Ruta 78 - Av. Grecia</t>
  </si>
  <si>
    <t>Primera concesión Sistema Américo Vespucio Sur, Ruta 78 - Av. Grecia</t>
  </si>
  <si>
    <t>Autopista que corresponde al anillo sur de la Circunvalación Américo Vespucio, que constituye uno de los ejes estructurantes del Plan Regulador Metropolitano.
Tiene una longitud de 23,5 km y se extiende desde la Ruta 78 “Autopista del Sol” a la Rotonda de Avenida Grecia. La ruta cruza nueve comunas: Macul, Peñalolén, La Florida, La Granja, San Ramón, La Cisterna, Lo Espejo, Cerrillos y Maipú.
La obra consta de dobles calzadas de tres pistas por sentido y calles locales a los costados destinadas a la locomoción colectiva y particular. La autopista cuenta con sistema de telepeaje.</t>
  </si>
  <si>
    <t>https://concesiones.mop.gob.cl/project/concesion-sistema-americo-vespucio-sur-ruta-78-av-grecia/</t>
  </si>
  <si>
    <t>Subsidio;  Pagos.</t>
  </si>
  <si>
    <t>76052927-3</t>
  </si>
  <si>
    <t>SOCIEDAD CONCESIONARIA AUTOPISTA NUEVA VESPUCIO SUR S.A.</t>
  </si>
  <si>
    <t>https://www.cmfchile.cl/institucional/mercados/entidad.php?auth=&amp;send=&amp;mercado=V&amp;rut=76052927&amp;grupo=&amp;tipoentidad=RVEMI&amp;vig=VI&amp;row=AAAwy2ACTAAABzPAAA&amp;control=svs&amp;pestania=2</t>
  </si>
  <si>
    <t>030_VAME1</t>
  </si>
  <si>
    <t>Variante Melipilla</t>
  </si>
  <si>
    <t>Primera concesión Variante Melipilla</t>
  </si>
  <si>
    <t>Vía de 8,15 km para el tránsito de vehículos con dirección a Rapel o bien a la zona costera norte de la Región del Libertador General Bernardo O’Higgins desde la Ruta 78, que surge como alternativa para evitar cruzar el área urbana de la comuna de Melipilla.
La variante se conecta con la Ruta 78 mediante el Enlace Rapel, a la altura del km 63 de la Ruta 78, y concluye en la Ruta G-60. En su trazado incluye un nuevo puente sobre el río Maipo.
La obra permitió agilizar la circulación de vehículos en una zona con flujos elevados y ha mejorado el nivel de servicio en el sector formado por la Ruta G-60, Camino Melipilla-Crucero Las Arañas-Rapel, en el tramo Melipilla-Puente Ingeniero Marambio.</t>
  </si>
  <si>
    <t>https://concesiones.mop.gob.cl/project/concesion-variante-melipilla/</t>
  </si>
  <si>
    <t>Subsidio.</t>
  </si>
  <si>
    <t>96972220-8</t>
  </si>
  <si>
    <t>SOC CONCESIONARIA MELIPILLA S A</t>
  </si>
  <si>
    <t>https://www.cmfchile.cl/institucional/mercados/entidad.php?auth=&amp;send=&amp;mercado=V&amp;rut=96972220&amp;grupo=&amp;tipoentidad=RVEMI&amp;vig=VI&amp;row=AAAwy2ACTAAABywAAL&amp;control=svs&amp;pestania=2</t>
  </si>
  <si>
    <t>031_PP1G1</t>
  </si>
  <si>
    <t>Programa de Concesiones de Infraestructura Penitenciaria, Grupo 1</t>
  </si>
  <si>
    <t>Primera concesión Programa de Concesiones de Infraestructura Penitenciaria, Grupo 1</t>
  </si>
  <si>
    <t>En La Serena se ubica el penal de mediana seguridad, mientras que en Alto Hospicio y Rancagua se emplazan los de alta seguridad que forman parte de este programa Penitenciario.
Los recintos cuentan con medidas de seguridad, segmentación de la población penal así como servicios como alimentación, lavandería, entre otros.
En el caso de La Serena tiene una capacidad para 2.318 detenidos, el Alto Hospicio de 2.351 y el de Rancagua de 2.365.
Cuenta con un Programa de Reinserción Social cuyo foco está en modificar las conductas que lo motivaron a delinquir.</t>
  </si>
  <si>
    <t>Penitenciaria</t>
  </si>
  <si>
    <t>Tarapacá; Coquimbo; Libertador General Bernardo O'Higgins</t>
  </si>
  <si>
    <t>https://concesiones.mop.gob.cl/project/concesion-programa-penitenciario-grupo-1-iquique-la-serena-rancagua/</t>
  </si>
  <si>
    <t>Subsidio; Otros (iv)</t>
  </si>
  <si>
    <t>96994390-5</t>
  </si>
  <si>
    <t>SOC CONCESIONARIA BAS S A</t>
  </si>
  <si>
    <t>https://www.cmfchile.cl/institucional/mercados/entidad.php?auth=&amp;send=&amp;mercado=O&amp;rut=96994390&amp;grupo=&amp;tipoentidad=RGEIN&amp;vig=VI&amp;row=AAAwy2ACTAAAByxAAO&amp;control=svs&amp;pestania=1</t>
  </si>
  <si>
    <t>032_AVNP1</t>
  </si>
  <si>
    <t>Sistema Américo Vespucio Nor-Poniente, Av. El Salto-Ruta 78</t>
  </si>
  <si>
    <t>Primera concesión Sistema Américo Vespucio Nor-Poniente, Av. El Salto-Ruta 78</t>
  </si>
  <si>
    <t>Autopista que corresponde al anillo norte de la Circunvalación Américo Vespucio, que constituye uno de los ejes estructurantes del Plan Regulador Metropolitano de Santiago.
La autopista, que cuenta con telepeaje, se extiende entre Av. El Salto por el oriente, y la Ruta 78, por el poniente, cruzando las comunas de Huechuraba, Recoleta, Conchalí, Quilicura, Renca, Cerro Navia, Pudahuel y Maipú.
La ruta interactúa con vías expresas de importancia, como Ruta 5 Norte, Ruta 57-CH, autopista Costanera Norte, Ruta 68, Ruta 78 y autopista Vespucio Sur.
De igual forma se conecta con el centro de la capital a través del Túnel San Cristóbal, el cual se unirá con la Avenida Kennedy, el eje vial más importante del sector oriente de Santiago.</t>
  </si>
  <si>
    <t>https://concesiones.mop.gob.cl/project/concesion-sistema-americo-vespucio-norponiente-av-el-salto-ruta-78/</t>
  </si>
  <si>
    <t>96992030-1</t>
  </si>
  <si>
    <t>SOC CONCESIONARIA VESPUCIO NORTE EXPRESS S A</t>
  </si>
  <si>
    <t>https://www.cmfchile.cl/institucional/mercados/consulta_busqueda.php?entidad_web=G&amp;valor=96992030&amp;boton_busqueda=</t>
  </si>
  <si>
    <t>033_RITP1</t>
  </si>
  <si>
    <t>Ruta Interportuaria Talcahuano - Penco por Isla Rocuant</t>
  </si>
  <si>
    <t>Primera concesión Ruta Interportuaria Talcahuano - Penco por Isla Rocuant</t>
  </si>
  <si>
    <t>Autopista de calzada bidireccional de alto estándar, conformada por el Troncal Penco-Talcahuano, de 11,1 km, y el Ramal Alessandri, que se conecta al Troncal en enlace Rocuant, con longitud de 3,4 km. La extensión total de esta ruta es de 14,5 km.
La vía implica una disminución considerable de los tiempos de viaje en el traslado de Penco a Talcahuano, favoreciendo el desarrollo turístico de la Región del Bío Bío al mejorar el acceso a los puertos de Lirquén, Penco, Talcahuano y San Vicente y al Aeropuerto Carriel Sur.
Asimismo, promueve la conexión con el litoral costero desde Penco a Dichato y, por el interior, a todos los flujos que concentra la Autopista del Itata hacia la Ruta 5 Sur.
Los impactos más relevantes para Concepción han sido la sustancial reducción del tránsito de camiones por sus calles y el mejoramiento de la vialidad de su área metropolitana.</t>
  </si>
  <si>
    <t>https://concesiones.mop.gob.cl/project/concesion-ruta-interportuaria-talcahuano-penco/</t>
  </si>
  <si>
    <t>Ingresos totales de la concesión; Subsidio; Otros (iii)</t>
  </si>
  <si>
    <t>96989050-K</t>
  </si>
  <si>
    <t>SOC CONCESIONARIA AUTOPISTA INTERPORTUARIA S A</t>
  </si>
  <si>
    <t>https://www.cmfchile.cl/institucional/mercados/entidad.php?auth=&amp;send=&amp;mercado=V&amp;rut=96989050&amp;grupo=&amp;tipoentidad=RVEMI&amp;vig=VI&amp;row=AAAwy2ACTAAABywAAd&amp;control=svs&amp;pestania=2</t>
  </si>
  <si>
    <t>034_60RU1</t>
  </si>
  <si>
    <t>Camino Internacional Ruta 60 Ch</t>
  </si>
  <si>
    <t>Primera concesión Camino Internacional Ruta 60 Ch</t>
  </si>
  <si>
    <t>La Ruta Internacional 60 Ch atraviesa transversalmente el territorio nacional, cruzando la Quinta Región de Valparaíso en sentido oriente-poniente.
El proyecto se inicia antes del empalme de la Ruta 57 Ch con la actual Ruta 60, al oriente de la ciudad de Los Andes, a 6,5 Km. al poniente del Puente Las Vizcachas, y termina en el enlace Peñablanca, donde empalmará con el punto inicial del Troncal Sur.
El proyecto tiene una longitud efectiva de 90,5 km y está dividido en dos sectores: Sector 1, Los Andes - Ruta 5 Norte, y Sector 2, Ruta 5 Norte - Enlace Peñablanca.</t>
  </si>
  <si>
    <t>https://concesiones.mop.gob.cl/project/concesion-camino-internacional-ruta-60-ch/</t>
  </si>
  <si>
    <t>99516880-4</t>
  </si>
  <si>
    <t>SOC CONCESIONARIA AUTOPISTA DE LOS ANDES S A</t>
  </si>
  <si>
    <t>https://www.cmfchile.cl/institucional/mercados/entidad.php?auth=&amp;send=&amp;mercado=O&amp;rut=99516880&amp;grupo=&amp;tipoentidad=RGEIN&amp;vig=VI&amp;row=AAAwy2ACTAAAByzAAI&amp;control=svs&amp;pestania=1</t>
  </si>
  <si>
    <t>035_ARAT1</t>
  </si>
  <si>
    <t>Primera concesión Nuevo Aeropuerto Regional de Atacama, III Región</t>
  </si>
  <si>
    <t>El Nuevo Aeropuerto Regional de Atacama, está ubicado a 52 km al noroeste de la ciudad de Copiapó y a 23 km al sur este de Caldera, en la Ruta 5 norte km 860.
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
Para los pasajeros cuenta con estacionamiento para automóviles, servicios para facilitar el desplazamiento como ascensores y escaleras mecánicas, además de wifi.
El Aeropuerto es clave para potenciar la demanda del sector turismo y la industria local, así como mejorar la conectividad nacional.</t>
  </si>
  <si>
    <t>Atacama</t>
  </si>
  <si>
    <t>https://concesiones.mop.gob.cl/project/concesion-nuevo-aeropuerto-regional-de-atacama/</t>
  </si>
  <si>
    <t>99505010-2</t>
  </si>
  <si>
    <t>SOC CONCESIONARIA AEROPUERTO REGIONAL DE ATACAMA S A</t>
  </si>
  <si>
    <t>https://www.cmfchile.cl/institucional/mercados/entidad.php?auth=&amp;send=&amp;mercado=O&amp;rut=99505010&amp;grupo=&amp;tipoentidad=RGEIN&amp;vig=VI&amp;row=AAAwy2ACTAAAAWdAAK&amp;control=svs&amp;pestania=1</t>
  </si>
  <si>
    <t>036_PP2G1</t>
  </si>
  <si>
    <t>Programa de Concesiones de Infraestructura Penitenciaria, Grupo 2</t>
  </si>
  <si>
    <t>Primera concesión Programa de Concesiones de Infraestructura Penitenciaria, Grupo 2</t>
  </si>
  <si>
    <t>No hay disponible</t>
  </si>
  <si>
    <t>Antofagasta; Biobío</t>
  </si>
  <si>
    <t>99520560-2</t>
  </si>
  <si>
    <t>SOCIEDAD CONCESIONARIA BAS DOS S.A.</t>
  </si>
  <si>
    <t>https://www.cmfchile.cl/institucional/mercados/entidad.php?mercado=V&amp;rut=99520560&amp;grupo=&amp;tipoentidad=RVEMI&amp;row=AAAwy2ACTAAABzHAAp&amp;vig=NV&amp;control=svs&amp;pestania=2</t>
  </si>
  <si>
    <t>037_ACNO1</t>
  </si>
  <si>
    <t>Acceso Nor - Oriente a Santiago</t>
  </si>
  <si>
    <t>Primera concesión Acceso Nor - Oriente a Santiago</t>
  </si>
  <si>
    <t>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
La autopista está dividida en dos áreas el sector oriente que se extiende desde Enlace Centenario a Enlace Av. Del Valle y el sector poniente desde el Enlace Av. Del Valle a la Ruta 5 Norte.
La autopista cuenta con sistema de telepeaje.</t>
  </si>
  <si>
    <t>https://concesiones.mop.gob.cl/project/concesion-acceso-nororiente-a-santiago/</t>
  </si>
  <si>
    <t>99548570-2</t>
  </si>
  <si>
    <t>SOC CONCESIONARIA AUTOPISTA NORORIENTE S A</t>
  </si>
  <si>
    <t>https://www.cmfchile.cl/institucional/mercados/entidad.php?auth=&amp;send=&amp;mercado=O&amp;rut=99548570&amp;grupo=&amp;tipoentidad=RGEIN&amp;vig=VI&amp;row=AAAwy2ACTAAABy0AAM&amp;control=svs&amp;pestania=1</t>
  </si>
  <si>
    <t>038_PBCH1</t>
  </si>
  <si>
    <t>Puente Bicentenario de Chiloé</t>
  </si>
  <si>
    <t>Primera concesión Puente Bicentenario de Chiloé</t>
  </si>
  <si>
    <t>Otros (v)</t>
  </si>
  <si>
    <t xml:space="preserve">
76333190-3</t>
  </si>
  <si>
    <t>SOCIEDAD CONCESIONARIA PUENTE CHILOE S.A.</t>
  </si>
  <si>
    <t>https://www.cmfchile.cl/institucional/mercados/entidad.php?mercado=V&amp;rut=76333190&amp;grupo=&amp;tipoentidad=RVEMI&amp;row=AAAwy2ACTAAABzJAAJ&amp;vig=NV&amp;control=svs&amp;pestania=50</t>
  </si>
  <si>
    <t>039_PP3G1</t>
  </si>
  <si>
    <t>Primera concesión Programa de Concesiones de Infraestructura Penitenciaria, Grupo N° 3</t>
  </si>
  <si>
    <t>Recintos penitenciarios de mediana seguridad ubicados en Valdivia y Puerto Montt y de alta seguridad en Santiago que fueron diseñados, construidos y están en operación.
Los nuevos recintos cuentan con sistema de separación de la población penal por grado de peligrosidad, sistema de vigilancia electrónica y de seguridad. También poseen nuevo equipamiento, servicios de alimentación, lavandería y atención de salud para la población detenida.
El Establecimiento Penitenciario Valdivia tiene una capacidad de 1.747 internos, el de Puerto Montt de 1.743 internos y el de Santiago de 4.000 detenidos.
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t>
  </si>
  <si>
    <t>Metropolitana de Santiago; Los Ríos</t>
  </si>
  <si>
    <t>https://concesiones.mop.gob.cl/project/concesion-programa-penitenciario-grupo-3-santiago-valdivia-puerto-montt/</t>
  </si>
  <si>
    <t>99554510-1</t>
  </si>
  <si>
    <t>SOC CONCESIONARIA INFRAESTRUCTURA PENITENCIARIA GRUPO TRES S A</t>
  </si>
  <si>
    <t>https://www.cmfchile.cl/institucional/mercados/entidad.php?auth=&amp;send=&amp;mercado=O&amp;rut=99554510&amp;grupo=&amp;tipoentidad=RGEIN&amp;vig=VI&amp;row=AAAwy2ACTAAABy0AAW&amp;control=svs&amp;pestania=1</t>
  </si>
  <si>
    <t>Santiago 20-01-2007; Valdivia 22-04-2007;Puerto Montt 27-05-2007</t>
  </si>
  <si>
    <t>040_EIMQ1</t>
  </si>
  <si>
    <t>Estación de Intercambio Modal Quinta Normal</t>
  </si>
  <si>
    <t>Primera concesión Estación de Intercambio Modal Quinta Normal</t>
  </si>
  <si>
    <t>Esta concesión consideraba el desarrollo de una estación de transferencia intermodal en Quinta Normal.
La iniciativa sólo tuvo una fase de construcción preliminar y debido ajustes posteriores este finalmente no se materializó.</t>
  </si>
  <si>
    <t>Edificación pública y equipamiento urbano</t>
  </si>
  <si>
    <t>https://concesiones.mop.gob.cl/project/estacion-intermodal-quinta-normal/</t>
  </si>
  <si>
    <t>99561490-1</t>
  </si>
  <si>
    <t xml:space="preserve">SOCIEDAD CONCESIONARIA INTERMODAL QUINTA NORMAL S.A. </t>
  </si>
  <si>
    <t>https://www.cmfchile.cl/institucional/mercados/entidad.php?auth=&amp;send=&amp;mercado=V&amp;rut=99561490&amp;grupo=&amp;tipoentidad=RVEMI&amp;vig=NV&amp;row=AAAwy2ACTAAABzHAAh&amp;control=svs&amp;pestania=2</t>
  </si>
  <si>
    <t>041_EIMC1</t>
  </si>
  <si>
    <t>Estación de Intercambio Modal La Cisterna</t>
  </si>
  <si>
    <t>Primera concesión Estación de Intercambio Modal La Cisterna</t>
  </si>
  <si>
    <t>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
La Estación forma parte del Programa de Concesiones de Estaciones de Intercambio Modal, el cual se inserta dentro del Plan de Modernización del Transporte Público en Santiago, impulsado por el Gobierno de Chile.
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
La Estación consta de 28 andenes subterráneos para la operación de buses urbanos, 16 andenes en superficie destinados a buses interurbanos. Se estima que beneficiará a más de 30 millones de pasajeros que utilizan cada año esta infraestructura.</t>
  </si>
  <si>
    <t>https://concesiones.mop.gob.cl/project/concesion-estacion-de-intercambio-modal-la-cisterna/</t>
  </si>
  <si>
    <t>99563430-9</t>
  </si>
  <si>
    <t>SOC CONCESIONARIA INTERMODAL LA CISTERNA  S A</t>
  </si>
  <si>
    <t>https://www.cmfchile.cl/institucional/mercados/entidad.php?auth=&amp;send=&amp;mercado=O&amp;rut=99563430&amp;grupo=&amp;tipoentidad=RGEIN&amp;vig=VI&amp;row=AAAwy2ACTAAABy0AAb&amp;control=svs&amp;pestania=1</t>
  </si>
  <si>
    <t>042_ACHA1</t>
  </si>
  <si>
    <t>Primera concesión Aeropuerto Chacalluta de Arica, I Región</t>
  </si>
  <si>
    <t>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
El proyecto, que tuvo por objetivo mejorar los estándares de servicio, también incluyó una nueva área de estacionamiento para vehículos. La obra fue relicitada y en la actualidad está vigente la segunda concesión.</t>
  </si>
  <si>
    <t>Arica y Parinacota</t>
  </si>
  <si>
    <t>https://concesiones.mop.gob.cl/project/primera-concesion-del-aeropuerto-chacalluta-de-arica/</t>
  </si>
  <si>
    <t>99563730-8</t>
  </si>
  <si>
    <t xml:space="preserve">    AEROPUERTO CHACALLUTA SOCIEDAD CONCESIONARIA S.A.</t>
  </si>
  <si>
    <t>https://www.cmfchile.cl/institucional/mercados/entidad.php?mercado=O&amp;rut=99563730&amp;grupo=&amp;tipoentidad=RGEIN&amp;row=AAAwy2ACTAAAByzAAb&amp;vig=VI&amp;control=svs&amp;pestania=3</t>
  </si>
  <si>
    <t>043_CSJS1</t>
  </si>
  <si>
    <t>Centro de Justicia de Santiago</t>
  </si>
  <si>
    <t>Primera concesión Centro de Justicia de Santiago</t>
  </si>
  <si>
    <t>Se trata de un conjunto de edificios ubicados en la comuna de Santiago, destinados al funcionamiento del Ministerio Público, la Defensoría Penal Pública, Juzgados de Garantía y Tribunales de Juicio Oral en lo Penal, construidos en el marco de la Reforma Procesal Penal.
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
También considera una plaza central, que organiza la circulación interna del Centro de manera de facilitar la independencia de flujos de los peatones en los recintos.</t>
  </si>
  <si>
    <t>https://concesiones.mop.gob.cl/project/concesion-centro-de-justicia-de-santiago/</t>
  </si>
  <si>
    <t>99557380-6</t>
  </si>
  <si>
    <t>SOC CONCESIONARIA CENTRO DE JUSTICIA DE SANTIAGO S A</t>
  </si>
  <si>
    <t>https://www.cmfchile.cl/institucional/mercados/entidad.php?auth=&amp;send=&amp;mercado=O&amp;rut=99557380&amp;grupo=&amp;tipoentidad=RGEIN&amp;vig=VI&amp;row=AAAwy2ACTAAAAWcAAN&amp;control=svs&amp;pestania=1</t>
  </si>
  <si>
    <t>044_PCIS1</t>
  </si>
  <si>
    <t>Plaza de la Ciudadanía, Etapa I</t>
  </si>
  <si>
    <t>Primera concesión Plaza de la Ciudadanía, Etapa I</t>
  </si>
  <si>
    <t>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
La explanada tiene una extensión de 10.565 m², el estacionamiento de 17.440 m² distribuido en cuatro niveles y el Centro Cultural con 7.250 m², en 3 niveles.
La obra busca generar un espacio continuo en el centro cívico, cuyo trayecto se inicia en la Plaza de la Constitución, atraviesa el Palacio de La Moneda, la Plaza de la Ciudadanía y finaliza en el Parque Almagro.</t>
  </si>
  <si>
    <t>https://concesiones.mop.gob.cl/project/concesion-plaza-de-la-ciudadania-etapa-1/</t>
  </si>
  <si>
    <t>99561160-0</t>
  </si>
  <si>
    <t>SOC CONCESIONARIA PLAZA DE LA CIUDADANIA S A</t>
  </si>
  <si>
    <t>https://www.cmfchile.cl/institucional/mercados/entidad.php?auth=&amp;send=&amp;mercado=O&amp;rut=99561160&amp;grupo=&amp;tipoentidad=RGEIN&amp;vig=VI&amp;row=AAAwy2ACTAAAByxAAb&amp;control=svs&amp;pestania=1</t>
  </si>
  <si>
    <t>045_ETPO1</t>
  </si>
  <si>
    <t>Estadio Techado Parque O’Higgins</t>
  </si>
  <si>
    <t>Primera concesión Estadio Techado Parque O’Higgins</t>
  </si>
  <si>
    <t>Conocido como Arena Santiago o Movistar Arena, este Estadio Techado se encuentra emplazado en el Parque O’Higgins, entre la elipse y el Campo de Marte con una extensión de 44.000 m².
Los trabajos consideraron el desarrollo de la infraestructura y la provisión de la totalidad del equipamiento para la completa y adecuada habilitación y operación comercial del recinto.
La arena central dispone de tribunas con una capacidad para 12.000 espectadores. Cuenta con cinco amplios salones, canchas y terraza de 900 m2, anfiteatro al aire libre con capacidad para 180 personas y dos canchas multipropósito.</t>
  </si>
  <si>
    <t>https://concesiones.mop.gob.cl/project/concesion-estadio-techado-parque-ohiggins/</t>
  </si>
  <si>
    <t>Subsidio; Pagos.</t>
  </si>
  <si>
    <t>99573420-6</t>
  </si>
  <si>
    <t>SOC CONCESIONARIA ARENA BICENTENARIO S A</t>
  </si>
  <si>
    <t>https://www.cmfchile.cl/institucional/mercados/entidad.php?auth=&amp;send=&amp;mercado=O&amp;rut=99573420&amp;grupo=&amp;tipoentidad=RGEIN&amp;vig=VI&amp;row=AAAwy2ACTAAABy0AAc&amp;control=svs&amp;pestania=1</t>
  </si>
  <si>
    <t>046_ECVI1</t>
  </si>
  <si>
    <t>Primera concesión Embalse Convento Viejo II Etapa, VI Región</t>
  </si>
  <si>
    <t>El Embalse Convento Viejo se ubica en la cuenta del Estero Chimbarongo, en las provincias de Colchagua y Cardenal Caro, en la región de O’Higgins, 160 kilómetros al sur de la Región Metropolitana.
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
El embalse también cuenta con generación de energía eléctrica gracias a la instalación de una central hidroeléctrica de 16,4 MW conectada al Sistema Interconectado Central (SIC).
Entre los beneficios de la obra destaca que incrementa la seguridad de riego de las 38.000 há de los Valles de Chimbarongo, Las Toscas y Guirivilo.</t>
  </si>
  <si>
    <t>Libertador General Bernardo O'Higgins</t>
  </si>
  <si>
    <t>https://concesiones.mop.gob.cl/project/concesion-embalse-convento-viejo-ii-etapa-vi-region/</t>
  </si>
  <si>
    <t>76338870-0</t>
  </si>
  <si>
    <t>SOCIEDAD CONCESIONARIA EMBALSE CONVENTO VIEJO S A</t>
  </si>
  <si>
    <t>https://www.cmfchile.cl/institucional/mercados/entidad.php?auth=&amp;send=&amp;mercado=O&amp;rut=76338870&amp;grupo=&amp;tipoentidad=RGEIN&amp;vig=VI&amp;row=AAAwy2ACTAAABy1AAU&amp;control=svs&amp;pestania=1</t>
  </si>
  <si>
    <t>047_PTLA1</t>
  </si>
  <si>
    <t>Puerto Terrestre Los Andes</t>
  </si>
  <si>
    <t>Primera concesión Puerto Terrestre Los Andes</t>
  </si>
  <si>
    <t>Con una superficie aproximada de 24 hectáreas y emplazado en el sector El Sauce, en la comuna de Los Andes, Región de Valparaíso, este puerto terrestre tiene una capacidad anual estimada de 135.000 camiones que transportan cerca de dos millones y medio de toneladas al año.
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
Tiene una capacidad de 498 plazas de aparcamiento, trece plazas para cargas peligrosas, 68 plazas para depósito aduanero y 48 de preandén. Este Puerto Terrestre favorece el intercambio comercial con naciones vecinas.</t>
  </si>
  <si>
    <t>https://concesiones.mop.gob.cl/project/concesion-puerto-terrestre-los-andes/</t>
  </si>
  <si>
    <t>99594180-5</t>
  </si>
  <si>
    <t>PUERTO TERRESTRE LOS ANDESSOCIEDAD CONCESIONARIA S A</t>
  </si>
  <si>
    <t>https://www.cmfchile.cl/institucional/mercados/entidad.php?auth=&amp;send=&amp;mercado=O&amp;rut=99594180&amp;grupo=&amp;tipoentidad=RGEIN&amp;vig=VI&amp;row=AAAwy2ACTAAABy1AAT&amp;control=svs&amp;pestania=1</t>
  </si>
  <si>
    <t>048_VVSK1</t>
  </si>
  <si>
    <t>Variante Vespucio El Salto - Kennedy</t>
  </si>
  <si>
    <t>Primera concesión Variante Vespucio El Salto - Kennedy</t>
  </si>
  <si>
    <t>Corresponde a los dos túneles paralelos que se ubican bajo el cerro San Cristóbal el sector de El Salto, comuna de Huechuraba, que con 4,1 km de extensión conectan Avenida El Cerro y Avenida Kennedy, Providencia y Vitacura respectivamente.
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
Estos túneles mejoran el nivel de servicio y capacidad de flujos que presenta Américo Vespucio en el sector de La Pirámide, otorgando elementos de seguridad vial, que permiten una conducción más expedita, disminuyendo los tiempos de viaje de los habitantes del Gran Santiago.
La autopista cuenta con sistema de telepeaje.</t>
  </si>
  <si>
    <t>https://concesiones.mop.gob.cl/project/concesion-variante-vespucio-el-salto-kennedy-tunel-san-cristobal/</t>
  </si>
  <si>
    <t>Nivel de tarifa; Pagos</t>
  </si>
  <si>
    <t>99588750-9</t>
  </si>
  <si>
    <t>SOCIEDAD CONCESIONARIA TUNEL SAN CRISTOBAL S.A.</t>
  </si>
  <si>
    <t>049_CVSR1</t>
  </si>
  <si>
    <t>Conexión Vial Av. Suiza - Las Rejas</t>
  </si>
  <si>
    <t>Primera concesión Conexión Vial Av. Suiza - Las Rejas</t>
  </si>
  <si>
    <t>Esta concesión finalizó en noviembre de 2020 y consideró la construcción y operación de un conjunto de obras viales y estructurales, que conectan las avenidas Suiza con Las Rejas en los límites de las comunas de Estación Central y Cerrillos, en la Región Metropolitana.
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
La obra permite unir el anillo intermedio de circunvalación al interior de Santiago, con un estándar de vía urbana que permite el desplazamiento de los nuevos buses de transporte público, logrando así, disminuir los tiempos de viaje.
Con el desarrollo de esta obra se buscó mejorar los estándares de estructuras utilizadas para el transporte público.</t>
  </si>
  <si>
    <t>https://concesiones.mop.gob.cl/project/concesion-conexion-vial-suiza-las-rejas/</t>
  </si>
  <si>
    <t>76296350-7</t>
  </si>
  <si>
    <t>SOCIEDAD CONCESIONARIA CONEXION LAS REJAS S.A.</t>
  </si>
  <si>
    <t>https://www.cmfchile.cl/institucional/mercados/entidad.php?auth=&amp;send=&amp;mercado=O&amp;rut=76296350&amp;grupo=&amp;tipoentidad=RGEIN&amp;vig=NV&amp;row=AAAwy2ACTAAABy0AAC&amp;control=svs&amp;pestania=1</t>
  </si>
  <si>
    <t>050_ETTT1</t>
  </si>
  <si>
    <t>Estaciones de Transbordo para Transantiago</t>
  </si>
  <si>
    <t>Primera concesión Estaciones de Transbordo para Transantiago</t>
  </si>
  <si>
    <t>Esta concesión finalizó en abril de 2021 y consideró la construcción y mantención de 35 Estaciones de Transbordo de Pasajeros, cuyas capacidades oscilan entre 1.000 y 18.000 viajeros por hora.
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
Cada una de estas cuenta como un sistema integrado de andenes para pasajeros, que facilitan la integración entre líneas de buses, otros medios de transportes y el desplazamiento de los peatones, cumpliendo con los requisitos mínimos en términos de capacidad y nivel de servicio.
Con el desarrollo de esta obra se buscó mejorar los estándares de estructuras utilizadas para el transporte público.</t>
  </si>
  <si>
    <t>https://concesiones.mop.gob.cl/project/concesion-estaciones-de-transbordo-para-transporte-publico/</t>
  </si>
  <si>
    <t>76522250-8</t>
  </si>
  <si>
    <t>SOCIEDAD CONCESIONARIA CONCESIONES URBANAS S.A.</t>
  </si>
  <si>
    <t>https://www.cmfchile.cl/institucional/mercados/entidad.php?auth=&amp;send=&amp;mercado=O&amp;rut=76522250&amp;grupo=&amp;tipoentidad=RGEIN&amp;vig=NV&amp;row=AAAwy2ACTAAAAWdAAC&amp;control=svs&amp;pestania=1</t>
  </si>
  <si>
    <t>051_CTSR1</t>
  </si>
  <si>
    <t>Habilitación Corredor de Transporte Público Av. Santa Rosa, Sector Alameda - A. Vespucio</t>
  </si>
  <si>
    <t>Primera concesión Habilitación Corredor de Transporte Público Av. Santa Rosa, Sector Alameda - A. Vespucio</t>
  </si>
  <si>
    <t>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
Este Corredor vial atraviesa las comunas de Santiago, San Joaquín, San Miguel, La Granja y San Ramón, con una longitud aproximada de 10,78 km por Av. Santa Rosa y 3,9 km por San Francisco.</t>
  </si>
  <si>
    <t>https://concesiones.mop.gob.cl/project/concesion-corredor-de-transporte-publico-av-santa-rosa/</t>
  </si>
  <si>
    <t>76518910-1</t>
  </si>
  <si>
    <t>SOCIEDAD CONCESIONARIA VIA SANTA ROSA S.A.</t>
  </si>
  <si>
    <t>https://www.cmfchile.cl/institucional/mercados/entidad.php?auth=&amp;send=&amp;mercado=O&amp;rut=76518910&amp;grupo=&amp;tipoentidad=RGEIN&amp;vig=VI&amp;row=AAAwy2ACTAAAByxAAY&amp;control=svs&amp;pestania=1</t>
  </si>
  <si>
    <t>052_160R1</t>
  </si>
  <si>
    <t>Ruta 160, Tramo Tres Pinos - Acceso Norte a Coronel</t>
  </si>
  <si>
    <t>Primera concesión Ruta 160, Tramo Tres Pinos - Acceso Norte a Coronel</t>
  </si>
  <si>
    <t>Autopista de 89 km de longitud que se ubica desde el acceso norte a la ciudad de Coronel y la localidad de Cerro Alto, cruzando las comunas de Coronel, Lota, Arauco, Curanilahue, y Los Álamos.
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
El principal beneficio de la vía es mejorar la conectividad de la región, favoreciendo de esta forma el intercambio comercial.</t>
  </si>
  <si>
    <t>https://concesiones.mop.gob.cl/proyectos/Paginas/detalleExplotacion.aspx?item=7</t>
  </si>
  <si>
    <t>Subsidio; Ingresos totales de la concesión.</t>
  </si>
  <si>
    <t>76039865-9</t>
  </si>
  <si>
    <t>SOCIEDAD CONCESIONARIA AUTOPISTA COSTA ARAUCO S.A.</t>
  </si>
  <si>
    <t>https://www.cmfchile.cl/institucional/mercados/entidad.php?auth=&amp;send=&amp;mercado=O&amp;rut=76039865&amp;grupo=&amp;tipoentidad=RGEIN&amp;vig=VI&amp;row=AAAwy2ACTAAAByzAAP&amp;control=svs&amp;pestania=1</t>
  </si>
  <si>
    <t>053_ADAI2</t>
  </si>
  <si>
    <t>Segunda concesión Aeropuerto Diego Aracena de Iquique, I Región</t>
  </si>
  <si>
    <t>Esta concesión finalizó en 2012 y consideró la ampliación del Edificio Terminal de Pasajeros, de 4.700 m2 a 8.200 m2, y la remodelación de instalaciones existentes.
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
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t>
  </si>
  <si>
    <t>https://concesiones.mop.gob.cl/project/segunda-concesion-aeropuerto-diego-aracena-de-iquique/</t>
  </si>
  <si>
    <t>76006807-1</t>
  </si>
  <si>
    <t>SOCIEDAD CONCESIONARIA AEROTAS S.A.</t>
  </si>
  <si>
    <t>https://www.cmfchile.cl/institucional/mercados/entidad.php?mercado=O&amp;rut=76006807&amp;grupo=&amp;tipoentidad=RGEIN&amp;row=AAAwy2ACTAAABy1AAD&amp;vig=NV&amp;control=svs&amp;pestania=50</t>
  </si>
  <si>
    <t>054_ATEP2</t>
  </si>
  <si>
    <t>Segunda concesión Aeropuerto El Tepual de Puerto Montt, X Región</t>
  </si>
  <si>
    <t>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
Con el desarrollo de esta obra se buscó mejorar los estándares de las instalaciones aeroportuarias, acordes a las de un aeropuerto regional con carácter internacional.
La obra fue relicitada y en la actualidad está vigente la cuarta concesión.</t>
  </si>
  <si>
    <t>https://concesiones.mop.gob.cl/project/segunda-concesion-aeropuerto-el-tepual-de-puerto-montt/</t>
  </si>
  <si>
    <t>76009779-9</t>
  </si>
  <si>
    <t>SOCIEDAD CONCESIONARIA AEROPUERTO PUERTO MONTT S.A.</t>
  </si>
  <si>
    <t>https://www.cmfchile.cl/institucional/mercados/entidad.php?mercado=O&amp;rut=76009779&amp;grupo=&amp;tipoentidad=RGEIN&amp;row=AAAwy2ACTAAABy0AAQ&amp;vig=NV&amp;control=svs&amp;pestania=50</t>
  </si>
  <si>
    <t>055_60GR1</t>
  </si>
  <si>
    <t>Conexión Vial Melipilla - Camino de la Fruta</t>
  </si>
  <si>
    <t>Primera concesión Conexión Vial Melipilla - Camino de la Fruta</t>
  </si>
  <si>
    <t>76051174-9</t>
  </si>
  <si>
    <t>SOCIEDAD CONCESIONARIA RUTA G-60 S.A.</t>
  </si>
  <si>
    <t>https://www.cmfchile.cl/institucional/mercados/entidad.php?auth=&amp;send=&amp;mercado=O&amp;rut=76051174&amp;grupo=&amp;tipoentidad=RGEIN&amp;vig=VI&amp;row=AAAwy2ACTAAABy0AAU&amp;control=svs&amp;pestania=2</t>
  </si>
  <si>
    <t>056_VCAL1</t>
  </si>
  <si>
    <t>Primera concesión Ruta 5 Norte. Tramo: Vallenar - Caldera</t>
  </si>
  <si>
    <t>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
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t>
  </si>
  <si>
    <t>https://concesiones.mop.gob.cl/project/concesion-ruta-160-tramo-tres-pinos-acceso-norte-a-coronel/</t>
  </si>
  <si>
    <t>Nivel de tarifa; Subsidio; Ingresos totales de la concesión.</t>
  </si>
  <si>
    <t>76054764-6</t>
  </si>
  <si>
    <t>SOCIEDAD CONCESIONARIA VALLES DEL DESIERTO S.A.</t>
  </si>
  <si>
    <t>https://www.cmfchile.cl/institucional/mercados/entidad.php?auth=&amp;send=&amp;mercado=O&amp;rut=76054764&amp;grupo=&amp;tipoentidad=RGEIN&amp;vig=VI&amp;row=AAAwy2ACTAAABy0AAJ&amp;control=svs&amp;pestania=1</t>
  </si>
  <si>
    <t>057_CMVR1</t>
  </si>
  <si>
    <t>Centro Metropolitano de Vehículos Retirados de Circulación</t>
  </si>
  <si>
    <t>Primera concesión Centro Metropolitano de Vehículos Retirados de Circulación</t>
  </si>
  <si>
    <t>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
El recinto se ubica en el km 2,7 del Camino Lo Echevers (Ruta G-16), comuna de Quilicura y el terreno total es de aproximadamente 26,5 hectáreas, de las cuales 24 están habilitadas para custodiar 12.000 vehículos aproximadamente.
Cuenta instalaciones, equipamientos y sistemas de seguridad e informáticos, necesarios para resguardar autos previa inscripción del municipio.
En lugar también se realizan remates de vehículos abandonados.</t>
  </si>
  <si>
    <t>https://concesiones.mop.gob.cl/project/concesion-centro-metropolitano-de-vehiculos-retirados-de-circulacion/</t>
  </si>
  <si>
    <t>76101714-4</t>
  </si>
  <si>
    <t>SOCIEDAD CONCESIONARIA CENTRO METROPOLITANO DE VEHICULOS RETIRADOS DE CIRCULACIO</t>
  </si>
  <si>
    <t>https://www.cmfchile.cl/institucional/mercados/entidad.php?auth=&amp;send=&amp;mercado=O&amp;rut=76101714&amp;grupo=&amp;tipoentidad=RGEIN&amp;vig=VI&amp;row=AAAwy2ACTAAABzLAAW&amp;control=svs&amp;pestania=1</t>
  </si>
  <si>
    <t>058_AVAM2</t>
  </si>
  <si>
    <t>Segunda concesión Acceso Vial Aeropuerto Arturo Merino Benítez</t>
  </si>
  <si>
    <t>Este proyecto ubicado en la comuna de Pudahuel contempla el mejoramiento y operación del acceso existente al Aeropuerto de Santiago que se ubica en la zona sur (Tramo A) y la implementación de un nuevo acceso por el norte del terminal (Tramo B).
El tramo A se encuentra habilitado y en servicio desde 2012. Mientras que el tramo B fue dividido en cuatro subtramos (B1, B2, B3 Y B4) y de ellos el B1 se encuentra en etapa de construcción, correspondiendo al mejoramiento de 3 km aproximadamente.
Con esta obra se mejora sustancialmente el acceso al principal terminal aéreo del país.</t>
  </si>
  <si>
    <t>https://concesiones.mop.gob.cl/project/segunda-concesion-acceso-vial-aeropuerto-arturo-merino-benitez/</t>
  </si>
  <si>
    <t>76033448-0</t>
  </si>
  <si>
    <t>SOCIEDAD CONCESIONARIA AMB S.A.</t>
  </si>
  <si>
    <t>https://www.cmfchile.cl/institucional/mercados/entidad.php?auth=&amp;send=&amp;mercado=O&amp;rut=76033448&amp;grupo=&amp;tipoentidad=RGEIN&amp;vig=VI&amp;row=AAAwy2ACTAAABy0AAT&amp;control=svs&amp;pestania=1</t>
  </si>
  <si>
    <t>Sin otorgar</t>
  </si>
  <si>
    <t>059_HSMF1</t>
  </si>
  <si>
    <t>Concesión de Hospital de Maipú y Hospital de La Florida</t>
  </si>
  <si>
    <t>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
El diseño, provisión, montaje y mantenimiento del equipamiento clínico, así como los servicios clínicos mismos, son de responsabilidad del Ministerio de Salud, mandante en esta obra.
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
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t>
  </si>
  <si>
    <t>Hospitalaria</t>
  </si>
  <si>
    <t>https://concesiones.mop.gob.cl/project/concesion-hospital-de-maipu-y-la-florida/</t>
  </si>
  <si>
    <t>76082113-6</t>
  </si>
  <si>
    <t>SOCIEDAD CONCESIONARIA SAN JOSE-TECNOCONTROL S.A.</t>
  </si>
  <si>
    <t>https://www.cmfchile.cl/institucional/mercados/entidad.php?auth=&amp;send=&amp;mercado=O&amp;rut=76082113&amp;grupo=&amp;tipoentidad=RGEIN&amp;vig=VI&amp;row=AAAwy2ACTAAABzLAAQ&amp;control=svs&amp;pestania=1</t>
  </si>
  <si>
    <t>060_66RF1</t>
  </si>
  <si>
    <t>Ruta 66 - Camino de la Fruta</t>
  </si>
  <si>
    <t>Primera concesión Ruta 66 - Camino de la Fruta</t>
  </si>
  <si>
    <t>Valparaíso; Metropolitana de Santiago; Libertador General Bernardo O'Higgins</t>
  </si>
  <si>
    <t>76099522-3</t>
  </si>
  <si>
    <t>SOCIEDAD CONCESIONARIA LA FRUTA S.A.</t>
  </si>
  <si>
    <t>https://www.cmfchile.cl/institucional/mercados/entidad.php?auth=&amp;send=&amp;mercado=O&amp;rut=76099522&amp;grupo=&amp;tipoentidad=RGEIN&amp;vig=NV&amp;row=AAAwy2ACTAAABzLAAV&amp;control=svs&amp;pestania=1</t>
  </si>
  <si>
    <t>061_PMPA1</t>
  </si>
  <si>
    <t>Primera concesión Ruta 5, Tramo Puerto Montt - Pargua</t>
  </si>
  <si>
    <t>Autopista de doble calzada de 55 km de longitud que corresponde al tramo Puerto Montt-Pargua de la Ruta 5 Sur que cruza la Región de Los Lagos.
Considera nuevos enlaces e intersecciones viales, obras de saneamiento y drenaje, señalización y seguridad vial, iluminación, paraderos y calles de servicio.</t>
  </si>
  <si>
    <t>https://concesiones.mop.gob.cl/project/concesion-ruta-5-tramo-puerto-montt-pargua/</t>
  </si>
  <si>
    <t>76100845-5</t>
  </si>
  <si>
    <t>SOCIEDAD CONCESIONARIA RUTA DEL CANAL S.A.</t>
  </si>
  <si>
    <t>https://www.cmfchile.cl/institucional/mercados/entidad.php?auth=&amp;send=&amp;mercado=O&amp;rut=76100845&amp;grupo=&amp;tipoentidad=RGEIN&amp;vig=VI&amp;row=AAAwy2ACTAAABzNAAS&amp;control=svs&amp;pestania=1</t>
  </si>
  <si>
    <t>062_NARA1</t>
  </si>
  <si>
    <t>Primera concesión Nuevo Aeropuerto de la Región de La Araucanía</t>
  </si>
  <si>
    <t>Nuevo aeropuerto ubicado a 20 km. al sur poniente de la ciudad de Temuco en la Región de la Araucanía que surge en reemplazo al recinto de Manquehue de Temuco.
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
Incluye la vialidad para llegar al recinto mediante un camino que se conecta, mediante un enlace, con la Ruta 5 Sur.</t>
  </si>
  <si>
    <t>https://concesiones.mop.gob.cl/project/concesion-nuevo-aeropuerto-region-de-la-araucania/</t>
  </si>
  <si>
    <t>76101037-9</t>
  </si>
  <si>
    <t>SOCIEDAD CONCESIONARIA AEROPUERTO ARAUCANIA S.A.</t>
  </si>
  <si>
    <t>https://www.cmfchile.cl/institucional/mercados/entidad.php?auth=&amp;send=&amp;mercado=O&amp;rut=76101037&amp;grupo=&amp;tipoentidad=RGEIN&amp;vig=VI&amp;row=AAAwy2ACTAAABzLAAU&amp;control=svs&amp;pestania=1</t>
  </si>
  <si>
    <t>063_ACIP2</t>
  </si>
  <si>
    <t>Aeropuerto Presidente Carlos Ibáñez del Campo de Punta Arenas</t>
  </si>
  <si>
    <t>Segunda concesión Aeropuerto Presidente Carlos Ibáñez del Campo de Punta Arenas</t>
  </si>
  <si>
    <t>Esta concesión finalizó en marzo de 2021 y consideró la remodelación del Aeropuerto Carlos Ibáñez del Campo ubicado a 20 km al norte de la ciudad de Punta Arenas en el costado oriente de la Ruta 9, que une Punta Arenas con Puerto Natales, próximo al Estrecho de Magallanes.
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
Con el desarrollo de esta obra se buscó mejorar los estándares de la infraestructura aeroportuaria en la región.
La obra fue relicitada y en la actualidad está vigente la tercera concesión.</t>
  </si>
  <si>
    <t>https://concesiones.mop.gob.cl/project/segunda-concesion-aeropuerto-carlos-ibanez-del-campo-de-punta-arenas/</t>
  </si>
  <si>
    <t>76087702-6</t>
  </si>
  <si>
    <t>CONSORCIO AEROPORTUARIO DE MAGALLANES S.A. SOCIEDAD CONCESIONARIA</t>
  </si>
  <si>
    <t>https://www.cmfchile.cl/institucional/mercados/entidad.php?auth=&amp;send=&amp;mercado=O&amp;rut=76087702&amp;grupo=&amp;tipoentidad=RGEIN&amp;vig=VI&amp;row=AAAwy2ACTAAABzNAAI&amp;control=svs&amp;pestania=1</t>
  </si>
  <si>
    <t>064_PP2G2</t>
  </si>
  <si>
    <t>Segunda concesión Programa de Concesiones de Infraestructura Penitenciaria Grupo 2</t>
  </si>
  <si>
    <t>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t>
  </si>
  <si>
    <t>https://concesiones.mop.gob.cl/project/segunda-concesion-programa-penitenciario-grupo-2-antofagasta-y-concepcion/</t>
  </si>
  <si>
    <t>76098841-3</t>
  </si>
  <si>
    <t>SOCIEDAD CONCESIONARIA  GRUPO DOS S.A.</t>
  </si>
  <si>
    <t>https://www.cmfchile.cl/institucional/mercados/entidad.php?auth=&amp;send=&amp;mercado=O&amp;rut=76098841&amp;grupo=&amp;tipoentidad=RGEIN&amp;vig=VI&amp;row=AAAwy2ACTAAABzHAAA&amp;control=svs&amp;pestania=1</t>
  </si>
  <si>
    <t>Conceoción: 10-12-2010: Antofagatsa: 06-03-2012</t>
  </si>
  <si>
    <t>065_AURA1</t>
  </si>
  <si>
    <t>Primera concesión Vial Autopistas de la Región de Antofagasta</t>
  </si>
  <si>
    <t>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
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
Estos mejoramientos de rutas contribuyen a mejorar la conectividad vial de la zona, favoreciendo el desarrollo industrial y productivo de la Región de Antofagasta.</t>
  </si>
  <si>
    <t>https://concesiones.mop.gob.cl/project/concesion-autopista-de-la-region-de-antofagasta/</t>
  </si>
  <si>
    <t>76099978-4</t>
  </si>
  <si>
    <t>SOCIEDAD CONCESIONARIA AUTOPISTAS DE ANTOFAGASTA S.A.</t>
  </si>
  <si>
    <t>https://www.cmfchile.cl/institucional/mercados/entidad.php?auth=&amp;send=&amp;mercado=O&amp;rut=76099978&amp;grupo=&amp;tipoentidad=RGEIN&amp;vig=VI&amp;row=AAAwy2ACTAAABzLAAT&amp;control=svs&amp;pestania=1</t>
  </si>
  <si>
    <t>066_ALOA2</t>
  </si>
  <si>
    <t>Aeropuerto El Loa de Calama</t>
  </si>
  <si>
    <t>Segunda concesión Aeropuerto El Loa de Calama</t>
  </si>
  <si>
    <t>Remodelación del Aeropuerto de El Loa ubicado a 6 km al sur este de la ciudad de Calama en la Región de Antofagasta.
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
Los principales trabajos fueron la ampliación de la plataforma de estacionamiento de aeronaves en 8.100 m2, la construcción de rodaje perpendicular.
El Aeropuerto es clave en potenciar la industria regional y mejorar la conectividad nacional.</t>
  </si>
  <si>
    <t>https://concesiones.mop.gob.cl/project/segunda-concesion-aeropuerto-el-loa-de-calama/</t>
  </si>
  <si>
    <t>76139803-2</t>
  </si>
  <si>
    <t>CONSORCIO AEROPORTUARIO DE CALAMA S.A. SOCIEDAD CONCESIONARIA</t>
  </si>
  <si>
    <t>https://www.cmfchile.cl/institucional/mercados/entidad.php?auth=&amp;send=&amp;mercado=O&amp;rut=76139803&amp;grupo=&amp;tipoentidad=RGEIN&amp;vig=VI&amp;row=AAAwy2ACTAAABzNAAY&amp;control=svs&amp;pestania=1</t>
  </si>
  <si>
    <t>067_ACIQ1</t>
  </si>
  <si>
    <t>Alternativas de Acceso a Iquique</t>
  </si>
  <si>
    <t>Primera concesión Alternativas de Acceso a Iquique</t>
  </si>
  <si>
    <t>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
La segunda, es un tramo de la Ruta 1, desde el km 1.200 al sur del acceso al Aeropuerto Diego Aracena, hasta el sector denominado Bajo Molle, con una longitud total de 31 km.
Además cuenta con dos variantes, una en el sector del aeropuerto y otra en el sector denominado “Los Verdes”, que permite alejar la ruta de la costa evitando así el deterioro por la acción abrasiva del mar.</t>
  </si>
  <si>
    <t>https://concesiones.mop.gob.cl/project/concesion-alternativas-de-acceso-a-iquique/</t>
  </si>
  <si>
    <t>76172397-9</t>
  </si>
  <si>
    <t>SOCIEDAD CONCESIONARIA RUTAS DEL DESIERTO S.A</t>
  </si>
  <si>
    <t>https://www.cmfchile.cl/institucional/mercados/entidad.php?auth=&amp;send=&amp;mercado=O&amp;rut=76172397&amp;grupo=&amp;tipoentidad=RGEIN&amp;vig=VI&amp;row=AAAwy2ACTAAABzOAAP&amp;control=svs&amp;pestania=1</t>
  </si>
  <si>
    <t>068_COCA1</t>
  </si>
  <si>
    <t xml:space="preserve">Primera concesión Autopista Concepción - Cabrero </t>
  </si>
  <si>
    <t>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
La ruta cuenta con una ampliación a doble calzada en el tramo de la Ruta 148 y la Ruta O-50, segregación de la carretera, emplazamiento de enlaces desnivelados en los principales cruces y mejoramiento del estado de las calzadas, entre otros.
El principal beneficio de la obra es mejorar la conectividad de la región, favoreciendo de esta forma el intercambio comercial.</t>
  </si>
  <si>
    <t>https://concesiones.mop.gob.cl/project/concesion-autopista-concepcion-cabrero/</t>
  </si>
  <si>
    <t>76172387-1</t>
  </si>
  <si>
    <t>SOCIEDAD CONCESIONARIA VALLES DEL BIO BIO S.A</t>
  </si>
  <si>
    <t>https://www.cmfchile.cl/institucional/mercados/entidad.php?auth=&amp;send=&amp;mercado=O&amp;rut=76172387&amp;grupo=&amp;tipoentidad=RGEIN&amp;vig=VI&amp;row=AAAwy2ACTAAABzOAAG&amp;control=svs&amp;pestania=1</t>
  </si>
  <si>
    <t>069_ACMA2</t>
  </si>
  <si>
    <t>Aeropuerto Cerro Moreno de Antofagasta</t>
  </si>
  <si>
    <t>Segunda concesión Aeropuerto Cerro Moreno de Antofagasta</t>
  </si>
  <si>
    <t>Remodelación y ampliación del terminal de pasajeros ubicado a 28 km al norte de la ciudad de Antofagasta en la Ruta CH–1.
Considera el mantenimiento de todas las obras preexistentes que se extienden por 7.000 m2 y nuevas que se ejecutaron que suman 2.900 m2, que incluye entre otras el nuevo cuartel de seguridad, salvamento y extinción de incendios (SEI).
Incluye áreas comerciales, hall público para llegada y salida de pasajeros, superficies para procesos aeroportuarios, oficinas de líneas aéreas, equipamiento electromecánico y aeroportuario, mobiliario, señalética, y comunicaciones, además de todos los servicios básicos.
El Aeropuerto es clave en potenciar la industria regional y mejorar la conectividad nacional.</t>
  </si>
  <si>
    <t>https://concesiones.mop.gob.cl/project/segunda-concesion-aeropuerto-andres-sabella-ex-cerro-moreno-de-antofagasta/</t>
  </si>
  <si>
    <t>76179538-4</t>
  </si>
  <si>
    <t>SOCIEDAD CONCESIONARIA AEROPUERTO DE ANTOFAGASTA S.A</t>
  </si>
  <si>
    <t>https://www.cmfchile.cl/institucional/mercados/entidad.php?auth=&amp;send=&amp;mercado=O&amp;rut=76179538&amp;grupo=&amp;tipoentidad=RGEIN&amp;vig=VI&amp;row=AAAwy2ACTAAABzOAAL&amp;control=svs&amp;pestania=1</t>
  </si>
  <si>
    <t>070_43RU1</t>
  </si>
  <si>
    <t>Primera concesión para el Mejoramiento y Conservación de la Ruta 43 de la Región de Coquimbo</t>
  </si>
  <si>
    <t>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
Entre los beneficios del Proyecto se encuentra el aumento en la seguridad vial, ahorros en tiempos de viajes y costos operacionales.</t>
  </si>
  <si>
    <t>https://concesiones.mop.gob.cl/project/concesion-mejoramiento-y-conservacion-de-la-ruta-43-de-la-region-de-coquimbo/</t>
  </si>
  <si>
    <t>76307944-9</t>
  </si>
  <si>
    <t>SOCIEDAD CONCESIONARIA RUTA DEL LIMARI S.A.</t>
  </si>
  <si>
    <t>https://www.cmfchile.cl/institucional/mercados/entidad.php?auth=&amp;send=&amp;mercado=O&amp;rut=76307944&amp;grupo=&amp;tipoentidad=RGEIN&amp;vig=VI&amp;row=AAAwy2ACTAAABzVAAW&amp;control=svs&amp;pestania=1</t>
  </si>
  <si>
    <t>071_VALS1</t>
  </si>
  <si>
    <t>Primera concesión Ruta 5 Norte. Tramo: La Serena - Vallenar</t>
  </si>
  <si>
    <t>Autopista de doble calzada de 187 km de extensión, que tiene como propósito continuar con el mejoramiento de la Ruta 5 Norte. El tramo comienza en el sector urbano de La Serena al norte del cruce de Francisco de Aguirre, hasta el acceso a la localidad de Domeyko.
Considera mejoramiento de la doble calzada, retornos a nivel ubicados cada 8 a 10 km, calles de servicios, áreas especiales de estacionamiento para camiones y red de asistencia con citófonos de emergencia, grúas y vehículos de atención en caso de urgencias.
Adicionalmente consta de un nuevo puente, que atraviesa el ferrocarril y el río Elqui, y una solución desnivelada para el sector de Las Compañías junto con otras soluciones similares en los poblados que atraviesa la Ruta 5.</t>
  </si>
  <si>
    <t>Atacama; Coquimbo</t>
  </si>
  <si>
    <t>https://concesiones.mop.gob.cl/project/concesion-ruta-5-tramo-la-serena-vallenar/</t>
  </si>
  <si>
    <t>76213076-9</t>
  </si>
  <si>
    <t>SOCIEDAD CONCESIONARIA RUTA DEL ALGARROBO SA</t>
  </si>
  <si>
    <t>https://www.cmfchile.cl/institucional/mercados/entidad.php?auth=&amp;send=&amp;mercado=O&amp;rut=76213076&amp;grupo=&amp;tipoentidad=RGEIN&amp;vig=VI&amp;row=AAAwy2ACTAAABzQAAc&amp;control=svs&amp;pestania=1</t>
  </si>
  <si>
    <t>072_RLOA1</t>
  </si>
  <si>
    <t>Primera concesión Vial Rutas del Loa</t>
  </si>
  <si>
    <t>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
La obra fue relicitada y en la actualidad se encuentra vigente la segunda concesión.</t>
  </si>
  <si>
    <t>76380242-6</t>
  </si>
  <si>
    <t>Sociedad Concesionaria San José Rutas del Loa SA</t>
  </si>
  <si>
    <t>073_ADAI3</t>
  </si>
  <si>
    <t>Tercera concesión Aeropuerto Diego Aracena de Iquique, I Región de Tarapacá</t>
  </si>
  <si>
    <t>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t>
  </si>
  <si>
    <t>https://concesiones.mop.gob.cl/project/tercera-concesion-aeropuerto-diego-aracena-de-iquique/</t>
  </si>
  <si>
    <t>Pagos; Ingresos totales de la concesión.</t>
  </si>
  <si>
    <t>76247635-5</t>
  </si>
  <si>
    <t>SOCIEDAD CONCESIONARIA AEROPUERTO DE IQUIQUE S.A.</t>
  </si>
  <si>
    <t>https://www.cmfchile.cl/institucional/mercados/entidad.php?mercado=O&amp;rut=76247635&amp;grupo=&amp;tipoentidad=RGEIN&amp;row=AAAwy2ACTAAABzPAAE&amp;vig=NV&amp;control=svs&amp;pestania=50</t>
  </si>
  <si>
    <t>074_ALFS2</t>
  </si>
  <si>
    <t>Segunda concesión Aeródromo La Florida de La Serena, IV Región de Coquimbo</t>
  </si>
  <si>
    <t>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
Asimismo se amplió la cabina de la torre de control, la plataforma del recinto y las áreas de servicios como baños públicos, cafetería y cocina, entre otros.
El proyecto tuvo por objetivo mejorar los estándares de las instalaciones aeroportuarias para entregar un mayor confort a los usuarios.
La obra fue licitada nuevamente y en la actualidad está vigente la tercera concesión.</t>
  </si>
  <si>
    <t>https://concesiones.mop.gob.cl/project/segunda-concesion-aerodromo-la-florida-de-la-serena/</t>
  </si>
  <si>
    <t>76256545-5</t>
  </si>
  <si>
    <t>CONSORCIO AEROPORTUARIO DE LA SERENA S.A. SOCIEDAD CONCESIONARIA</t>
  </si>
  <si>
    <t>https://www.cmfchile.cl/institucional/mercados/entidad.php?auth=&amp;send=&amp;mercado=O&amp;rut=76256545&amp;grupo=&amp;tipoentidad=RGEIN&amp;vig=VI&amp;row=AAAwy2ACTAAABzTAAR&amp;control=svs&amp;pestania=1</t>
  </si>
  <si>
    <t>075_HSAN1</t>
  </si>
  <si>
    <t>Hospital de Antofagasta</t>
  </si>
  <si>
    <t>Primera concesión Hospital de Antofagasta</t>
  </si>
  <si>
    <t>Ubicado en la Región de Antofagasta, el proyecto consiste en la construcción, mantenimiento y explotación de servicios no clínicos de apoyo. Además, la concesión contempla la provisión, reposición y mantenimiento del equipamiento médico.
La superficie construida será de 114.000 m2, y considera la inclusión de 45 boxes de consulta, 24 boxes de urgencia, 16 boxes dentales, 18 pabellones y 671 camas Indiferenciadas.
Esta obra pública se financiará mediante aportes del Estado, a través de subsidios tanto para la construcción como la operación del recinto y el equipamiento médico.
El proyecto beneficiará a una población proyectada de 260 mil personas, al que se agrega la demanda de alta complejidad desde Arica a Copiapó.
Entre los beneficios del Proyecto se encuentra el aumento de la disponibilidad de camas en la región, con infraestructura hospitalaria y equipamiento médico de alto nivel y alta complejidad.</t>
  </si>
  <si>
    <t>https://concesiones.mop.gob.cl/project/concesion-hospital-de-antofagasta/</t>
  </si>
  <si>
    <t>76317736-K</t>
  </si>
  <si>
    <t>SOCIEDAD CONCESIONARIA SALUD SIGLO XXI S.A.</t>
  </si>
  <si>
    <t>https://www.cmfchile.cl/institucional/mercados/entidad.php?auth=&amp;send=&amp;mercado=O&amp;rut=76317736&amp;grupo=&amp;tipoentidad=RGEIN&amp;vig=VI&amp;row=AAAwy2ACTAAABzTAAk&amp;control=svs&amp;pestania=1</t>
  </si>
  <si>
    <t>076_NPIB1</t>
  </si>
  <si>
    <t>Primera concesión Vial Puente Industrial</t>
  </si>
  <si>
    <t>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
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
El proyecto prevé la reducción significativa en los tiempos de viaje y mejoramiento de la conectividad entre ambas riberas del río Bío Bío.</t>
  </si>
  <si>
    <t>https://concesiones.mop.gob.cl/project/concesion-vial-puente-industrial/</t>
  </si>
  <si>
    <t>Construcción y Operación</t>
  </si>
  <si>
    <t>76427516-0</t>
  </si>
  <si>
    <t>SOCIEDAD CONCESIONARIA PUENTE INDUSTRIAL S.A</t>
  </si>
  <si>
    <t>https://www.cmfchile.cl/institucional/mercados/entidad.php?auth=&amp;send=&amp;mercado=O&amp;rut=76427516&amp;grupo=&amp;tipoentidad=RGEIN&amp;vig=VI&amp;row=AAAwy2ACTAAABz3AAK&amp;control=svs&amp;pestania=1</t>
  </si>
  <si>
    <t>077_CFLL1</t>
  </si>
  <si>
    <t>Nuevo Complejo Fronterizo Los Libertadores</t>
  </si>
  <si>
    <t>Primera concesión Nuevo Complejo Fronterizo Los Libertadores</t>
  </si>
  <si>
    <t>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
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
Otras obras complementarias: muro deflector de avalanchas, contención de taludes, cierros, drenajes, saneamiento, circulación peatonal, demolición de construcciones existentes, señalética, entre otras.
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t>
  </si>
  <si>
    <t>https://concesiones.mop.gob.cl/project/concesion-complejo-fronterizo-los-libertadores/</t>
  </si>
  <si>
    <t>76475888-9</t>
  </si>
  <si>
    <t>SOCIEDAD CONCESIONARIA NUEVO COMPLEJO FRONTERIZO LOS LIBERTADORES S.A.</t>
  </si>
  <si>
    <t>https://www.cmfchile.cl/institucional/mercados/entidad.php?auth=&amp;send=&amp;mercado=O&amp;rut=76475888&amp;grupo=&amp;tipoentidad=RGEIN&amp;vig=VI&amp;row=AAAwy2ACTAAABz5AAL&amp;control=svs&amp;pestania=1</t>
  </si>
  <si>
    <t>078_1AVO1</t>
  </si>
  <si>
    <t>Primera concesión Américo Vespucio Oriente, Tramo Av. El Salto - Príncipe de Gales</t>
  </si>
  <si>
    <t>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
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
La autopista consideró también el mejoramiento de áreas verdes como el Parque Vespucio, el desarrollo de ciclopaseos y permitirá el tránsito del transporte público.
Se estima que la obra permitirá reducir significativamente los tiempos de traslado y beneficiará a una población estimada de 750 mil habitantes.</t>
  </si>
  <si>
    <t>https://concesiones.mop.gob.cl/project/concesion-americo-vespucio-oriente-tramo-el-salto-principe-de-gales/</t>
  </si>
  <si>
    <t>76376061-8</t>
  </si>
  <si>
    <t>SOCIEDAD CONCESIONARIA VESPUCIO ORIENTE S.A.</t>
  </si>
  <si>
    <t>https://www.cmfchile.cl/institucional/mercados/entidad.php?auth=&amp;send=&amp;mercado=O&amp;rut=76376061&amp;grupo=&amp;tipoentidad=RGEIN&amp;vig=VI&amp;row=AAAwy2ACTAAABzVAAM&amp;control=svs&amp;pestania=1</t>
  </si>
  <si>
    <t>079_ATEP3</t>
  </si>
  <si>
    <t>Tercera concesión Aeropuerto El Tepual de Puerto Montt, X Región de Los Lagos</t>
  </si>
  <si>
    <t>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
La obra fue relicitada y en la actualidad está vigente la cuarta concesión.</t>
  </si>
  <si>
    <t>https://concesiones.mop.gob.cl/project/tercera-concesion-aeropuerto-el-tepual-de-puerto-montt/</t>
  </si>
  <si>
    <t>76365734-5</t>
  </si>
  <si>
    <t>SOCIEDAD CONCESIONARIA AEROPUERTO EL TEPUAL S.A.</t>
  </si>
  <si>
    <t>https://www.cmfchile.cl/institucional/mercados/entidad.php?auth=&amp;send=&amp;mercado=O&amp;rut=76365734&amp;grupo=&amp;tipoentidad=RGEIN&amp;vig=NV&amp;row=AAAwy2ACTAAABzUAAA&amp;control=svs&amp;pestania=1</t>
  </si>
  <si>
    <t>080_HSSG1</t>
  </si>
  <si>
    <t>Hospital del Salvador e Instituto Nacional de Geriatría</t>
  </si>
  <si>
    <t>Primera concesión Hospital del Salvador e Instituto Nacional de Geriatría</t>
  </si>
  <si>
    <t>Ubicado en la Región Metropolitana, el proyecto consiste en la construcción, mantenimiento y explotación de servicios no clínicos de apoyo de los hospitales del Salvador e Instituto Nacional de Geriatría.
Además, la concesión contempla la provisión, reposición y mantenimiento del equipamiento médico. La capacidad del recinto se estima en 650 camas.
Entre los beneficios del Proyecto se encuentra el aumento de la oferta de infraestructura hospitalaria del país con altos estándares técnicos y de servicio al usuario.</t>
  </si>
  <si>
    <t>https://concesiones.mop.gob.cl/project/concesion-hospital-del-salvador-geriatrico/</t>
  </si>
  <si>
    <t>Construcción</t>
  </si>
  <si>
    <t>76388163-6</t>
  </si>
  <si>
    <t>CONSORCIO DE SALUD SANTIAGO ORIENTE S.A. SOCIEDAD CONCESIONARIA</t>
  </si>
  <si>
    <t>https://www.cmfchile.cl/institucional/mercados/entidad.php?auth=&amp;send=&amp;mercado=O&amp;rut=76388163&amp;grupo=&amp;tipoentidad=RGEIN&amp;vig=VI&amp;row=AAAwy2ACTAAABzcAAF&amp;control=svs&amp;pestania=1</t>
  </si>
  <si>
    <t>En fase de construcción</t>
  </si>
  <si>
    <t>081_HSFB1</t>
  </si>
  <si>
    <t>Hospital Félix Bulnes</t>
  </si>
  <si>
    <t>Primera concesión Hospital Félix Bulnes</t>
  </si>
  <si>
    <t>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
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
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
El recinto beneficia a una población estimada en cerca de un millón de personas, provenientes de las comunas de Pudahuel, Cerro Navia, Renca, Quinta Normal y Lo Prado.</t>
  </si>
  <si>
    <t>https://concesiones.mop.gob.cl/project/concesion-hospital-felix-bulnes/</t>
  </si>
  <si>
    <t>76383236-8</t>
  </si>
  <si>
    <t>SOCIEDAD CONCESIONARIA METROPOLITANA DE SALUD S.A.</t>
  </si>
  <si>
    <t>https://www.cmfchile.cl/institucional/mercados/entidad.php?auth=&amp;send=&amp;mercado=O&amp;rut=76383236&amp;grupo=&amp;tipoentidad=RGEIN&amp;vig=VI&amp;row=AAAwy2ACTAAABz3AAE&amp;control=svs&amp;pestania=1</t>
  </si>
  <si>
    <t>082_AAMB2</t>
  </si>
  <si>
    <t>Segunda concesión Aeropuerto Internacional Arturo Merino Benítez de Santiago</t>
  </si>
  <si>
    <t>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
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
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
Con estas obras se espera atender a la creciente demanda de pasajeros y mejorar el estándar de la principal puerta de entrada al país.</t>
  </si>
  <si>
    <t>https://concesiones.mop.gob.cl/project/segunda-concesion-aeropuerto-arturo-merino-benitez/</t>
  </si>
  <si>
    <t>Otros (v).</t>
  </si>
  <si>
    <t>76466068-4</t>
  </si>
  <si>
    <t>SOCIEDAD CONCESIONARIA NUEVO PUDAHUEL S.A.</t>
  </si>
  <si>
    <t>https://www.cmfchile.cl/institucional/mercados/entidad.php?auth=&amp;send=&amp;mercado=O&amp;rut=76466068&amp;grupo=&amp;tipoentidad=RGEIN&amp;vig=VI&amp;row=AAAwy2ACTAAABz1AAE&amp;control=svs&amp;pestania=1</t>
  </si>
  <si>
    <t>083_EPUN1</t>
  </si>
  <si>
    <t>Primera concesión de la Obra Pública Embalse La Punilla</t>
  </si>
  <si>
    <t>Esta concesión comenzó en marzo de 2016 y finalizó el 9 de octubre de 2021, a través de un Convenio de Extinción de contrato por mutuo acuerdo.
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
Con algunas modificaciones, se plantea llamar a licitación el proyecto Concesión Embalse Nueva La Punilla durante el cuarto trimestre de 2021.</t>
  </si>
  <si>
    <t>Ñuble</t>
  </si>
  <si>
    <t>https://concesiones.mop.gob.cl/project/concesion-embalse-la-punilla/</t>
  </si>
  <si>
    <t>76590271-1</t>
  </si>
  <si>
    <t>SOCIEDAD CONCESIONARIA AGUAS DE PUNILLA S.A</t>
  </si>
  <si>
    <t>https://www.cmfchile.cl/institucional/mercados/entidad.php?auth=&amp;send=&amp;mercado=O&amp;rut=76590271&amp;grupo=&amp;tipoentidad=RGEIN&amp;vig=NV&amp;row=AAAwy2ACTAAABz+AAX&amp;control=svs&amp;pestania=1</t>
  </si>
  <si>
    <t>084_TEME2</t>
  </si>
  <si>
    <t>Segunda concesión Túnel El Melón</t>
  </si>
  <si>
    <t>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
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
Respecto de la necesidad de aumentar su capacidad vial, para este proceso se consideró la Construcción de un nuevo túnel –aledaño al actual-, con sus respectivos accesos. Además se añadirán galerías de conexión tanto vehicular como peatonal entre ambos túneles.
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
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
Este túnel corresponde a la primera obra concesionada del país, y su puesta en servicio se realizó el miércoles 13 de septiembre de 1995, en una ceremonia encabezada por el presidente Eduardo Frei Ruiz-Tagle.</t>
  </si>
  <si>
    <t>https://concesiones.mop.gob.cl/project/segunda-concesion-tunel-el-melon/</t>
  </si>
  <si>
    <t>76574787-2</t>
  </si>
  <si>
    <t>SOCIEDAD CONCESIONARIA TUNEL EL MELON II S.A</t>
  </si>
  <si>
    <t>https://www.cmfchile.cl/institucional/mercados/entidad.php?auth=&amp;send=&amp;mercado=O&amp;rut=76574787&amp;grupo=&amp;tipoentidad=RGEIN&amp;vig=VI&amp;row=AAAwy2ACTAAABz9AAH&amp;control=svs&amp;pestania=1</t>
  </si>
  <si>
    <t>085_CNPU2</t>
  </si>
  <si>
    <t xml:space="preserve">Segunda concesión Camino Nogales - Puchuncaví </t>
  </si>
  <si>
    <t>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
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
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t>
  </si>
  <si>
    <t>https://concesiones.mop.gob.cl/project/segunda-concesion-camino-nogales-puchuncavi/</t>
  </si>
  <si>
    <t>76449868-2</t>
  </si>
  <si>
    <t>SOCIEDAD CONCESIONARIA NUEVO CAMINO NOGALES- PUCHUNCAVI S.A.</t>
  </si>
  <si>
    <t>https://www.cmfchile.cl/institucional/mercados/entidad.php?auth=&amp;send=&amp;mercado=O&amp;rut=76449868&amp;grupo=&amp;tipoentidad=RGEIN&amp;vig=VI&amp;row=AAAwy2ACTAAABzaAAD&amp;control=svs&amp;pestania=1</t>
  </si>
  <si>
    <t xml:space="preserve">Sector 1: 86,19% 
Sector 2: 97,76% </t>
  </si>
  <si>
    <t>086_ACSU2</t>
  </si>
  <si>
    <t>Aeropuerto Carriel Sur de Concepción</t>
  </si>
  <si>
    <t>Segunda concesión Aeropuerto Carriel Sur de Concepción</t>
  </si>
  <si>
    <t>Esta obra en operaciones consideró la ampliación y mejoramiento de diferentes instalaciones del Aeropuerto Carriel Sur que se ubica a 5 km al noroeste de la ciudad de Concepción.
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
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t>
  </si>
  <si>
    <t>https://concesiones.mop.gob.cl/project/segunda-concesion-aeropuerto-carriel-sur-de-concepcion/</t>
  </si>
  <si>
    <t>76592495-2</t>
  </si>
  <si>
    <t>SOCIEDAD CONCESIONARIA AEROPUERTO CARRIEL SUR S.A.</t>
  </si>
  <si>
    <t>https://www.cmfchile.cl/institucional/mercados/entidad.php?auth=&amp;send=&amp;mercado=O&amp;rut=76592495&amp;grupo=&amp;tipoentidad=RGEIN&amp;vig=VI&amp;row=AAAwy2ACTAAABz/AAh&amp;control=svs&amp;pestania=1</t>
  </si>
  <si>
    <t>087_ADAI4</t>
  </si>
  <si>
    <t>Aeropuerto Diego Aracena de Iquique</t>
  </si>
  <si>
    <t>Cuarta concesión Aeropuerto Diego Aracena de Iquique</t>
  </si>
  <si>
    <t>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
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
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t>
  </si>
  <si>
    <t>https://concesiones.mop.gob.cl/project/cuarta-concesion-aeropuerto-diego-aracena-de-iquique/</t>
  </si>
  <si>
    <t>76822899-K</t>
  </si>
  <si>
    <t>SOCIEDAD CONCESIONARIA AEROPUERTO DIEGO ARACENA S.A.</t>
  </si>
  <si>
    <t>https://www.cmfchile.cl/institucional/mercados/entidad.php?auth=&amp;send=&amp;mercado=O&amp;rut=76822899&amp;grupo=&amp;tipoentidad=RGEIN&amp;vig=VI&amp;row=AAAwy2ACTAAAB4CAAN&amp;control=svs&amp;pestania=1</t>
  </si>
  <si>
    <t>088_2AVO1</t>
  </si>
  <si>
    <t>Primera concesión Américo Vespucio Oriente, Tramo Av. Príncipe de Gales - Los Presidentes</t>
  </si>
  <si>
    <t>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
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
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t>
  </si>
  <si>
    <t>https://concesiones.mop.gob.cl/project/concesion-americo-vespucio-oriente-principe-de-gales-los-presidentes/</t>
  </si>
  <si>
    <t>76870948-3</t>
  </si>
  <si>
    <t>SOCIEDAD CONCESIONARIA AMERICO VESPUCIO ORIENTE II S.A.</t>
  </si>
  <si>
    <t>https://www.cmfchile.cl/institucional/mercados/entidad.php?auth=&amp;send=&amp;mercado=O&amp;rut=76870948&amp;grupo=&amp;tipoentidad=RGEIN&amp;vig=VI&amp;row=AAAwy2ACTAAAAQnAAM&amp;control=svs&amp;pestania=1</t>
  </si>
  <si>
    <t>089_RNAH1</t>
  </si>
  <si>
    <t>Mejoramiento Ruta Nahuelbuta</t>
  </si>
  <si>
    <t>Primera concesión Mejoramiento Ruta Nahuelbuta</t>
  </si>
  <si>
    <t>El proyecto de la Ruta Nahuelbuta (Ruta 180), permite la conectividad directa entre las Comunas de Negrete, y Los Ángeles de la Región del Biobío, y las Comunas de Angol y Renaico de la Región de La Araucanía.
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
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t>
  </si>
  <si>
    <t>Biobío; La Araucanía</t>
  </si>
  <si>
    <t>https://concesiones.mop.gob.cl/project/concesion-mejoramiento-ruta-nahuelbuta/</t>
  </si>
  <si>
    <t>76882345-6</t>
  </si>
  <si>
    <t>SOCIEDAD CONCESIONARIA RUTA NAHUELBUTA S.A.</t>
  </si>
  <si>
    <t>https://www.cmfchile.cl/institucional/mercados/entidad.php?auth=&amp;send=&amp;mercado=O&amp;rut=76882345&amp;grupo=&amp;tipoentidad=RGEIN&amp;vig=VI&amp;row=AAAwy2ACTAAAAQiAAE&amp;control=svs&amp;pestania=1</t>
  </si>
  <si>
    <t xml:space="preserve">Sector A: 94,98%;  sector B:100% 
</t>
  </si>
  <si>
    <t>090_RLOA2</t>
  </si>
  <si>
    <t>Segunda concesión Vial Rutas del Loa</t>
  </si>
  <si>
    <t>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
El trazado respeta sectores sensibles correspondientes a antiguas instalaciones salitreras declaradas monumentos históricos.
La obra beneficiará a los habitantes de Sierra Gorda y Calama, pero también a quienes desarrollen actividades comerciales y productivas en la zona.</t>
  </si>
  <si>
    <t>https://concesiones.mop.gob.cl/project/segunda-concesion-rutas-del-loa/</t>
  </si>
  <si>
    <t>76876635-5</t>
  </si>
  <si>
    <t>RUTA DEL LOA SOCIEDAD CONCESIONARIA S.A.</t>
  </si>
  <si>
    <t>https://www.cmfchile.cl/institucional/mercados/entidad.php?auth=&amp;send=&amp;mercado=O&amp;rut=76876635&amp;grupo=&amp;tipoentidad=RGEIN&amp;vig=VI&amp;row=AAAwy2ACTAAAAQnAAN&amp;control=svs&amp;pestania=1</t>
  </si>
  <si>
    <t xml:space="preserve">Sector A: 100,0%
Sector B: 100,0% 
</t>
  </si>
  <si>
    <t>091_TELB1</t>
  </si>
  <si>
    <t>Primera concesión Teleférico Bicentenario</t>
  </si>
  <si>
    <t>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
La infraestructura constará de cabinas para 10 personas, montadas sobre cables que tendrán una frecuencia cada 12 segundos y con una estimación de 3.000 pasajeros/hora por sentido.
El proyecto se sustenta en la necesidad de complementar el transporte de personas no contaminante en un sector complejo de vialidad y tránsito peatonal.</t>
  </si>
  <si>
    <t>https://concesiones.mop.gob.cl/project/concesion-teleferico-bicentenario/</t>
  </si>
  <si>
    <t>76896837-3</t>
  </si>
  <si>
    <t>SOCIEDAD CONCESIONARIA TELEFERICO BICENTENARIO S.A.</t>
  </si>
  <si>
    <t>https://www.cmfchile.cl/institucional/mercados/entidad.php?auth=&amp;send=&amp;mercado=O&amp;rut=76896837&amp;grupo=&amp;tipoentidad=RGEIN&amp;vig=VI&amp;row=AAAwy2ACTAAAAQkAAK&amp;control=svs&amp;pestania=1</t>
  </si>
  <si>
    <t>092_ELPA1</t>
  </si>
  <si>
    <t>Primera concesión Embalse Las Palmas</t>
  </si>
  <si>
    <t>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
Esta obra mejorará las condiciones de riego en el valle de Petorca, de aproximadamente 2.859 hectáreas, pertenecientes a las comunas de Petorca, Cabildo, La Ligua y Papudo.
Además, el embalse asegurará la disponibilidad de recursos hídricos para consumo humano a comunidades rurales, al suplir los déficits de agua en épocas de sequía.</t>
  </si>
  <si>
    <t>https://concesiones.mop.gob.cl/project/concesion-embalse-las-palmas/</t>
  </si>
  <si>
    <t>76882491-6</t>
  </si>
  <si>
    <t>SOCIEDAD CONCESIONARIA CHEC EMBALSE LAS PALMAS S.A.</t>
  </si>
  <si>
    <t>https://www.cmfchile.cl/institucional/mercados/entidad.php?auth=&amp;send=&amp;mercado=O&amp;rut=76882491&amp;grupo=&amp;tipoentidad=RGEIN&amp;vig=VI&amp;row=AAAwy2ACTAAACuDAAA&amp;control=svs&amp;pestania=1</t>
  </si>
  <si>
    <t>093_67CV1</t>
  </si>
  <si>
    <t>Conexión Vial Ruta 78 hasta Ruta 68</t>
  </si>
  <si>
    <t>Primera concesión Conexión Vial Ruta 78 hasta Ruta 68</t>
  </si>
  <si>
    <t>La obra considera el desarrollo de una nueva autopista de aproximadamente 9 km de extensión que se desarrolla en el sector poniente de Santiago, entre las comunas de Pudahuel y Maipú, próximo al río Mapocho, entre la Ruta 68 y la Ruta 78.
El trazado de esta vía expresa será de dos pistas por sentido, ampliable a tres y con enlaces a desnivel en las conexiones con la Ruta 68, Callejón Los Perros y la Ruta 78.
La obra tiene importancia al dotar a la región Metropolitana de un segundo anillo vial fuera de Américo Vespucio. Además se transforma en una alternativa para conectar el sector oriente de la capital con el surponiente de Santiago.</t>
  </si>
  <si>
    <t>https://concesiones.mop.gob.cl/project/concesion-conexion-vial-ruta-78-hasta-ruta-68/</t>
  </si>
  <si>
    <t>76877147-2</t>
  </si>
  <si>
    <t>SOCIEDAD CONCESIONARIA CONEXION VIAL RUTA 78 - 68 S.A.</t>
  </si>
  <si>
    <t>https://www.cmfchile.cl/institucional/mercados/entidad.php?auth=&amp;send=&amp;mercado=O&amp;rut=76877147&amp;grupo=&amp;tipoentidad=RGEIN&amp;vig=VI&amp;row=AAAwy2ACTAAAAQnAAE&amp;control=svs&amp;pestania=1</t>
  </si>
  <si>
    <t>094_66RF2</t>
  </si>
  <si>
    <t>Segunda concesión Ruta 66, Camino de La Fruta</t>
  </si>
  <si>
    <t>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
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
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t>
  </si>
  <si>
    <t>https://concesiones.mop.gob.cl/project/segunda-concesion-ruta-66-camino-de-la-fruta/</t>
  </si>
  <si>
    <t>77102137-9</t>
  </si>
  <si>
    <t>SOCIEDAD CONCESIONARIA RUTA DE LA FRUTA S.A.</t>
  </si>
  <si>
    <t>https://www.cmfchile.cl/institucional/mercados/entidad.php?auth=&amp;send=&amp;mercado=O&amp;rut=77102137&amp;grupo=&amp;tipoentidad=RGEIN&amp;vig=VI&amp;row=AAAwy2ACTAAACuDAAC&amp;control=svs&amp;pestania=1</t>
  </si>
  <si>
    <t>subsector B3 100,0%;
subsector B4 100,0%; subsector B5 45,14%</t>
  </si>
  <si>
    <t>095_ATEP4</t>
  </si>
  <si>
    <t>Aeropuerto El Tepual de Puerto Montt</t>
  </si>
  <si>
    <t>Cuarta concesión Aeropuerto El Tepual de Puerto Montt</t>
  </si>
  <si>
    <t>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
Se aumentará la capacidad para llegar a recibir 3 millones de pasajeros, pasando de cinco a seis puentes de embarque.
Considera también facilitar el transporte de carga y pasajeros, integrando en mayor grado a la región y sus habitantes con el resto del país.</t>
  </si>
  <si>
    <t>https://concesiones.mop.gob.cl/project/cuarta-concesion-aeropuerto-el-tepual-de-puerto-montt/</t>
  </si>
  <si>
    <t>76866184-7</t>
  </si>
  <si>
    <t>SOCIEDAD CONCESIONARIA AEROPUERTO DEL SUR S.A.</t>
  </si>
  <si>
    <t>https://www.cmfchile.cl/institucional/mercados/entidad.php?auth=&amp;send=&amp;mercado=O&amp;rut=76866184&amp;grupo=&amp;tipoentidad=RGEIN&amp;vig=VI&amp;row=AAAwy2ACTAAAAQiAAU&amp;control=svs&amp;pestania=1</t>
  </si>
  <si>
    <t>097_21RG1</t>
  </si>
  <si>
    <t>Primera concesión Vial Mejoramiento Ruta G-21</t>
  </si>
  <si>
    <t>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
Adicionalmente, mejoraría el trazado y rehabilitaría pavimentos existente en aproximadamente 1 km de la Ruta G-245 en dirección hacia la Minera Los Bronces.</t>
  </si>
  <si>
    <t>https://concesiones.mop.gob.cl/project/concesion-mejoramiento-ruta-g-21/</t>
  </si>
  <si>
    <t>Nivel de tarifa; Ingresos totales de la concesión.</t>
  </si>
  <si>
    <t>77015092-2</t>
  </si>
  <si>
    <t>SOCIEDAD CONCESIONARIA RUTA G-21 S.A.</t>
  </si>
  <si>
    <t>https://www.cmfchile.cl/institucional/mercados/entidad.php?auth=&amp;send=&amp;mercado=O&amp;rut=77015092&amp;grupo=&amp;tipoentidad=RGEIN&amp;vig=VI&amp;row=AAAwy2ACTAAACuAAAT&amp;control=svs&amp;pestania=1</t>
  </si>
  <si>
    <t>098_LVLS2</t>
  </si>
  <si>
    <t>Segunda concesión Ruta 5 Tramo Los Vilos – La Serena</t>
  </si>
  <si>
    <t>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
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
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t>
  </si>
  <si>
    <t>https://concesiones.mop.gob.cl/project/segunda-concesion-ruta-5-tramo-los-vilos-la-serena-conurbacion/</t>
  </si>
  <si>
    <t>77102042-9</t>
  </si>
  <si>
    <t>SOCIEDAD CONCESIONARIA RUTA DEL ELQUI S.A.</t>
  </si>
  <si>
    <t>https://www.cmfchile.cl/institucional/mercados/entidad.php?auth=&amp;send=&amp;mercado=O&amp;rut=77102042&amp;grupo=&amp;tipoentidad=RGEIN&amp;vig=VI&amp;row=AAAwy2ACTAAACuBAAG&amp;control=svs&amp;pestania=1</t>
  </si>
  <si>
    <t>Tramo Interurbamo : 43,21%</t>
  </si>
  <si>
    <t>099_ACHA2</t>
  </si>
  <si>
    <t>Segunda concesión Aeropuerto Chacalluta de Arica</t>
  </si>
  <si>
    <t>El proyecto considera la ampliación, reparación, conservación y reposición de la infraestructura, equipamiento e instalaciones existentes del Aeropuerto Chacalluta de Arica.
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
La obra incluye también el mejoramiento de los accesos viales y el incremento de estacionamientos vehiculares.
Con estos trabajos se fortalecerá el recinto para el transporte de carga y pasajeros integrando en mayor grado a la región y con el resto del país.</t>
  </si>
  <si>
    <t>https://concesiones.mop.gob.cl/project/segunda-concesion-aeropuerto-chacalluta-de-arica/</t>
  </si>
  <si>
    <t>77011942-1</t>
  </si>
  <si>
    <t>SOCIEDAD CONCESIONARIA AEROPUERTO DE ARICA S.A.</t>
  </si>
  <si>
    <t>https://www.cmfchile.cl/institucional/mercados/entidad.php?auth=&amp;send=&amp;mercado=O&amp;rut=77011942&amp;grupo=&amp;tipoentidad=RGEIN&amp;vig=VI&amp;row=AAAwy2ACTAAACuBAAN&amp;control=svs&amp;pestania=1</t>
  </si>
  <si>
    <t>100_RAUS1</t>
  </si>
  <si>
    <t>Primera concesión Red Aeroportuaria Austral (3° concesión A. P. Carlos Ibañez del Campo y 1° concesión A. de Balmaceda)</t>
  </si>
  <si>
    <t>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
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
En el caso del Aeropuerto de Punta Arenas considera ampliar desde 6.471 m2 a 16.014 m2. Lo anterior representa un 138% de aumento de capacidad, lo que permitirá atender a 2,1 millones de pasajeros por año.
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
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t>
  </si>
  <si>
    <t>Aysén del General Carlos Ibáñez del Campo; Magallanes y de la Antártica Chilena</t>
  </si>
  <si>
    <t>https://concesiones.mop.gob.cl/project/concesion-red-aeroportuaria-austral/</t>
  </si>
  <si>
    <t>77342125-0</t>
  </si>
  <si>
    <t>RED AEROPORTUARIA AUSTRAL SOCIEDAD CONCESIONARIA SOCIEDAD ANONIMA</t>
  </si>
  <si>
    <t>https://www.cmfchile.cl/institucional/mercados/entidad.php?auth=&amp;send=&amp;mercado=O&amp;rut=77342125&amp;grupo=&amp;tipoentidad=RGEIN&amp;vig=VI&amp;row=AAAwy2ACTAAAGDzAAl&amp;control=svs&amp;pestania=1</t>
  </si>
  <si>
    <t>Balmaceda: 68,72%; C.Ibáñez del Campo:0,0%</t>
  </si>
  <si>
    <t>101_TACH2</t>
  </si>
  <si>
    <t>Segunda concesión Ruta 5 Tramo Talca Chillán</t>
  </si>
  <si>
    <t>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
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
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t>
  </si>
  <si>
    <t>https://concesiones.mop.gob.cl/project/segunda-concesion-ruta-5-tramo-talca-chillan/</t>
  </si>
  <si>
    <t>77337752-9</t>
  </si>
  <si>
    <t>SOCIEDAD CONCESIONARIA RUTA 5 TALCA-CHILLAN S.A.</t>
  </si>
  <si>
    <t>https://www.cmfchile.cl/institucional/mercados/entidad.php?auth=&amp;send=&amp;mercado=O&amp;rut=77337752&amp;grupo=&amp;tipoentidad=RGEIN&amp;vig=VI&amp;row=AAAwy2ACTAAACuCAAi&amp;control=svs&amp;pestania=1</t>
  </si>
  <si>
    <t>sin inicio</t>
  </si>
  <si>
    <t>102_ALFS3</t>
  </si>
  <si>
    <t>Tercera concesión Tercera Concesión Aeropuerto La Florida de la Serena</t>
  </si>
  <si>
    <t>La obra incluye la ampliación, mantención y reposición de la infraestructura, equipamiento e instalaciones existentes en el área de concesión dentro del aeropuerto.
Considera aumentar la capacidad del Edificio Terminal de Pasajeros que en la segunda concesión tiene un volumen de 4.360 m² para llegar a 13.550 m² aproximadamente.
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
Entre los beneficios previstos para esta obra se encuentra fortalecer la integración económica de la región y ampliar la oferta área con un mejor estándar.</t>
  </si>
  <si>
    <t>https://concesiones.mop.gob.cl/project/tercera-concesion-aeropuerto-la-florida-de-la-serena/</t>
  </si>
  <si>
    <t xml:space="preserve">77442927 - 1 </t>
  </si>
  <si>
    <t>AEROPUERTO LA FLORIDA SOCIEDAD CONCESIONARIA S.A.</t>
  </si>
  <si>
    <t>https://www.cmfchile.cl/institucional/mercados/entidad.php?auth=&amp;send=&amp;mercado=O&amp;rut=77442927&amp;grupo=&amp;tipoentidad=RGEIN&amp;vig=VI&amp;row=AAAwy2ACTAAACuHAAn&amp;control=svs&amp;pestania=1</t>
  </si>
  <si>
    <t>103_HRMA1</t>
  </si>
  <si>
    <t>Primera concesión Red Maule:  Hospital Cauquenes, Hospital de Constitución y Hospital de Parral</t>
  </si>
  <si>
    <t>Corresponde a la construcción y posterior operación de tres recintos médicos de mediana complejidad que estarán ubicados en las comunas de Cauquenes, Constitución y Parral y los que totalizan una superficie estimada de 157 mil m2.
La concesión aportará al sistema de salud 368 camas, de las cuales 136 camas corresponden al Hospital de Cauquenes, 11 camas al Hospital de Constitución y 121 camas al Hospital de Parral. Con ello se espera beneficiar a una población estimada de 59 mil personas.
Considera también la mantención de la infraestructura a desarrollar y la adquisición, mantención y reposición de equipamiento médico y mobiliario clínico, y mobiliario no clínico. El proyecto no considera servicios como alimentación, ambulancia y aseo, entre otros.</t>
  </si>
  <si>
    <t>Maule</t>
  </si>
  <si>
    <t>https://concesiones.mop.gob.cl/project/concesion-red-maule/</t>
  </si>
  <si>
    <t xml:space="preserve">  77363431-9</t>
  </si>
  <si>
    <t xml:space="preserve"> SOCIEDAD CONCESIONARIA RED MAULE S.A. </t>
  </si>
  <si>
    <t>https://www.cmfchile.cl/institucional/mercados/entidad.php?auth=&amp;send=&amp;mercado=O&amp;rut=77363431&amp;grupo=&amp;tipoentidad=RGEIN&amp;vig=VI&amp;row=AAAwy2ACTAAACuEAAO&amp;control=svs&amp;pestania=1</t>
  </si>
  <si>
    <t>Hospital de Cauquenes.92,18%
Hospital de Constitución 83,85%
Hospital de Parral: 90,84%</t>
  </si>
  <si>
    <t>104_HBUP1</t>
  </si>
  <si>
    <t>Primera concesión Hospital de Buin Paine</t>
  </si>
  <si>
    <t>Corresponde a la construcción y posterior operación de un recinto médico de mediana y alta complejidad para las ciudades de Buin-Paine.
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
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
El proyecto no considera servicios como alimentación, ambulancia y aseo, entre otros.</t>
  </si>
  <si>
    <t>https://concesiones.mop.gob.cl/project/hospital-de-buin-paine/</t>
  </si>
  <si>
    <t>77379404-9</t>
  </si>
  <si>
    <t>SOCIEDAD CONCESIONARIA HOSPITAL BUIN PAINE S.A</t>
  </si>
  <si>
    <t>https://www.cmfchile.cl/institucional/mercados/entidad.php?auth=&amp;send=&amp;mercado=O&amp;rut=77379404&amp;grupo=&amp;tipoentidad=RGEIN&amp;vig=VI&amp;row=AAAwy2ACTAAAGDyAA2&amp;control=svs&amp;pestania=1</t>
  </si>
  <si>
    <t>105_HRBB1</t>
  </si>
  <si>
    <t>Primera concesión Red Biobío: Hospital Santa Bárbara, Hospital de Nacimiento, Hospital de Coronel y Hospital de Lota</t>
  </si>
  <si>
    <t>La concesión considera la mantención de la infraestructura a desarrollar y la adquisición, mantención y reposición de equipamiento médico y mobiliario clínico, y mobiliario no clínico, excluyendo los servicios de alimentación, ambulancia y aseo, entre otros.
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
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
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
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t>
  </si>
  <si>
    <t>https://concesiones.mop.gob.cl/project/concesion-red-biobio/</t>
  </si>
  <si>
    <t xml:space="preserve">  77521154-7</t>
  </si>
  <si>
    <t xml:space="preserve">  SOCIEDAD CONCESIONARIA HOSPITALES RED BIOBÍO S.A. </t>
  </si>
  <si>
    <t>https://www.cmfchile.cl/institucional/mercados/entidad.php?auth=&amp;send=&amp;mercado=O&amp;rut=77521154&amp;grupo=&amp;tipoentidad=RGEIN&amp;vig=VI&amp;row=AAAwy2ACTAAACuCAAo&amp;control=svs&amp;pestania=1</t>
  </si>
  <si>
    <t>Santa Barbará: 14,3%; Nacimiento: 14,1%; Coronel:4,6%; Lota: 3,1%</t>
  </si>
  <si>
    <t>106_HRRL1</t>
  </si>
  <si>
    <t>Primera concesión de hospitales Red Los Ríos-Los Lagos</t>
  </si>
  <si>
    <t>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
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
El proyecto no considera servicios como alimentación, ambulancia y aseo, entre otros.</t>
  </si>
  <si>
    <t>https://concesiones.mop.gob.cl/project/concesion-red-los-rios-los-lagos/</t>
  </si>
  <si>
    <t>77579938-2</t>
  </si>
  <si>
    <t>SOCIEDAD CONCESIONARIA REGIÓN SUR S.A.</t>
  </si>
  <si>
    <t>https://www.cmfchile.cl/institucional/mercados/entidad.php?auth=&amp;send=&amp;mercado=O&amp;rut=77579938&amp;grupo=&amp;tipoentidad=RGEIN&amp;vig=VI&amp;row=AAAwy2ACTAAAGD3AAG&amp;control=svs&amp;pestania=1</t>
  </si>
  <si>
    <t>Hospital Los Lagos 35,79%;
Hospital La Unión 0%;
Hospital Río Bueno: 31,36%; 
Hospital de Puerto Varas: 25,56%</t>
  </si>
  <si>
    <t>107_SASA2</t>
  </si>
  <si>
    <t>Segunda concesión Autopista Santiago – San Antonio, Ruta 78</t>
  </si>
  <si>
    <t>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
La ruta, que tiene una extensión de 132,8 km, constituye un eje fundamental para el transporte de carga entre Santiago y el Puerto de San Antonio, como también para la conexión de áreas urbanas desarrolladas en las cercanías de su trazado.
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
El proyecto considera también el reemplazo del Puente Manuel Rodriguez, nuevos enlaces; atraviesos; retornos; nuevas calles de servicio y el mejoramiento de las existentes, entre otras obras.
Se prevé que esta obra beneficiará a una población cercana a 1.760.000 de personas al año.</t>
  </si>
  <si>
    <t>https://concesiones.mop.gob.cl/project/segunda-concesion-autopista-santiago-san-antonio-ruta-78/</t>
  </si>
  <si>
    <t>77546207-8</t>
  </si>
  <si>
    <t>SOCIEDAD CONCESIONARIA AUTOPISTA SAN ANTONIO-SANTIAGO S.A.</t>
  </si>
  <si>
    <t>https://www.cmfchile.cl/institucional/mercados/entidad.php?auth=&amp;send=&amp;mercado=O&amp;rut=77546207&amp;grupo=&amp;tipoentidad=RGEIN&amp;vig=VI&amp;row=AAAwy2ACTAAACuFAAl&amp;control=svs&amp;pestania=1</t>
  </si>
  <si>
    <t>108_HRQS1</t>
  </si>
  <si>
    <t>Primera concesión  de Hospital de La Serena</t>
  </si>
  <si>
    <t>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
A ello se sumarán 15 pabellones, 85 boxes de consultas médicas, dentales y no médicas, 6 salas de atención integral del parto y un servicio de urgencia.
La obra beneficiará a cerca de 723 mil personas que residen en las comunas de La Serena, La Higuera, Vicuña y Paihuano.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</si>
  <si>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https://concesiones.mop.gob.cl/project/concesion-hospital-de-la-serena/</t>
  </si>
  <si>
    <t>77558338-K</t>
  </si>
  <si>
    <t>SOCIEDAD CONCESIONARIA HOSPITALES LA SERENA S.A.</t>
  </si>
  <si>
    <t>https://www.cmfchile.cl/institucional/mercados/entidad.php?mercado=O&amp;rut=77558338&amp;grupo=&amp;tipoentidad=RGEIN&amp;row=AAAwy2ACTAAACuCAA0&amp;vig=VI&amp;control=svs&amp;pestania=2</t>
  </si>
  <si>
    <t>109_AVAM3</t>
  </si>
  <si>
    <t>Tercera Concesión Acceso Vial Aeropuerto Arturo Merino Benítez</t>
  </si>
  <si>
    <t xml:space="preserve">El incremento en los flujos de pasajeros y carga aérea han generado una demanda derivada por el acceso al terminal, la que esta tercera licitación busca satisfacer incrementando sus puntos de acceso.
El proyecto considera la conservación, operación y explotación de todas las obras preexistentes, desde la extinción de la actual concesión de Acceso Vial Aeropuerto Arturo Merino. Ello representa una longitud de 5,6 km.
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
Los ingresos de la concesión provienen del cobro de tarifa a los usuarios. El proyecto no considera ingresos mínimos garantizados ni subsidios a la construcción o a la explotación.
</t>
  </si>
  <si>
    <t>Metropolitana</t>
  </si>
  <si>
    <t>https://concesiones.mop.gob.cl/project/tercera-concesion-acceso-vial-amb/</t>
  </si>
  <si>
    <t>76706496-9</t>
  </si>
  <si>
    <t>SOCIEDAD CONCESIONARIA ACCESO VIAL AEROPUERTO ARTURO MERINO BENITEZ S.A.</t>
  </si>
  <si>
    <t>https://www.cmfchile.cl/institucional/mercados/entidad.php?auth=&amp;send=&amp;mercado=O&amp;rut=76706496&amp;grupo=&amp;tipoentidad=RGEIN&amp;vig=VI&amp;row=AAAwy2ACTAAAGD1AAW&amp;control=svs&amp;pestania=1</t>
  </si>
  <si>
    <t>110_HRQQ1</t>
  </si>
  <si>
    <t>Primera concesión Hospital Coquimbo</t>
  </si>
  <si>
    <t>Corresponde a la construcción de un recinto médico en la ciudad de Coquimbo con capacidad para 605 camas.Este recinto hospitalario será un referente regional en las especialidades de traumatología, neurocirugía, cuidados críticos pediátricos y procuramiento de órganos.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</si>
  <si>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https://concesiones.mop.gob.cl/project/concesion-hospital-de-coquimbo/</t>
  </si>
  <si>
    <t>77645861 - 9</t>
  </si>
  <si>
    <t>SOCIEDAD CONCESIONARIA HOSPITAL COQUIMBO S.A.</t>
  </si>
  <si>
    <t>https://www.cmfchile.cl/institucional/mercados/entidad.php?auth=&amp;send=&amp;mercado=O&amp;rut=77645861&amp;grupo=&amp;tipoentidad=RGEIN&amp;vig=VI&amp;row=AAAwy2ACTAAACuGAAx&amp;control=svs&amp;pestania=1</t>
  </si>
  <si>
    <t>112_ALOA3</t>
  </si>
  <si>
    <t>Tercera concesión aeropuerto El Loa de Calama</t>
  </si>
  <si>
    <t xml:space="preserve">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
</t>
  </si>
  <si>
    <t>https://concesiones.mop.gob.cl/project/tercera-concesion-aeropuerto-el-loa-de-calama/</t>
  </si>
  <si>
    <t>76703718-K</t>
  </si>
  <si>
    <t>SOCIEDAD CONCESIONARIA AEROPUERTO EL LOA S.A.</t>
  </si>
  <si>
    <t>https://www.cmfchile.cl/institucional/mercados/entidad.php?auth=&amp;send=&amp;mercado=O&amp;rut=76703718&amp;grupo=&amp;tipoentidad=RGEIN&amp;vig=VI&amp;row=AAAwy2ACTAAAGD0AAc&amp;control=svs&amp;pestania=1</t>
  </si>
  <si>
    <t>Sin inicio de fase de construcción</t>
  </si>
  <si>
    <t>113_INAC1</t>
  </si>
  <si>
    <t>Primera concesión Instituto Nacional del Cáncer</t>
  </si>
  <si>
    <t xml:space="preserve">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t>
  </si>
  <si>
    <t>https://concesiones.mop.gob.cl/project/concesion-instituto-nacional-del-cancer/</t>
  </si>
  <si>
    <t>77751547-0</t>
  </si>
  <si>
    <t>SOCIEDAD CONCESIONARIA INSTITUTO NACIONAL DEL CANCER, S.A.</t>
  </si>
  <si>
    <t>https://www.cmfchile.cl/institucional/mercados/entidad.php?auth=&amp;send=&amp;mercado=O&amp;rut=77751547&amp;grupo=&amp;tipoentidad=RGEIN&amp;vig=VI&amp;row=AAAwy2ACTAAAGDxAAY&amp;control=svs&amp;pestania=1</t>
  </si>
  <si>
    <t>114_HROG1</t>
  </si>
  <si>
    <t>Primera concesión de Red O´Higgins: Hospital de Rengo y Hospital de Pichilemu</t>
  </si>
  <si>
    <t xml:space="preserve">El proyecto contempla el Hospital de Rengo, de mediana y alta complejidad; y, el Hospital de Pichilemu, de baja complejidad.
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
El hospital de Pichilemu dará servicios a los 70 mil habitantes de Navidad, Litueche, La Estrella, Marchigüe, Pichidegua y Paredones. Tendrá 27 camas, 33 boxes de consulta y 5 boxes para unidades de emergencia. 
Junto con la construcción, el proyecto considera la provisión de servicios conocidos como hard facilities management: mantención de infraestructura, adquisición, mantención y reposición de equipamiento médico y mobiliario clínico y no clínico.
</t>
  </si>
  <si>
    <t>https://concesiones.mop.gob.cl/project/concesion-red-ohiggins/</t>
  </si>
  <si>
    <t>77875388-K</t>
  </si>
  <si>
    <t>Sociedad Concesionaria Red O´Higgins S.A.</t>
  </si>
  <si>
    <t>https://www.cmfchile.cl/institucional/mercados/entidad.php?auth=&amp;send=&amp;mercado=O&amp;rut=77875388&amp;grupo=&amp;tipoentidad=RGEIN&amp;vig=VI&amp;row=AAAwy2ACTAAAGD0AAw&amp;control=svs&amp;pestania=1</t>
  </si>
  <si>
    <t>115_CHCO2</t>
  </si>
  <si>
    <t>Segunda concesión Ruta 5 tramo Chillán -Collipulli</t>
  </si>
  <si>
    <t xml:space="preserve">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 Nuevo viaducto del Malleco: estructura formada por dos puentes, cada uno de 600 metros de longitud.
• Dos pasos superiores- rutas R 35 y R 49-, un paso inferior de ramal de acceso a Collipulli sur, y tres pasos prediales
• Enlace Collipulli Norte
Este contrato obliga a la construcción de 27 pasarelas nuevas con sus respectivos paraderos (dos) y circuitos peatonales, y al reemplazo de otras 17. En materia de puentes proyecta reemplazar 14 y rehabilitar 48. 
</t>
  </si>
  <si>
    <t xml:space="preserve">Biobío; Ñuble, Araucanía </t>
  </si>
  <si>
    <t>https://concesiones.mop.gob.cl/project/segunda-concesion-ruta-5-tramo-chillan-collipulli/</t>
  </si>
  <si>
    <t>77722758-0</t>
  </si>
  <si>
    <t>SOCIEDAD CONCESIONARIA RUTA 5 CHILLAN - COLLIPULLI S.A.</t>
  </si>
  <si>
    <t>https://www.cmfchile.cl/institucional/mercados/entidad.php?auth=&amp;send=&amp;mercado=O&amp;rut=77722758&amp;grupo=&amp;tipoentidad=RGEIN&amp;vig=VI&amp;row=AAAwy2ACTAAAGDzAAT&amp;control=svs&amp;pestania=1</t>
  </si>
  <si>
    <t>117_HINN1</t>
  </si>
  <si>
    <t>Instituto Nacional de Neurocirugía</t>
  </si>
  <si>
    <t>Primera concesión Instituto Nacional de Neurocirugía</t>
  </si>
  <si>
    <t xml:space="preserve">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
 El recinto tiene una superficie estimada de 65 mil metros cuadrados- y permitirá entregar atenciones de neurocirugía de mediana y alta complejidad para pacientes adultos y niños; dando respuesta a la demanda de la región Metropolitana y de referencia nacional.
</t>
  </si>
  <si>
    <t>https://concesiones.mop.gob.cl/project/concesion-instituto-nacional-de-neurocirugia/</t>
  </si>
  <si>
    <t>77777167-1</t>
  </si>
  <si>
    <t>SOCIEDAD CONCESIONARIA INSTITUTO NACIONAL DE NEUROCIRUGIA S.A.</t>
  </si>
  <si>
    <t>https://www.cmfchile.cl/institucional/mercados/entidad.php?auth=&amp;send=&amp;mercado=O&amp;rut=77777167&amp;grupo=&amp;tipoentidad=RGEIN&amp;vig=VI&amp;row=AAAwy2ACTAAAGDzAAe&amp;control=svs&amp;pestania=1</t>
  </si>
  <si>
    <t>118_ISVV2</t>
  </si>
  <si>
    <t>Segunda Concesión Interconexión Vial Santiago-Valparaíso-Viña del Mar, Ruta 68</t>
  </si>
  <si>
    <t>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
•	Terceras pistas entre salida de Casablanca-Túnel Zapata, Peñuelas-Enlace a Viña del Mar, Enlace a Viña del Mar-Rodelillo y tramo urbano de la Ruta 68 llegando a Valparaíso. 
•	Atraviesos para conexión de calles locales, tramos de calles locales asfaltadas. 
•	Nuevos enlaces, acceso a urbanizaciones. 
•	Ampliación en nudo Vespucio. 
•	Nuevos Túneles en Lo Prado y Zapata.
•	Mejoramiento bajada Agua Santa</t>
  </si>
  <si>
    <t>https://concesiones.mop.gob.cl/project/segunda-concesion-interconexion-vial-santiago-valparaiso-vina-del-mar-ruta-68/</t>
  </si>
  <si>
    <t>78089131-9</t>
  </si>
  <si>
    <t>Sociedad concesionaria Ruta  68 a La Costa S.A.</t>
  </si>
  <si>
    <t>https://www.cmfchile.cl/institucional/mercados/entidad.php?auth=&amp;send=&amp;mercado=O&amp;rut=78056118&amp;grupo=&amp;tipoentidad=RGEIN&amp;vig=VI&amp;row=AAAwy2ACTAAACisAAY&amp;control=svs&amp;pestania=1</t>
  </si>
  <si>
    <t>119_ORSS1</t>
  </si>
  <si>
    <t>Concesión Orbital Sur</t>
  </si>
  <si>
    <t>Primera concesión de Orbital Sur</t>
  </si>
  <si>
    <t>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
Permitirá una velocidad de 120 km/h y contará con dos pistas por calzada de cada sentido.</t>
  </si>
  <si>
    <t>https://concesiones.mop.gob.cl/project/concesion-orbital-sur-santiago/</t>
  </si>
  <si>
    <t>77930767-0</t>
  </si>
  <si>
    <t>Ruta Orbital Sur Sociedad Concesionaria S.A.</t>
  </si>
  <si>
    <t>https://www.cmfchile.cl/institucional/mercados/entidad.php?mercado=O&amp;rut=77930767&amp;grupo=&amp;tipoentidad=RGEIN&amp;row=AAAwy2ACTAAAGD2AA5&amp;vig=VI&amp;control=svs&amp;pestania=1</t>
  </si>
  <si>
    <t>120_SALV2</t>
  </si>
  <si>
    <t>Segunda Concesión Ruta 5 Santiago-Los Vilos</t>
  </si>
  <si>
    <t>El proyecto considera ajustes de trazados para llevar la ruta a una velocidad de proyecto de 120 km/hr con restricciones en algunos tramos de 100 km/hr y con restricción de 80 km/hr en cuesta Las Chilcas.
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
El proyecto considera la mantención y generación de áreas de ventas, donde una corresponde floristas de Ocoa,y agrega la construcción y mantención de otras 6 áreas de ventas.</t>
  </si>
  <si>
    <t>78041651-3</t>
  </si>
  <si>
    <t>Sociedad concesionaria Nueva Aconcagua</t>
  </si>
  <si>
    <t>https://www.cmfchile.cl/institucional/mercados/entidad.php?auth=&amp;send=&amp;mercado=O&amp;rut=78041651&amp;grupo=&amp;tipoentidad=RGEIN&amp;vig=VI&amp;row=AAAwy2ACTAAACiuAAV&amp;control=svs&amp;pestania=1</t>
  </si>
  <si>
    <t>121_ANCO2</t>
  </si>
  <si>
    <t>Segunda Concesión Ruta del Itata (Ex Acceso Norte a Concepción)</t>
  </si>
  <si>
    <t xml:space="preserve">La nueva concesión de la Ruta del Itata considera una extensión total de 96,1 km, que incluyen 75,1 km de la Ruta 152 y 14,1 km de la Ruta 158, más un nuevo trazado de 6,9 km, que conectará de forma directa la Ruta 152 con la Ruta 146. 
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
En relación a los servicios para peatones y lugareños aledaños al proyecto, este considera 12 nuevas pasarelas, 22 nuevos paraderos con iluminación y circuito peatonal. 
Estas inversiones ampliarán la seguridad para sus distintos tipos de usuarios, la cobertura de la autorización para el tránsito a una velocidad de 120 km/h.
Otros servicios que agrega el proyecto son una nueva área de servicios generales, 2 nuevas áreas de venta de productos típicos y una nueva área de atención de emergencias.  En relación con el medio de cobro, se implementará el telepeaje con pórtico de free flow. </t>
  </si>
  <si>
    <t>https://concesiones.mop.gob.cl/project/segunda-concesion-ruta-del-itata-acceso-norte-a-concepcion/</t>
  </si>
  <si>
    <t>78056118-1</t>
  </si>
  <si>
    <t>Sociedad Concesionarias Bosques del Itata</t>
  </si>
  <si>
    <t>https://www.cmfchile.cl/institucional/mercados/entidad.php?auth=&amp;send=&amp;mercado=O&amp;rut=78089131&amp;grupo=&amp;tipoentidad=RGEIN&amp;vig=VI&amp;row=AAAwy2ACTAAAQjEAAA&amp;control=svs&amp;pestania=1</t>
  </si>
  <si>
    <t>125_ARNO1</t>
  </si>
  <si>
    <t>Red Aeroportuaria Norte</t>
  </si>
  <si>
    <t>Primera concesión Red Aeroportuaria Norte (2° concesión A. Regional de Atacama y 3° concesión A. Andrés Sabella)</t>
  </si>
  <si>
    <t>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t>
  </si>
  <si>
    <t>Antofagasta;  Atacama</t>
  </si>
  <si>
    <t>https://concesiones.mop.gob.cl/project/red-aeroportuaria-norte-andres-sabella-3a-y-desierto-de-atacama-2-a/</t>
  </si>
  <si>
    <t>77996929-0</t>
  </si>
  <si>
    <t>Sociedad Concesionaria Aeropuerto del Norte S.A.</t>
  </si>
  <si>
    <t>https://www.cmfchile.cl/institucional/mercados/entidad.php?auth=&amp;send=&amp;mercado=O&amp;rut=77996929&amp;grupo=&amp;tipoentidad=RGEIN&amp;vig=VI&amp;row=AAAwy2ACTAAACiqAAG&amp;control=svs&amp;pestania=1</t>
  </si>
  <si>
    <t>126_PP4T1</t>
  </si>
  <si>
    <t>Nuevo establecimiento penitenciario de Talca</t>
  </si>
  <si>
    <t>Primera concesión de nuevo establecimiento penitenciario de Talca</t>
  </si>
  <si>
    <t>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t>
  </si>
  <si>
    <t>https://concesiones.mop.gob.cl/project/concesion-nuevo-establecimiento-penitenciario-de-talca/</t>
  </si>
  <si>
    <t>77985392-6</t>
  </si>
  <si>
    <t>Sociedad concesionaria penitenciario de Talca S.A.</t>
  </si>
  <si>
    <t>https://www.cmfchile.cl/institucional/mercados/entidad.php?auth=&amp;send=&amp;mercado=O&amp;rut=77985392&amp;grupo=&amp;tipoentidad=RGEIN&amp;vig=VI&amp;row=AAAwy2ACTAAACipAAI&amp;control=svs&amp;pestania=1</t>
  </si>
  <si>
    <t>122_NARA2</t>
  </si>
  <si>
    <t>Aeropuerto de la Región de La Araucanía</t>
  </si>
  <si>
    <t>Segunda Concesión Aeropuerto Región de la Araucanía</t>
  </si>
  <si>
    <t xml:space="preserve">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
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t>
  </si>
  <si>
    <t>Araucanía</t>
  </si>
  <si>
    <t>https://concesiones.mop.gob.cl/project/segunda-concesion-aeropuerto-de-la-region-de-la-araucania/</t>
  </si>
  <si>
    <t>Subsidio fijo a la construción ó Ingresos totales por pasajero embarcado</t>
  </si>
  <si>
    <t>78.159.936-0</t>
  </si>
  <si>
    <t>Sociedad concesionaria nuevo aeropuerto Araucanía SA</t>
  </si>
  <si>
    <t>https://www.cmfchile.cl/institucional/mercados/entidad.php?mercado=O&amp;rut=78159936&amp;tipoentidad=RGEIN&amp;vig=VI&amp;control=svs&amp;pestania=1</t>
  </si>
  <si>
    <t>124_TERB2</t>
  </si>
  <si>
    <t>Segunda Concesión Ruta 5, tramo Temuco -Río Bueno</t>
  </si>
  <si>
    <t xml:space="preserve">Se ubica en las regiones de La Araucanía y Los Ríos, provincias de Cautín, Valdivia y Ranco. 
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t>
  </si>
  <si>
    <t>Araucanía, Los Ríos</t>
  </si>
  <si>
    <t>https://concesiones.mop.gob.cl/project/segunda-concesion-ruta-5-tramo-temuco-rio-bueno/</t>
  </si>
  <si>
    <t>Subsidio fijo a la construción ó Ingresos totales de la concesión</t>
  </si>
  <si>
    <t>78.214.872-9</t>
  </si>
  <si>
    <t>Sociedad concesionaria Temuco -Rio Bueno SA</t>
  </si>
  <si>
    <t>https://www.cmfchile.cl/institucional/mercados/entidad.php?mercado=O&amp;rut=78214872&amp;grupo=&amp;tipoentidad=RGEIN&amp;row=&amp;vig=VI&amp;control=svs&amp;pestania=1</t>
  </si>
  <si>
    <t>130_EPCO1</t>
  </si>
  <si>
    <t>Concesión nuevo establecimiento penitenciario de Copiapó</t>
  </si>
  <si>
    <t>La obra corresponde a la construcción, operación y mantención de un nuevo establecimiento penitenciario que se emplazará próximo a la Ruta 5 Norte, aproximadamente a 40 kilómetros al norponiente de la ciudad de Copiapó, en la región de Atacama.
El proyecto tendrá superficie total aproximada de 76.600 m2 con una capacidad estimada de 2.160 personas privadas de libertad, en 15 módulos de reclusión.</t>
  </si>
  <si>
    <t>https://concesiones.mop.gob.cl/project/concesion-nuevo-establecimiento-penitenciario-de-copiapo/</t>
  </si>
  <si>
    <t>Subsidio fijo a la operación ó Ingresos totales de la concesión</t>
  </si>
  <si>
    <t>En trámite</t>
  </si>
  <si>
    <t>Sociedad Concesionaria Penitenciario de Copiapó S.A.</t>
  </si>
  <si>
    <t>Sin informar</t>
  </si>
  <si>
    <t>Etiquetas de fila</t>
  </si>
  <si>
    <t>Total general</t>
  </si>
  <si>
    <t>Cuenta de Código proyecto</t>
  </si>
  <si>
    <t>Codigo oferente</t>
  </si>
  <si>
    <t>Nombre oferente</t>
  </si>
  <si>
    <t>Adjudicado</t>
  </si>
  <si>
    <t>001_TEME1+1_6_1</t>
  </si>
  <si>
    <t>Consorcio ATEC</t>
  </si>
  <si>
    <t>No</t>
  </si>
  <si>
    <t>001_TEME1+1_6_2</t>
  </si>
  <si>
    <t>Consorcio Belfi y Otros</t>
  </si>
  <si>
    <t>001_TEME1+1_6_3</t>
  </si>
  <si>
    <t>Consorcio Chilectra V Región y Otros</t>
  </si>
  <si>
    <t>001_TEME1+1_6_4</t>
  </si>
  <si>
    <t>Consorcio Dragados y Otros</t>
  </si>
  <si>
    <t>001_TEME1+1_6_5</t>
  </si>
  <si>
    <t>Consorcio Endesa y otros</t>
  </si>
  <si>
    <t>SI</t>
  </si>
  <si>
    <t>001_TEME1+1_6_6</t>
  </si>
  <si>
    <t>Consorcio Constructora Fe Grande y Otros</t>
  </si>
  <si>
    <t>002_CDMA1+2_1_1</t>
  </si>
  <si>
    <t>003_ADAI1+3_3_1</t>
  </si>
  <si>
    <t>Consorcio Aeropuerto Diego Aracena SA</t>
  </si>
  <si>
    <t>003_ADAI1+3_3_2</t>
  </si>
  <si>
    <t>Consorcio Eliqsa-BDS SA</t>
  </si>
  <si>
    <t>003_ADAI1+3_3_3</t>
  </si>
  <si>
    <t>Concesionaria Chucumata SA</t>
  </si>
  <si>
    <t>Si</t>
  </si>
  <si>
    <t>004_ATEP1+4_2_1</t>
  </si>
  <si>
    <t>Gestión e Ingeniería IDC SA, Socimer Chile SA, Senexco Ltda., Cosalco Ltda. e Inversiones Inmobiliarias Viento Claro SA</t>
  </si>
  <si>
    <t>004_ATEP1+4_2_2</t>
  </si>
  <si>
    <t>Concesionaria Tepual SA</t>
  </si>
  <si>
    <t>005_ANCO1+5_4_1</t>
  </si>
  <si>
    <t>Consorcio Ecovías y otros</t>
  </si>
  <si>
    <t>005_ANCO1+5_4_2</t>
  </si>
  <si>
    <t>Consorcio Cominco y otros</t>
  </si>
  <si>
    <t>005_ANCO1+5_4_3</t>
  </si>
  <si>
    <t>Consorcio Concepción SA</t>
  </si>
  <si>
    <t>005_ANCO1+5_4_4</t>
  </si>
  <si>
    <t>Consorcio Tribasa - Inela</t>
  </si>
  <si>
    <t>006_SASA1+6_6_1</t>
  </si>
  <si>
    <t>Consorcio Infraestructura 2000 SA y otros</t>
  </si>
  <si>
    <t>006_SASA1+6_6_2</t>
  </si>
  <si>
    <t>006_SASA1+6_6_3</t>
  </si>
  <si>
    <t>Consorcio Cassa</t>
  </si>
  <si>
    <t>006_SASA1+6_6_4</t>
  </si>
  <si>
    <t>Consorcio Concesionaria Autopista San Antonio SA</t>
  </si>
  <si>
    <t>006_SASA1+6_6_5</t>
  </si>
  <si>
    <t>Consorcio Tribasa Chile SA y otros</t>
  </si>
  <si>
    <t>006_SASA1+6_6_6</t>
  </si>
  <si>
    <t>007_CNPU1+7_4_1</t>
  </si>
  <si>
    <t>Consorcio Masscorp y otros</t>
  </si>
  <si>
    <t>007_CNPU1+7_4_2</t>
  </si>
  <si>
    <t>Consorcio Cruz Blanca-Delta</t>
  </si>
  <si>
    <t>007_CNPU1+7_4_3</t>
  </si>
  <si>
    <t>Consorcio Gestión e Ingeniería IDC SA y otros</t>
  </si>
  <si>
    <t>007_CNPU1+7_4_4</t>
  </si>
  <si>
    <t>Concesionaria Ruta Ventanas SA</t>
  </si>
  <si>
    <t>008_AVAM1+8_1_1</t>
  </si>
  <si>
    <t>Aerovías S.A.</t>
  </si>
  <si>
    <t>009_TACH1+9_4_1</t>
  </si>
  <si>
    <t xml:space="preserve">Consorcio Trinela </t>
  </si>
  <si>
    <t>009_TACH1+9_4_2</t>
  </si>
  <si>
    <t>Consorcio Ica-Tecsa</t>
  </si>
  <si>
    <t>009_TACH1+9_4_3</t>
  </si>
  <si>
    <t>Consorcio Ecovías</t>
  </si>
  <si>
    <t>010_SCLA1+10_1_1</t>
  </si>
  <si>
    <t>Consorcio Inecsa 2000</t>
  </si>
  <si>
    <t>011_SALV1+11_4_1</t>
  </si>
  <si>
    <t>Consorcio Trinela Ruta 5 SA</t>
  </si>
  <si>
    <t>011_SALV1+11_4_2</t>
  </si>
  <si>
    <t>011_SALV1+11_4_3</t>
  </si>
  <si>
    <t>Infraestructura Dos Mil SA</t>
  </si>
  <si>
    <t>011_SALV1+11_4_4</t>
  </si>
  <si>
    <t>Consorcio Obras Viales</t>
  </si>
  <si>
    <t>012_ISVV1+12_4_1</t>
  </si>
  <si>
    <t>Consorcio Cicasa Chile</t>
  </si>
  <si>
    <t>012_ISVV1+12_4_2</t>
  </si>
  <si>
    <t>Consorcio Ecorutas</t>
  </si>
  <si>
    <t>012_ISVV1+12_4_3</t>
  </si>
  <si>
    <t>Consorcio Rutas del Pacífico</t>
  </si>
  <si>
    <t>012_ISVV1+12_4_4</t>
  </si>
  <si>
    <t>Consorcio Autopistas de Peaje SA</t>
  </si>
  <si>
    <t>013_CHCO1+13_3_1</t>
  </si>
  <si>
    <t>Tribasa Cono Sur S.A.</t>
  </si>
  <si>
    <t>013_CHCO1+13_3_2</t>
  </si>
  <si>
    <t>Cominco SA y Obras y Desarrollo SA</t>
  </si>
  <si>
    <t>013_CHCO1+13_3_3</t>
  </si>
  <si>
    <t>014_TERB1+14_3_1</t>
  </si>
  <si>
    <t>Sacyr Chile SA</t>
  </si>
  <si>
    <t>014_TERB1+14_3_2</t>
  </si>
  <si>
    <t>014_TERB1+14_3_3</t>
  </si>
  <si>
    <t>Consorcio Ecovias 5</t>
  </si>
  <si>
    <t>015_LVLS1+15_2_1</t>
  </si>
  <si>
    <t>Tribasa Cono Sur SA</t>
  </si>
  <si>
    <t>015_LVLS1+15_2_2</t>
  </si>
  <si>
    <t>016_ALFS1+16_4_1</t>
  </si>
  <si>
    <t>Gestión e Ingeniería IDC SA, Empresa Constructora Senexco Ltda., Constructora Cosalco Ltda., Inversiones e Inmobiliaria Viento Claro SA, Inversiones Palguin SA</t>
  </si>
  <si>
    <t>016_ALFS1+16_4_2</t>
  </si>
  <si>
    <t>Ingecol SA, Sociedad de Ingeniería y Construcción Austral Ltda.</t>
  </si>
  <si>
    <t>016_ALFS1+16_4_3</t>
  </si>
  <si>
    <t>Empresa Constructora Belfi SA</t>
  </si>
  <si>
    <t>016_ALFS1+16_4_4</t>
  </si>
  <si>
    <t>Ingeniería y Construcción Icafal ltda</t>
  </si>
  <si>
    <t>017_ALOA1+17_4_1</t>
  </si>
  <si>
    <t>Ingeniería y Construcción Icafal Ltda</t>
  </si>
  <si>
    <t>017_ALOA1+17_4_2</t>
  </si>
  <si>
    <t>Ingecol SA, Sociedad de Ingeniería y Construcción Austral Ltda</t>
  </si>
  <si>
    <t>017_ALOA1+17_4_3</t>
  </si>
  <si>
    <t>017_ALOA1+17_4_4</t>
  </si>
  <si>
    <t>Gestión e Ingeniería IDC SA, Empresa Constructora Senexco Ltda., Constructora Cosalco Ltda., Inversiones e Inmobiliaria Viento Claro SA, Inversiones Palguín SA, e Inversiones y Servicios Iñaki Ltda</t>
  </si>
  <si>
    <t>018_RBPM1+18_5_1</t>
  </si>
  <si>
    <t>018_RBPM1+18_5_2</t>
  </si>
  <si>
    <t>018_RBPM1+18_5_3</t>
  </si>
  <si>
    <t>018_RBPM1+18_5_4</t>
  </si>
  <si>
    <t>018_RBPM1+18_5_5</t>
  </si>
  <si>
    <t>Consorcio Concesiones Iberochilenas</t>
  </si>
  <si>
    <t>019_AAMB1+19_7_1</t>
  </si>
  <si>
    <t>Consorcio ADS</t>
  </si>
  <si>
    <t>019_AAMB1+19_7_2</t>
  </si>
  <si>
    <t>Consorcio Airground AG</t>
  </si>
  <si>
    <t>019_AAMB1+19_7_3</t>
  </si>
  <si>
    <t>Consorcio SCL Terminal Aereo Santiago</t>
  </si>
  <si>
    <t>019_AAMB1+19_7_4</t>
  </si>
  <si>
    <t>Consorcio Aeropuerto AMB</t>
  </si>
  <si>
    <t>019_AAMB1+19_7_5</t>
  </si>
  <si>
    <t>Consorcio ASSA</t>
  </si>
  <si>
    <t>019_AAMB1+19_7_6</t>
  </si>
  <si>
    <t>Consorcio Santiago 2.000</t>
  </si>
  <si>
    <t>019_AAMB1+19_7_7</t>
  </si>
  <si>
    <t>Consorcio Ferrovial-Agromán</t>
  </si>
  <si>
    <t>020_COTE1+20_4_1</t>
  </si>
  <si>
    <t>Consorcio Ica Tecsa</t>
  </si>
  <si>
    <t>020_COTE1+20_4_2</t>
  </si>
  <si>
    <t>Consorcio Favias</t>
  </si>
  <si>
    <t>020_COTE1+20_4_3</t>
  </si>
  <si>
    <t>020_COTE1+20_4_4</t>
  </si>
  <si>
    <t>021_SATA1+21_4_1</t>
  </si>
  <si>
    <t>Consorcio Autopista del Maipo</t>
  </si>
  <si>
    <t>021_SATA1+21_4_2</t>
  </si>
  <si>
    <t>021_SATA1+21_4_3</t>
  </si>
  <si>
    <t>Consorcio Necso Entrecanales y Cubiertas SA</t>
  </si>
  <si>
    <t>021_SATA1+21_4_4</t>
  </si>
  <si>
    <t>Consorcio Rutas del Sur</t>
  </si>
  <si>
    <t>022_ACSU1+22_7_1</t>
  </si>
  <si>
    <t>Empresa Constructora Belfi SA, Empresa Constructora Brotec SA, Empresa Constructora Claro, Vicuña, Valenzuela S</t>
  </si>
  <si>
    <t>022_ACSU1+22_7_2</t>
  </si>
  <si>
    <t xml:space="preserve">Empresa Constructora Delta SA, Fondo de Inversión Inmobiliaria BHIF, BHIF Inmobiliaria, Gestión e Ingeniería IDC SA, Inversiones y Rentas del Nuevo Extremo SA, Empresa Constructora Cosalco SA, Arturo Mariano Valle Ponce </t>
  </si>
  <si>
    <t>022_ACSU1+22_7_3</t>
  </si>
  <si>
    <t>Cintra Concesiones de Infraestructura de transporte de Chie Ltda.</t>
  </si>
  <si>
    <t>022_ACSU1+22_7_4</t>
  </si>
  <si>
    <t>Alfonso Bründl y Cia Ltda., Ingecol SA, Mendes Junior Chile SA y Sical</t>
  </si>
  <si>
    <t>022_ACSU1+22_7_5</t>
  </si>
  <si>
    <t>Agencias Universales SA, Dragados y Construcciones SA, Agencia en Chile</t>
  </si>
  <si>
    <t>022_ACSU1+22_7_6</t>
  </si>
  <si>
    <t>Consorcio Biobío SA</t>
  </si>
  <si>
    <t>022_ACSU1+22_7_7</t>
  </si>
  <si>
    <t>Sacyr Chile SA y Sacyr S</t>
  </si>
  <si>
    <t>023_ACMA1+23_5_1</t>
  </si>
  <si>
    <t>Empresa Constructora Belfi SA, Empresa Constructora Belfi SA, Lan Chile SA, Las Americas Administradora de Fondos de Inversión SA y CMB Prime Administradora de Fondos de Inversión S</t>
  </si>
  <si>
    <t>023_ACMA1+23_5_2</t>
  </si>
  <si>
    <t>CINTRA Concesiones de Infraestructura de transporte de Chie Ltda.</t>
  </si>
  <si>
    <t>023_ACMA1+23_5_3</t>
  </si>
  <si>
    <t xml:space="preserve"> Gestión e Ingeniería IDC SA, Fondo de Inversión Inmobiliaria BHIF Inmobiliario, Constructora Cosal SA e Inversiones y Rentas del Nuevo Extremo SA </t>
  </si>
  <si>
    <t>023_ACMA1+23_5_4</t>
  </si>
  <si>
    <t>Besalco SA, Arauco SA y Geotecnica Consultores SA</t>
  </si>
  <si>
    <t>023_ACMA1+23_5_5</t>
  </si>
  <si>
    <t>Alfonso Bründl y Cia Ltda., Ingecol SA, Mendes Junior Chile SA, Sical SA y Cisa Ltda</t>
  </si>
  <si>
    <t>024_SOPN1+24_4_1</t>
  </si>
  <si>
    <t>Autopistas Urbanas SA</t>
  </si>
  <si>
    <t>024_SOPN1+24_4_2</t>
  </si>
  <si>
    <t>Bouygues - Egis - Besalco Consortium</t>
  </si>
  <si>
    <t>024_SOPN1+24_4_3</t>
  </si>
  <si>
    <t>Impregilo - Fe Grande - Tecsa</t>
  </si>
  <si>
    <t>024_SOPN1+24_4_4</t>
  </si>
  <si>
    <t>Concesiones Viales Acciona</t>
  </si>
  <si>
    <t>025_ACIP1+25_4_1</t>
  </si>
  <si>
    <t>Austral Sociedad Concesionaria SA</t>
  </si>
  <si>
    <t>025_ACIP1+25_4_2</t>
  </si>
  <si>
    <t>Gestión e Ingeniería IDC SA, Inversiones y Rentas del Nuevo Extremo SA y Fondo de Inversión Inmobiliaria BHIF Inmobiliario</t>
  </si>
  <si>
    <t>025_ACIP1+25_4_3</t>
  </si>
  <si>
    <t>Besalco SA, Arauco SA y Geotécnica Consultores SA</t>
  </si>
  <si>
    <t>025_ACIP1+25_4_4</t>
  </si>
  <si>
    <t>Alfonso Bründl y Cia Ltda., Ingecol SA, Mendes Junior Chile SA y Sical SA</t>
  </si>
  <si>
    <t>026_EEBA1+26_3_1</t>
  </si>
  <si>
    <t>Besalco SA</t>
  </si>
  <si>
    <t>026_EEBA1+26_3_2</t>
  </si>
  <si>
    <t>Mendes Junior, Sical, Brundl, e Ingecol S.A.</t>
  </si>
  <si>
    <t>026_EEBA1+26_3_3</t>
  </si>
  <si>
    <t>Grupo TCV S.A.</t>
  </si>
  <si>
    <t>027_SNSS1+27_3_1</t>
  </si>
  <si>
    <t>027_SNSS1+27_3_2</t>
  </si>
  <si>
    <t>Autopistas Norte-Sur SA</t>
  </si>
  <si>
    <t>027_SNSS1+27_3_3</t>
  </si>
  <si>
    <t>Consorcio Autopista Santiago</t>
  </si>
  <si>
    <t>028_RVLC1+28_3_1</t>
  </si>
  <si>
    <t>Consorcio Acciona - Sacyr Chile</t>
  </si>
  <si>
    <t>028_RVLC1+28_3_2</t>
  </si>
  <si>
    <t>Consorcio Litoral</t>
  </si>
  <si>
    <t>028_RVLC1+28_3_3</t>
  </si>
  <si>
    <t>Rutas Litoral Pacífico Central</t>
  </si>
  <si>
    <t>029_AVES1+29_4_1</t>
  </si>
  <si>
    <t>029_AVES1+29_4_2</t>
  </si>
  <si>
    <t>Consorcio Autopista Américo Vespucio</t>
  </si>
  <si>
    <t>029_AVES1+29_4_3</t>
  </si>
  <si>
    <t>Autopistas Metropolitanas SA</t>
  </si>
  <si>
    <t>029_AVES1+29_4_4</t>
  </si>
  <si>
    <t>Consorcio Autopistas Vespucio Sur</t>
  </si>
  <si>
    <t>030_VAME1+30_3_1</t>
  </si>
  <si>
    <t>030_VAME1+30_3_2</t>
  </si>
  <si>
    <t>Icafal - Tecsa</t>
  </si>
  <si>
    <t>030_VAME1+30_3_3</t>
  </si>
  <si>
    <t>OHL - Mendes Junior y Asociados</t>
  </si>
  <si>
    <t>031_PP1G1+31_3_1</t>
  </si>
  <si>
    <t>Torno-Mendes Junior &amp; Asociados</t>
  </si>
  <si>
    <t>031_PP1G1+31_3_2</t>
  </si>
  <si>
    <t>Obrascon Huarte Lain S.A., Agencia En Chile</t>
  </si>
  <si>
    <t>031_PP1G1+31_3_3</t>
  </si>
  <si>
    <t>Consorcio B.A.S.</t>
  </si>
  <si>
    <t>032_AVNP1+32_4_1</t>
  </si>
  <si>
    <t>032_AVNP1+32_4_2</t>
  </si>
  <si>
    <t>Impreglio-FCCCO-Tecsa-Fe Grande</t>
  </si>
  <si>
    <t>032_AVNP1+32_4_3</t>
  </si>
  <si>
    <t>032_AVNP1+32_4_4</t>
  </si>
  <si>
    <t>Consorcio Autopistas Vespucio Norte</t>
  </si>
  <si>
    <t>033_RITP1+33_3_1</t>
  </si>
  <si>
    <t>Consorcio ICAFAL-TECSA</t>
  </si>
  <si>
    <t>033_RITP1+33_3_2</t>
  </si>
  <si>
    <t>Mendes Junior y Asociados</t>
  </si>
  <si>
    <t>033_RITP1+33_3_3</t>
  </si>
  <si>
    <t>Consorcio Autopista Interportuaria</t>
  </si>
  <si>
    <t>034_60RU1+34_1_1</t>
  </si>
  <si>
    <t>Autopista Los Andes SA</t>
  </si>
  <si>
    <t>035_ARAT1+35_5_1</t>
  </si>
  <si>
    <t>Concesiones Aeroportuarias</t>
  </si>
  <si>
    <t>035_ARAT1+35_5_2</t>
  </si>
  <si>
    <t>035_ARAT1+35_5_3</t>
  </si>
  <si>
    <t>Consorcio A Port Chile - Icafal - Odinsa</t>
  </si>
  <si>
    <t>035_ARAT1+35_5_4</t>
  </si>
  <si>
    <t>Arauco - Claro Vicuña Valenzuela - Con Pax - Trebol - Agua Santa</t>
  </si>
  <si>
    <t>035_ARAT1+35_5_5</t>
  </si>
  <si>
    <t>Consorcio de la Araucanía</t>
  </si>
  <si>
    <t>036_PP2G1+36_3_1</t>
  </si>
  <si>
    <t>036_PP2G1+36_3_2</t>
  </si>
  <si>
    <t>Vinci Construction Grands Projets</t>
  </si>
  <si>
    <t>037_ACNO1+37_1_1</t>
  </si>
  <si>
    <t>Itinere Chile SA</t>
  </si>
  <si>
    <t>038_PBCH1+38_1_1</t>
  </si>
  <si>
    <t>Consorcio Puente Bicentenario</t>
  </si>
  <si>
    <t>039_PP3G1+39_3_1</t>
  </si>
  <si>
    <t>039_PP3G1+39_3_2</t>
  </si>
  <si>
    <t>Grupo Cabo de Hornos</t>
  </si>
  <si>
    <t>039_PP3G1+39_3_3</t>
  </si>
  <si>
    <t xml:space="preserve"> Andes Investments (Chile) Limitada</t>
  </si>
  <si>
    <t>039_PP3G1+39_3_4</t>
  </si>
  <si>
    <t>Empresa Constructora Tecsa S.A.</t>
  </si>
  <si>
    <t>039_PP3G1+39_3_5</t>
  </si>
  <si>
    <t>Felipe Montt Fuenzalida</t>
  </si>
  <si>
    <t>040_EIMQ1+40_1_1</t>
  </si>
  <si>
    <t>Estaciones Metropolitanas: Acsa Agbar Construcción SA y Alsa Chile SA</t>
  </si>
  <si>
    <t>041_EIMC1+41_1_1</t>
  </si>
  <si>
    <t>042_ACHA1+42_2_1</t>
  </si>
  <si>
    <t>Azvi Chile SA</t>
  </si>
  <si>
    <t>042_ACHA1+42_2_2</t>
  </si>
  <si>
    <t>Consorcio Icafal - Tecsa - AAC - Senarco - Cosalco</t>
  </si>
  <si>
    <t>043_CSJS1+43_3_1</t>
  </si>
  <si>
    <t>Obrascon Huarte Lain S.A.</t>
  </si>
  <si>
    <t>043_CSJS1+43_3_2</t>
  </si>
  <si>
    <t>Las Americas Asministradoa de Fondos de Invesión SA</t>
  </si>
  <si>
    <t>043_CSJS1+43_3_3</t>
  </si>
  <si>
    <t>Inmobiliaria Socovesa Santiago SA</t>
  </si>
  <si>
    <t>044_PCIS1+44_2_1</t>
  </si>
  <si>
    <t>044_PCIS1+44_2_2</t>
  </si>
  <si>
    <t>Consorcio Brotec, Echeverría, Izquierdo y Otros SA</t>
  </si>
  <si>
    <t>045_ETPO1+45_1_1</t>
  </si>
  <si>
    <t>Consorcio Arena Bicentenario</t>
  </si>
  <si>
    <t>046_ECVI1+46_1_1</t>
  </si>
  <si>
    <t>Consorcio Belfi Besalco Brotec</t>
  </si>
  <si>
    <t>047_PTLA1+47_3_1</t>
  </si>
  <si>
    <t>Terminal Los Andes SA, SC</t>
  </si>
  <si>
    <t>047_PTLA1+47_3_2</t>
  </si>
  <si>
    <t>AZVI Chile SA</t>
  </si>
  <si>
    <t>047_PTLA1+47_3_3</t>
  </si>
  <si>
    <t>Gestión de Infraestructura Concesionada - GICSA</t>
  </si>
  <si>
    <t>048_VVSK1+48_2_1</t>
  </si>
  <si>
    <t>Autopista San Cristobal</t>
  </si>
  <si>
    <t>048_VVSK1+48_2_2</t>
  </si>
  <si>
    <t>San Cristobal Express</t>
  </si>
  <si>
    <t>049_CVSR1+49_3_1</t>
  </si>
  <si>
    <t>Consorcio Belfi - BCF</t>
  </si>
  <si>
    <t>049_CVSR1+49_3_2</t>
  </si>
  <si>
    <t>Concesiones Urbanas</t>
  </si>
  <si>
    <t>049_CVSR1+49_3_3</t>
  </si>
  <si>
    <t>Concesionaria Suiza - Icafal</t>
  </si>
  <si>
    <t>050_ETTT1+50_2_1</t>
  </si>
  <si>
    <t>Consorcio Infraestructura de Santiago SA</t>
  </si>
  <si>
    <t>050_ETTT1+50_2_2</t>
  </si>
  <si>
    <t>Conseciones Urbanas</t>
  </si>
  <si>
    <t>051_CTSR1+51_4_1</t>
  </si>
  <si>
    <t>051_CTSR1+51_4_2</t>
  </si>
  <si>
    <t>051_CTSR1+51_4_3</t>
  </si>
  <si>
    <t>Besalco Concesiones SA</t>
  </si>
  <si>
    <t>051_CTSR1+51_4_4</t>
  </si>
  <si>
    <t>Consorcio Santa Rosa</t>
  </si>
  <si>
    <t>052_160R1+52_6_1</t>
  </si>
  <si>
    <t>Acciona Concesiones Ruta 160</t>
  </si>
  <si>
    <t>052_160R1+52_6_2</t>
  </si>
  <si>
    <t>Azvi Chile SA Agencia en Chile</t>
  </si>
  <si>
    <t>052_160R1+52_6_3</t>
  </si>
  <si>
    <t>Consorcio BELFI-Besalco-SIEMEL</t>
  </si>
  <si>
    <t>052_160R1+52_6_4</t>
  </si>
  <si>
    <t>Concesiones Viarias Chile SA</t>
  </si>
  <si>
    <t>052_160R1+52_6_5</t>
  </si>
  <si>
    <t>OHL Concesiones Chile SA-OHL Concesiones SL</t>
  </si>
  <si>
    <t>052_160R1+52_6_6</t>
  </si>
  <si>
    <t>Consorcio Skanska - ICC</t>
  </si>
  <si>
    <t>053_ADAI2+53_6_1</t>
  </si>
  <si>
    <t>Arrigoni-Sifón-Tecsa</t>
  </si>
  <si>
    <t>053_ADAI2+53_6_2</t>
  </si>
  <si>
    <t>Consorcio ACC-Icafal-Vecta</t>
  </si>
  <si>
    <t>053_ADAI2+53_6_3</t>
  </si>
  <si>
    <t>053_ADAI2+53_6_4</t>
  </si>
  <si>
    <t>OHL Concesiones SL</t>
  </si>
  <si>
    <t>053_ADAI2+53_6_5</t>
  </si>
  <si>
    <t>053_ADAI2+53_6_6</t>
  </si>
  <si>
    <t>Consorcio Aeroportuario Agunsa-SAAM</t>
  </si>
  <si>
    <t>054_ATEP2+54_7_1</t>
  </si>
  <si>
    <t>054_ATEP2+54_7_2</t>
  </si>
  <si>
    <t>054_ATEP2+54_7_3</t>
  </si>
  <si>
    <t>054_ATEP2+54_7_4</t>
  </si>
  <si>
    <t>054_ATEP2+54_7_5</t>
  </si>
  <si>
    <t>054_ATEP2+54_7_6</t>
  </si>
  <si>
    <t>054_ATEP2+54_7_7</t>
  </si>
  <si>
    <t>Arauco - Claro Vicuña Valenzuela - Con Pax</t>
  </si>
  <si>
    <t>055_60GR1+55_3_1</t>
  </si>
  <si>
    <t>Comsa de Chile SA</t>
  </si>
  <si>
    <t>055_60GR1+55_3_2</t>
  </si>
  <si>
    <t>055_60GR1+55_3_3</t>
  </si>
  <si>
    <t>Icafal Ingeniería y Construcción SA</t>
  </si>
  <si>
    <t>056_VCAL1+56_6_1</t>
  </si>
  <si>
    <t>Consorcio Ruta del Desierto</t>
  </si>
  <si>
    <t>056_VCAL1+56_6_2</t>
  </si>
  <si>
    <t>Consorcio OHL</t>
  </si>
  <si>
    <t>056_VCAL1+56_6_3</t>
  </si>
  <si>
    <t>Consorcio Skanska</t>
  </si>
  <si>
    <t>056_VCAL1+56_6_4</t>
  </si>
  <si>
    <t>056_VCAL1+56_6_5</t>
  </si>
  <si>
    <t>Consorcio Azvi Comsa</t>
  </si>
  <si>
    <t>056_VCAL1+56_6_6</t>
  </si>
  <si>
    <t>057_CMVR1+57_5_1</t>
  </si>
  <si>
    <t>Consorcio Schiappacasse Custodia, Proponente</t>
  </si>
  <si>
    <t>057_CMVR1+57_5_2</t>
  </si>
  <si>
    <t>Grupo CONPAX Concesiones, Arauco y Claro Vicuña Valenzuela</t>
  </si>
  <si>
    <t>057_CMVR1+57_5_3</t>
  </si>
  <si>
    <t>IAB Inmobiliaria SA</t>
  </si>
  <si>
    <t>057_CMVR1+57_5_4</t>
  </si>
  <si>
    <t>SC Central Metropolitana de Vehículos SA</t>
  </si>
  <si>
    <t>057_CMVR1+57_5_5</t>
  </si>
  <si>
    <t>Inversiones y Servicios INSER SA</t>
  </si>
  <si>
    <t>058_AVAM2+58_5_1</t>
  </si>
  <si>
    <t>058_AVAM2+58_5_2</t>
  </si>
  <si>
    <t>058_AVAM2+58_5_3</t>
  </si>
  <si>
    <t>Besalco Concesiones SA e Inversiones El Tranque Ltda.</t>
  </si>
  <si>
    <t>058_AVAM2+58_5_4</t>
  </si>
  <si>
    <t>Concesiones Viarias Chile SA y Hochtief PPP Solutions Chile Ltda.</t>
  </si>
  <si>
    <t>058_AVAM2+58_5_5</t>
  </si>
  <si>
    <t>Autopistas do Pacífico</t>
  </si>
  <si>
    <t>Conceisón de Hospital de Maipú y Hospital de La Florida</t>
  </si>
  <si>
    <t>059_HSMF1+59_4_1</t>
  </si>
  <si>
    <t>Consorcio San José-Tecnocontrol</t>
  </si>
  <si>
    <t>059_HSMF1+59_4_2</t>
  </si>
  <si>
    <t>Consorcio Abengoa Chile - Begar - Inabensa</t>
  </si>
  <si>
    <t>059_HSMF1+59_4_3</t>
  </si>
  <si>
    <t>Acciona Concesiones Hospitalarias Chile</t>
  </si>
  <si>
    <t>059_HSMF1+59_4_4</t>
  </si>
  <si>
    <t>Consorcio Franco Italiano Dalkia-Inso</t>
  </si>
  <si>
    <t>060_66RF1+60_2_1</t>
  </si>
  <si>
    <t>Consorcio Vial Chile</t>
  </si>
  <si>
    <t>060_66RF1+60_2_2</t>
  </si>
  <si>
    <t>Concesiones Viarias Chile Tres SA</t>
  </si>
  <si>
    <t>061_PMPA1+61_3_1</t>
  </si>
  <si>
    <t>Sacyr Concesiones Chile SA</t>
  </si>
  <si>
    <t>061_PMPA1+61_3_2</t>
  </si>
  <si>
    <t>061_PMPA1+61_3_3</t>
  </si>
  <si>
    <t>Consorcio Viarias Chile SA</t>
  </si>
  <si>
    <t>062_NARA1+62_5_1</t>
  </si>
  <si>
    <t>062_NARA1+62_5_2</t>
  </si>
  <si>
    <t>062_NARA1+62_5_3</t>
  </si>
  <si>
    <t>062_NARA1+62_5_4</t>
  </si>
  <si>
    <t>062_NARA1+62_5_5</t>
  </si>
  <si>
    <t>063_ACIP2+63_5_1</t>
  </si>
  <si>
    <t>Consorcio A Port Chile - Icafal</t>
  </si>
  <si>
    <t>063_ACIP2+63_5_2</t>
  </si>
  <si>
    <t>Agencias Universales SA</t>
  </si>
  <si>
    <t>063_ACIP2+63_5_3</t>
  </si>
  <si>
    <t>Consorcio Arrigoni - Sifon - Tecsa</t>
  </si>
  <si>
    <t>063_ACIP2+63_5_4</t>
  </si>
  <si>
    <t>063_ACIP2+63_5_5</t>
  </si>
  <si>
    <t>Consorcio Aires Australes</t>
  </si>
  <si>
    <t>064_PP2G2+64_1_1</t>
  </si>
  <si>
    <t>Sodexho Chile SA</t>
  </si>
  <si>
    <t>065_AURA1+65_4_1</t>
  </si>
  <si>
    <t>Consorcio Azvi - Copasa</t>
  </si>
  <si>
    <t>065_AURA1+65_4_2</t>
  </si>
  <si>
    <t>065_AURA1+65_4_3</t>
  </si>
  <si>
    <t>065_AURA1+65_4_4</t>
  </si>
  <si>
    <t>Skanska Inversora en Infraestructura SA</t>
  </si>
  <si>
    <t>066_ALOA2+66_5_1</t>
  </si>
  <si>
    <t>066_ALOA2+66_5_2</t>
  </si>
  <si>
    <t>066_ALOA2+66_5_3</t>
  </si>
  <si>
    <t>Echeverría Izquierda SA</t>
  </si>
  <si>
    <t>066_ALOA2+66_5_4</t>
  </si>
  <si>
    <t>066_ALOA2+66_5_5</t>
  </si>
  <si>
    <t>067_ACIQ1+67_5_1</t>
  </si>
  <si>
    <t>Grupo Licitante Belfi - Brotec Acceso Iquique</t>
  </si>
  <si>
    <t>067_ACIQ1+67_5_2</t>
  </si>
  <si>
    <t>Nuevos Accesos a Iquique</t>
  </si>
  <si>
    <t>067_ACIQ1+67_5_3</t>
  </si>
  <si>
    <t>Grupo Licitante Concesiones Viarias Chile Tres SA - Besalco Concesiones SA</t>
  </si>
  <si>
    <t>067_ACIQ1+67_5_4</t>
  </si>
  <si>
    <t>067_ACIQ1+67_5_5</t>
  </si>
  <si>
    <t>Rutas Iquique</t>
  </si>
  <si>
    <t>068_COCA1+68_3_1</t>
  </si>
  <si>
    <t>OHL Concesiones</t>
  </si>
  <si>
    <t>068_COCA1+68_3_2</t>
  </si>
  <si>
    <t>Consorcio CBB</t>
  </si>
  <si>
    <t>068_COCA1+68_3_3</t>
  </si>
  <si>
    <t>069_ACMA2+69_8_1</t>
  </si>
  <si>
    <t>069_ACMA2+69_8_2</t>
  </si>
  <si>
    <t>Claro Vicuña Valenzuela - Con Pax</t>
  </si>
  <si>
    <t>069_ACMA2+69_8_3</t>
  </si>
  <si>
    <t>Consorcio A Port Chile - IDC</t>
  </si>
  <si>
    <t>069_ACMA2+69_8_4</t>
  </si>
  <si>
    <t>Echeverría Izquierdo SA</t>
  </si>
  <si>
    <t>069_ACMA2+69_8_5</t>
  </si>
  <si>
    <t>069_ACMA2+69_8_6</t>
  </si>
  <si>
    <t>Icafal Inversiones SA</t>
  </si>
  <si>
    <t>069_ACMA2+69_8_7</t>
  </si>
  <si>
    <t>OHL Concesiones SA</t>
  </si>
  <si>
    <t>069_ACMA2+69_8_8</t>
  </si>
  <si>
    <t>Besalco Arrigoni</t>
  </si>
  <si>
    <t>070_43RU1+70_3_1</t>
  </si>
  <si>
    <t>Consorcio Redes Viales BD Chile</t>
  </si>
  <si>
    <t>070_43RU1+70_3_2</t>
  </si>
  <si>
    <t>Consorcio BIB Concesión Vial Coquimbo</t>
  </si>
  <si>
    <t>070_43RU1+70_3_3</t>
  </si>
  <si>
    <t>Sacyr Concesiones</t>
  </si>
  <si>
    <t>071_VALS1+71_4_1</t>
  </si>
  <si>
    <t>Ruta Elqui Huasco</t>
  </si>
  <si>
    <t>071_VALS1+71_4_2</t>
  </si>
  <si>
    <t>071_VALS1+71_4_3</t>
  </si>
  <si>
    <t>071_VALS1+71_4_4</t>
  </si>
  <si>
    <t>072_RLOA1+72_3_2</t>
  </si>
  <si>
    <t>Consorcio Vial Anto-Andino</t>
  </si>
  <si>
    <t>072_RLOA1+72_3_3</t>
  </si>
  <si>
    <t>073_ADAI3+73_3_1</t>
  </si>
  <si>
    <t>073_ADAI3+73_3_2</t>
  </si>
  <si>
    <t>073_ADAI3+73_3_3</t>
  </si>
  <si>
    <t>074_ALFS2+74_5_1</t>
  </si>
  <si>
    <t>074_ALFS2+74_5_2</t>
  </si>
  <si>
    <t>074_ALFS2+74_5_3</t>
  </si>
  <si>
    <t>074_ALFS2+74_5_4</t>
  </si>
  <si>
    <t>074_ALFS2+74_5_5</t>
  </si>
  <si>
    <t>075_HSAN1+75_6_1</t>
  </si>
  <si>
    <t>ASTALDI CONCESSIONI S.R.L. AGENCIA CHILE</t>
  </si>
  <si>
    <t>075_HSAN1+75_6_2</t>
  </si>
  <si>
    <t>INFRAESTRUCTURAS DE SALUD ANTOFAGASTA</t>
  </si>
  <si>
    <t>075_HSAN1+75_6_3</t>
  </si>
  <si>
    <t>CONSORCIO HOSPITALARIO ANTO - ANDINO</t>
  </si>
  <si>
    <t>075_HSAN1+75_6_4</t>
  </si>
  <si>
    <t>ANTOFAGASTA SALUD</t>
  </si>
  <si>
    <t>075_HSAN1+75_6_5</t>
  </si>
  <si>
    <t>FESSA</t>
  </si>
  <si>
    <t>075_HSAN1+75_6_6</t>
  </si>
  <si>
    <t>CONSORCIO SALUD SIGLO XXI</t>
  </si>
  <si>
    <t>076_NPIB1+76_3_1</t>
  </si>
  <si>
    <t>Consorcio BCVC</t>
  </si>
  <si>
    <t>076_NPIB1+76_3_2</t>
  </si>
  <si>
    <t>076_NPIB1+76_3_3</t>
  </si>
  <si>
    <t>OHL Concesiones Chile SA</t>
  </si>
  <si>
    <t>077_CFLL1+77_3_1</t>
  </si>
  <si>
    <t>Consorcio Complejo Fronterizo Los Libertadores</t>
  </si>
  <si>
    <t>077_CFLL1+77_3_2</t>
  </si>
  <si>
    <t>Los Libertadores</t>
  </si>
  <si>
    <t>077_CFLL1+77_3_3</t>
  </si>
  <si>
    <t>078_1AVO1+78_2_1</t>
  </si>
  <si>
    <t>078_1AVO1+78_2_2</t>
  </si>
  <si>
    <t>Cintra Infraestructura SA</t>
  </si>
  <si>
    <t>079_ATEP3+79_5_1</t>
  </si>
  <si>
    <t>079_ATEP3+79_5_2</t>
  </si>
  <si>
    <t>079_ATEP3+79_5_3</t>
  </si>
  <si>
    <t>079_ATEP3+79_5_4</t>
  </si>
  <si>
    <t>Remavesa SA</t>
  </si>
  <si>
    <t>079_ATEP3+79_5_5</t>
  </si>
  <si>
    <t>080_HSSG1+80_4_1</t>
  </si>
  <si>
    <t>CONSORCIO DE SALUD SANTIAGO ORIENTE</t>
  </si>
  <si>
    <t>080_HSSG1+80_4_2</t>
  </si>
  <si>
    <t>Sacyr CONCESIONES CHILE S.A.</t>
  </si>
  <si>
    <t>080_HSSG1+80_4_3</t>
  </si>
  <si>
    <t>CONSORCIO ABENGOA CHILE INABENSA TEYMA</t>
  </si>
  <si>
    <t>080_HSSG1+80_4_4</t>
  </si>
  <si>
    <t>CONSORCIO HOSPITALES SALUD</t>
  </si>
  <si>
    <t>081_HSFB1+81_3_1</t>
  </si>
  <si>
    <t>081_HSFB1+81_3_2</t>
  </si>
  <si>
    <t>081_HSFB1+81_3_3</t>
  </si>
  <si>
    <t>082_AAMB2+82_5_1</t>
  </si>
  <si>
    <t>Grupo Pudahuel</t>
  </si>
  <si>
    <t>082_AAMB2+82_5_2</t>
  </si>
  <si>
    <t>Grupo Aeropuerto de Stgo.</t>
  </si>
  <si>
    <t>082_AAMB2+82_5_3</t>
  </si>
  <si>
    <t>Consorcio AMB</t>
  </si>
  <si>
    <t>082_AAMB2+82_5_4</t>
  </si>
  <si>
    <t>Nuevo Pudahuel</t>
  </si>
  <si>
    <t>082_AAMB2+82_5_5</t>
  </si>
  <si>
    <t>Consorcio Aeroportuario AMB</t>
  </si>
  <si>
    <t>083_EPUN1+83_1_1</t>
  </si>
  <si>
    <t>Astaldi Concessioni S.R.L.</t>
  </si>
  <si>
    <t>084_TEME2+84_7_1</t>
  </si>
  <si>
    <t>Licitante Sacyr-Concesiones Chile SpA</t>
  </si>
  <si>
    <t>084_TEME2+84_7_2</t>
  </si>
  <si>
    <t>Licitante OHL Concesiones Chile S.A.</t>
  </si>
  <si>
    <t>084_TEME2+84_7_3</t>
  </si>
  <si>
    <t>Grupo Licitante FCC-OSSA</t>
  </si>
  <si>
    <t>084_TEME2+84_7_4</t>
  </si>
  <si>
    <t>Belfi-Conpax-Aura</t>
  </si>
  <si>
    <t>084_TEME2+84_7_5</t>
  </si>
  <si>
    <t>Consorcio Túneles al Norte</t>
  </si>
  <si>
    <t>084_TEME2+84_7_6</t>
  </si>
  <si>
    <t>Arauco-Echeverría Izquierdo</t>
  </si>
  <si>
    <t>084_TEME2+84_7_7</t>
  </si>
  <si>
    <t>Highways Investment Chile Spa</t>
  </si>
  <si>
    <t>085_CNPU2+85_4_1</t>
  </si>
  <si>
    <t>Consorcio BBI</t>
  </si>
  <si>
    <t>085_CNPU2+85_4_2</t>
  </si>
  <si>
    <t>Nueva Concesión Nogales-Puchuncaví</t>
  </si>
  <si>
    <t>085_CNPU2+85_4_3</t>
  </si>
  <si>
    <t>Sacyr Concesiones Chile SpA</t>
  </si>
  <si>
    <t>085_CNPU2+85_4_4</t>
  </si>
  <si>
    <t>OHL Concesiones Chile S.A.</t>
  </si>
  <si>
    <t>086_ACSU2+86_2_1</t>
  </si>
  <si>
    <t>Icafal Inversiones S.A.</t>
  </si>
  <si>
    <t>086_ACSU2+86_2_2</t>
  </si>
  <si>
    <t>Consorcio Aeropuertos Asociados</t>
  </si>
  <si>
    <t>087_ADAI4+87_3_1</t>
  </si>
  <si>
    <t>087_ADAI4+87_3_2</t>
  </si>
  <si>
    <t>087_ADAI4+87_3_3</t>
  </si>
  <si>
    <t>088_2AVO1+88_5_1</t>
  </si>
  <si>
    <t>Grupo Costanera SpA</t>
  </si>
  <si>
    <t>088_2AVO1+88_5_2</t>
  </si>
  <si>
    <t>Consorcio Vespucio Oriente</t>
  </si>
  <si>
    <t>088_2AVO1+88_5_3</t>
  </si>
  <si>
    <t>China Harbour Engneering Company Ltda.</t>
  </si>
  <si>
    <t>088_2AVO1+88_5_4</t>
  </si>
  <si>
    <t>Cintra Infraestructura SE</t>
  </si>
  <si>
    <t>088_2AVO1+88_5_5</t>
  </si>
  <si>
    <t>Vespucio Oriente Express</t>
  </si>
  <si>
    <t>089_RNAH1+89_1_1</t>
  </si>
  <si>
    <t>Consorcio BB</t>
  </si>
  <si>
    <t>090_RLOA2+90_3_1</t>
  </si>
  <si>
    <t>090_RLOA2+90_3_2</t>
  </si>
  <si>
    <t>Intervial Chile SA</t>
  </si>
  <si>
    <t>090_RLOA2+90_3_3</t>
  </si>
  <si>
    <t>Consorcio Sacyr</t>
  </si>
  <si>
    <t>091_TELB1+91_1_1</t>
  </si>
  <si>
    <t>Consorcio Teleférico Bicentenario</t>
  </si>
  <si>
    <t>092_ELPA1+92_5_1</t>
  </si>
  <si>
    <t xml:space="preserve">Conpax-Belfi-Icafal </t>
  </si>
  <si>
    <t>092_ELPA1+92_5_2</t>
  </si>
  <si>
    <t>Consorcio BME</t>
  </si>
  <si>
    <t>092_ELPA1+92_5_3</t>
  </si>
  <si>
    <t>092_ELPA1+92_5_4</t>
  </si>
  <si>
    <t>Acciona Concesiones Chile Limitada</t>
  </si>
  <si>
    <t>092_ELPA1+92_5_5</t>
  </si>
  <si>
    <t>China Harbour Engneering Company LTD.</t>
  </si>
  <si>
    <t>093_67CV1+93_1_1</t>
  </si>
  <si>
    <t>094_66RF2+94_1_1</t>
  </si>
  <si>
    <t>095_ATEP4+95_2_1</t>
  </si>
  <si>
    <t>Consorcio Sacyr - Agunsa</t>
  </si>
  <si>
    <t>095_ATEP4+95_2_2</t>
  </si>
  <si>
    <t>Consorcio Belfi -Icafal</t>
  </si>
  <si>
    <t>097_21RG1+97_2_1</t>
  </si>
  <si>
    <t>Consorcio Conpax-Icafal</t>
  </si>
  <si>
    <t>097_21RG1+97_2_2</t>
  </si>
  <si>
    <t>098_LVLS2+98_1_1</t>
  </si>
  <si>
    <t>099_ACHA2+99_4_1</t>
  </si>
  <si>
    <t>Aport S.A.</t>
  </si>
  <si>
    <t>099_ACHA2+99_4_2</t>
  </si>
  <si>
    <t>si</t>
  </si>
  <si>
    <t>099_ACHA2+99_4_3</t>
  </si>
  <si>
    <t>Empresa Constructora Belfi S.A.</t>
  </si>
  <si>
    <t>099_ACHA2+99_4_4</t>
  </si>
  <si>
    <t>Segunda concesión Red Aeroportuaria Austral</t>
  </si>
  <si>
    <t>100_RAUS1+100_1_1</t>
  </si>
  <si>
    <t>Consorcio Austral de Aeropuertos</t>
  </si>
  <si>
    <t>101_TACH2+101_3_1</t>
  </si>
  <si>
    <t>Consorcio CRCC</t>
  </si>
  <si>
    <t>101_TACH2+101_3_2</t>
  </si>
  <si>
    <t>101_TACH2+101_3_3</t>
  </si>
  <si>
    <t>Consorcio Cintra Intervial</t>
  </si>
  <si>
    <t>102_ALFS3+102_1_1</t>
  </si>
  <si>
    <t>Consorcio Aeropuerto IV Región</t>
  </si>
  <si>
    <t>103_HRMA1+103_4_1</t>
  </si>
  <si>
    <t>ACCIONA CONCESIONES</t>
  </si>
  <si>
    <t>103_HRMA1+103_4_2</t>
  </si>
  <si>
    <t>103_HRMA1+103_4_3</t>
  </si>
  <si>
    <t>CONSORCIO IBEROASIÁTICO</t>
  </si>
  <si>
    <t>103_HRMA1+103_4_4</t>
  </si>
  <si>
    <t>OBRASCÓN HUARTE LAIN S.A.</t>
  </si>
  <si>
    <t>104_HBUP1+104_6_1</t>
  </si>
  <si>
    <t>INVERSIONES HOSPITALES MAULE</t>
  </si>
  <si>
    <t>104_HBUP1+104_6_2</t>
  </si>
  <si>
    <t>104_HBUP1+104_6_3</t>
  </si>
  <si>
    <t>104_HBUP1+104_6_4</t>
  </si>
  <si>
    <t>OBRASCÓN HUARTE LAIN, S.A.</t>
  </si>
  <si>
    <t>104_HBUP1+104_6_5</t>
  </si>
  <si>
    <t>Constructora y Edificadora GIA+A, S.A.</t>
  </si>
  <si>
    <t>104_HBUP1+104_6_6</t>
  </si>
  <si>
    <t>Empresa Constructora Moller y Pérez Cotapos S.A.</t>
  </si>
  <si>
    <t>105_HRBB1+105_5_1</t>
  </si>
  <si>
    <t>Obrascón Huarte Lain, SA.</t>
  </si>
  <si>
    <t>105_HRBB1+105_5_2</t>
  </si>
  <si>
    <t>Constructora y edificadora GIA+A SA</t>
  </si>
  <si>
    <t>105_HRBB1+105_5_3</t>
  </si>
  <si>
    <t>105_HRBB1+105_5_4</t>
  </si>
  <si>
    <t>Acciona concesiones hospitalarias</t>
  </si>
  <si>
    <t>105_HRBB1+105_5_5</t>
  </si>
  <si>
    <t>Constructora San José S.A.</t>
  </si>
  <si>
    <t>106_HRRL1+106_2_1</t>
  </si>
  <si>
    <t>Consorcio iberoasiático</t>
  </si>
  <si>
    <t>106_HRRL1+106_2_2</t>
  </si>
  <si>
    <t>Constructora y edificadora GIA+A SA de capital variable</t>
  </si>
  <si>
    <t>107_SASA2+107_7_1</t>
  </si>
  <si>
    <t>Sacyr concesiones Chile Spa</t>
  </si>
  <si>
    <t xml:space="preserve">Si </t>
  </si>
  <si>
    <t>107_SASA2+107_7_2</t>
  </si>
  <si>
    <t xml:space="preserve">Consorcio rutas del Sol </t>
  </si>
  <si>
    <t>107_SASA2+107_7_3</t>
  </si>
  <si>
    <t>Aleática SA</t>
  </si>
  <si>
    <t>107_SASA2+107_7_4</t>
  </si>
  <si>
    <t>Consorcio Cintra –Intervial</t>
  </si>
  <si>
    <t>107_SASA2+107_7_5</t>
  </si>
  <si>
    <t>Acciona concesiones ruta 78</t>
  </si>
  <si>
    <t>107_SASA2+107_7_6</t>
  </si>
  <si>
    <t>Grupo costanera Spa</t>
  </si>
  <si>
    <t>107_SASA2+107_7_7</t>
  </si>
  <si>
    <t>108_HRQS1+108_2_1</t>
  </si>
  <si>
    <t>Obrascón Huarte Lain,S.A. Agencia en Chile</t>
  </si>
  <si>
    <t>108_HRQS1+108_2_2</t>
  </si>
  <si>
    <t>Acciona Concesiones Hospitalarias</t>
  </si>
  <si>
    <t>113_INAC1+110_2_1</t>
  </si>
  <si>
    <t>Obrascón Huarte SA Agencia en Chile</t>
  </si>
  <si>
    <t>113_INAC1+110_2_2</t>
  </si>
  <si>
    <t>Grupo CRCC Chile</t>
  </si>
  <si>
    <t>115_CHCO2+115_3_1</t>
  </si>
  <si>
    <t>115_CHCO2+115_3_2</t>
  </si>
  <si>
    <t xml:space="preserve">Intervial Chile S.A. </t>
  </si>
  <si>
    <t>115_CHCO2+115_3_3</t>
  </si>
  <si>
    <t>China Railway Construction Corporation (International) Limited</t>
  </si>
  <si>
    <t>117_HINN1+117_1_1</t>
  </si>
  <si>
    <t>112_ALOA3+112_2_1</t>
  </si>
  <si>
    <t>Consorcio Sacyr-Agunsa</t>
  </si>
  <si>
    <t>109_AVAM3+109_1_1</t>
  </si>
  <si>
    <t>Grupo Costanera Spa</t>
  </si>
  <si>
    <t>110_HRQQ1+110_4_1</t>
  </si>
  <si>
    <t>110_HRQQ1+110_4_2</t>
  </si>
  <si>
    <t>110_HRQQ1+110_4_3</t>
  </si>
  <si>
    <t>110_HRQQ1+110_4_4</t>
  </si>
  <si>
    <t>114_HROG1+114_1_1</t>
  </si>
  <si>
    <t>119_ORSS1+119_3_1</t>
  </si>
  <si>
    <t>Intervial Chile</t>
  </si>
  <si>
    <t>119_ORSS1+119_3_2</t>
  </si>
  <si>
    <t>Concesiones Chile Holdings III</t>
  </si>
  <si>
    <t>119_ORSS1+119_3_3</t>
  </si>
  <si>
    <t>Grupo Costanera</t>
  </si>
  <si>
    <t>125_ARNO1+125_1_1</t>
  </si>
  <si>
    <t>Consorcio Sacyr-Cointer</t>
  </si>
  <si>
    <t>126_PP4T1+126_1_1</t>
  </si>
  <si>
    <t>Constructora San José, Agencia en Chile</t>
  </si>
  <si>
    <t>120_SALV2+120_2_1</t>
  </si>
  <si>
    <t>Vías Chile</t>
  </si>
  <si>
    <t>120_SALV2+120_2_2</t>
  </si>
  <si>
    <t>Sacyr Concesiones Chile Spa</t>
  </si>
  <si>
    <t>121_ANCO2+121_4_1</t>
  </si>
  <si>
    <t>Intervial Shile SA</t>
  </si>
  <si>
    <t>121_ANCO2+121_4_2</t>
  </si>
  <si>
    <t>Inversiones en infraestrutura Chile SpA</t>
  </si>
  <si>
    <t>121_ANCO2+121_4_3</t>
  </si>
  <si>
    <t>Vías Chile SA</t>
  </si>
  <si>
    <t>121_ANCO2+121_4_4</t>
  </si>
  <si>
    <t>118_ISVV2+118_2_1</t>
  </si>
  <si>
    <t>122_NARA2+122_1_1</t>
  </si>
  <si>
    <t>Belfi- Icafal</t>
  </si>
  <si>
    <t>124_TERB2+124_2_1</t>
  </si>
  <si>
    <t>Grupos Costanera SPA</t>
  </si>
  <si>
    <t>124_TERB2+124_2_2</t>
  </si>
  <si>
    <t>130_EPCO1+130_1_1</t>
  </si>
  <si>
    <t xml:space="preserve">Constructora San José S.A., Agencia en Chile </t>
  </si>
  <si>
    <t>La concesión Red Aeroporturia Norte contempla dos nuevas concesiones: La 3ra del Aeropuerto Andrés Sabella de Antofagasta y la 2da del Aeropuerto Regional de Atacama</t>
  </si>
  <si>
    <t>Sitio Web DGC</t>
  </si>
  <si>
    <t>Revisar</t>
  </si>
  <si>
    <t>Planta Desaladora para la Región de Coquimbo</t>
  </si>
  <si>
    <t>Ruta Pie de Monte</t>
  </si>
  <si>
    <t>Ruta 5 Tramo Chacao - Chonchi</t>
  </si>
  <si>
    <t>Segunda Concesión Ruta 5 Tramo Río Bueno - Puerto Montt</t>
  </si>
  <si>
    <t>La concesión Embalse Nueva La Punilla no está considerado en la BD. Por alguna razón aparece como finalizado en la página de la DGC cuando ni siquiera se ha adjudicado</t>
  </si>
  <si>
    <t>Autopista Santiago - San Antonio, Ruta 78</t>
  </si>
  <si>
    <t>Primera concesión Autopista Santiago - San Antonio, Ruta 78</t>
  </si>
  <si>
    <t>Obras como el Puente Bicentenario de Chiloe, no estan en la web de la DGC.</t>
  </si>
  <si>
    <t>La segunda concesión Nogales Puchuncavi, además del mejoramiento de la ruta principal, añadió dos variantes.</t>
  </si>
  <si>
    <t>aux</t>
  </si>
  <si>
    <t>XXX_RTCC</t>
  </si>
  <si>
    <t>XXX_RBPM2</t>
  </si>
  <si>
    <t>Shapes</t>
  </si>
  <si>
    <t>Aux</t>
  </si>
  <si>
    <t>Max</t>
  </si>
  <si>
    <t>Planta desaladora para la Región de Coquimbo</t>
  </si>
  <si>
    <t>XXX_PDRC1</t>
  </si>
  <si>
    <t>1</t>
  </si>
  <si>
    <t>187</t>
  </si>
  <si>
    <t>2</t>
  </si>
  <si>
    <t>3</t>
  </si>
  <si>
    <t>4</t>
  </si>
  <si>
    <t>5;6</t>
  </si>
  <si>
    <t>7</t>
  </si>
  <si>
    <t>8;9</t>
  </si>
  <si>
    <t>10</t>
  </si>
  <si>
    <t>11</t>
  </si>
  <si>
    <t>12;13</t>
  </si>
  <si>
    <t>14</t>
  </si>
  <si>
    <t>15;16</t>
  </si>
  <si>
    <t>17</t>
  </si>
  <si>
    <t>18</t>
  </si>
  <si>
    <t>19</t>
  </si>
  <si>
    <t>20</t>
  </si>
  <si>
    <t>21;22;23;24</t>
  </si>
  <si>
    <t>25</t>
  </si>
  <si>
    <t>26</t>
  </si>
  <si>
    <t>27</t>
  </si>
  <si>
    <t>28</t>
  </si>
  <si>
    <t>31</t>
  </si>
  <si>
    <t>32</t>
  </si>
  <si>
    <t>20;32</t>
  </si>
  <si>
    <t>33</t>
  </si>
  <si>
    <t>29;31</t>
  </si>
  <si>
    <t>34</t>
  </si>
  <si>
    <t>35</t>
  </si>
  <si>
    <t>36</t>
  </si>
  <si>
    <t>37</t>
  </si>
  <si>
    <t>38</t>
  </si>
  <si>
    <t>42</t>
  </si>
  <si>
    <t>38;39;41</t>
  </si>
  <si>
    <t>43</t>
  </si>
  <si>
    <t>44</t>
  </si>
  <si>
    <t>45</t>
  </si>
  <si>
    <t>46;47;48</t>
  </si>
  <si>
    <t>49</t>
  </si>
  <si>
    <t>50</t>
  </si>
  <si>
    <t>51;52</t>
  </si>
  <si>
    <t>53</t>
  </si>
  <si>
    <t>54</t>
  </si>
  <si>
    <t>55</t>
  </si>
  <si>
    <t>56</t>
  </si>
  <si>
    <t>57</t>
  </si>
  <si>
    <t>58</t>
  </si>
  <si>
    <t>59</t>
  </si>
  <si>
    <t>60</t>
  </si>
  <si>
    <t>61;62;63;64;65;66;67;68;69;71;72;73;74;75;76;77;78;79;81;82;83;84;85;86;87;88;89;91;92;93;94;95;96;97;98</t>
  </si>
  <si>
    <t>99</t>
  </si>
  <si>
    <t>100</t>
  </si>
  <si>
    <t>101;102;103;104</t>
  </si>
  <si>
    <t>105;106;107</t>
  </si>
  <si>
    <t>108;109</t>
  </si>
  <si>
    <t>110</t>
  </si>
  <si>
    <t>111</t>
  </si>
  <si>
    <t>112;113;114;115</t>
  </si>
  <si>
    <t>116</t>
  </si>
  <si>
    <t>117</t>
  </si>
  <si>
    <t>118;119</t>
  </si>
  <si>
    <t>120</t>
  </si>
  <si>
    <t>121</t>
  </si>
  <si>
    <t>122</t>
  </si>
  <si>
    <t>123</t>
  </si>
  <si>
    <t>124</t>
  </si>
  <si>
    <t>125</t>
  </si>
  <si>
    <t>126</t>
  </si>
  <si>
    <t>175</t>
  </si>
  <si>
    <t>127;128</t>
  </si>
  <si>
    <t>176;177;178</t>
  </si>
  <si>
    <t>179;181</t>
  </si>
  <si>
    <t>182;183;184</t>
  </si>
  <si>
    <t>185</t>
  </si>
  <si>
    <t>186</t>
  </si>
  <si>
    <t>129;19</t>
  </si>
  <si>
    <t>131;132</t>
  </si>
  <si>
    <t>133</t>
  </si>
  <si>
    <t>134</t>
  </si>
  <si>
    <t>135;136</t>
  </si>
  <si>
    <t>137;138;139;141;142;143</t>
  </si>
  <si>
    <t>144</t>
  </si>
  <si>
    <t>145;146;147</t>
  </si>
  <si>
    <t>148;149</t>
  </si>
  <si>
    <t>151;152;153;154</t>
  </si>
  <si>
    <t>155;156</t>
  </si>
  <si>
    <t>157;158</t>
  </si>
  <si>
    <t>159</t>
  </si>
  <si>
    <t>160</t>
  </si>
  <si>
    <t>162</t>
  </si>
  <si>
    <t>163</t>
  </si>
  <si>
    <t>164</t>
  </si>
  <si>
    <t>165;166;167;168</t>
  </si>
  <si>
    <t>169;171;172;173;174</t>
  </si>
  <si>
    <t>XXX_RPMO1</t>
  </si>
  <si>
    <t>Aeropuerto Chacalluta de Arica</t>
  </si>
  <si>
    <t>Ruta del Itata</t>
  </si>
  <si>
    <t>Américo Vespucio Oriente, Tramo Av. El Salto - Príncipe de Gales</t>
  </si>
  <si>
    <t>Mejoramiento Ruta G-21</t>
  </si>
  <si>
    <t>Américo Vespucio Oriente, Tramo Av. Príncipe de Gales - Los Presidentes</t>
  </si>
  <si>
    <t>Mejoramiento y conservación de la Ruta 43 de la Región de Coquimbo</t>
  </si>
  <si>
    <t>Autopistas de la Región de Antofagasta</t>
  </si>
  <si>
    <t>Aeropuerto La Florida de La Serena</t>
  </si>
  <si>
    <t>Nuevo Aeropuerto Regional de Atacama</t>
  </si>
  <si>
    <t>Ruta 5 Tramo Chillán - Collipulli</t>
  </si>
  <si>
    <t xml:space="preserve">Autopista Concepción - Cabrero </t>
  </si>
  <si>
    <t>Ruta 5 Tramo Collipulli - Temuco</t>
  </si>
  <si>
    <t>Ruta 5 Tramo Los Vilos - La Serena</t>
  </si>
  <si>
    <t>Embalse Convento Viejo II Etapa</t>
  </si>
  <si>
    <t>Embalse Illapel</t>
  </si>
  <si>
    <t>Embalse Las Palmas</t>
  </si>
  <si>
    <t>Nuevo establecimiento penitenciario de Copiapó</t>
  </si>
  <si>
    <t>Embalse La Punilla</t>
  </si>
  <si>
    <t>Hospital de Buin Paine</t>
  </si>
  <si>
    <t>Red Biobío: Hospital Santa Bárbara, Hospital de Nacimiento, Hospital de Coronel y Hospital de Lota</t>
  </si>
  <si>
    <t>Red Maule:  Hospital Cauquenes, Hospital de Constitución y Hospital de Parral</t>
  </si>
  <si>
    <t>Red O'Higgins: Hospital de Rengo y Hospital de Pichilemu</t>
  </si>
  <si>
    <t>Hospital de Coquimbo</t>
  </si>
  <si>
    <t>Hospital de La Serena</t>
  </si>
  <si>
    <t>Red Los Ríos-Los Lagos</t>
  </si>
  <si>
    <t>Instituto Nacional del Cáncer</t>
  </si>
  <si>
    <t>Ruta 5 Tramo Los Vilos – La Serena</t>
  </si>
  <si>
    <t>Puente Industrial</t>
  </si>
  <si>
    <t>Ruta 5 Tramo Río Bueno - Puerto Montt</t>
  </si>
  <si>
    <t>Ruta 5 Tramo Puerto Montt - Pargua</t>
  </si>
  <si>
    <t>Programa de Concesiones de Infraestructura Penitenciaria, Grupo 3</t>
  </si>
  <si>
    <t>Red Aeroportuaria Austral</t>
  </si>
  <si>
    <t>Rutas del Loa</t>
  </si>
  <si>
    <t>Ruta 5 Tramo Santiago - Los Vilos</t>
  </si>
  <si>
    <t>Ruta 5 Tramo Santiago - Talca y Acceso Sur a Santiago</t>
  </si>
  <si>
    <t>Sistema Oriente - Poniente</t>
  </si>
  <si>
    <t>Ruta 5 Tramo Talca - Chillán</t>
  </si>
  <si>
    <t>Teleférico Bicentenario</t>
  </si>
  <si>
    <t>Ruta 5 Tramo Temuco - Río Bueno</t>
  </si>
  <si>
    <t>Segunda Concesión Ruta 5 Tramo Temuco - Río Bueno</t>
  </si>
  <si>
    <t>Ruta 5 Tramo La Serena - Vallenar</t>
  </si>
  <si>
    <t>Ruta 5 Tramo Vallenar - Caldera</t>
  </si>
  <si>
    <t>streetview</t>
  </si>
  <si>
    <t>https://www.google.com/maps/embed?pb=!4v1785283585828!6m8!1m7!1s20BCqV-EOvWBmVTwswXMrQ!2m2!1d-32.61811778474448!2d-71.22931129306323!3f330.5117709771579!4f-8.06135341617177!5f0.7820865974627469</t>
  </si>
  <si>
    <t>https://www.google.com/maps/embed?pb=!4v1785285335812!6m8!1m7!1soJnziCqD_8PXFeaagV9Hdw!2m2!1d-37.32559402006441!2d-73.29328068536594!3f221.61285992040317!4f-5.796473675989418!5f0.7820865974627469</t>
  </si>
  <si>
    <t>https://www.google.com/maps/embed?pb=!4v1785285521779!6m8!1m7!1sXzkZpJWXOmsoG7zC6zbcBQ!2m2!1d-33.39050050801918!2d-70.60431768680888!3f233.50224000419246!4f0.5053603487983196!5f0.5082050155148539</t>
  </si>
  <si>
    <t>https://www.google.com/maps/embed?pb=!4v1785285777442!6m8!1m7!1szqlUoOJhY3StrcbTh7zLIw!2m2!1d-30.13618511871525!2d-71.22909520698978!3f156.1504396754161!4f-0.054600542371815664!5f0.7820865974627469</t>
  </si>
  <si>
    <t>https://www.google.com/maps/embed?pb=!4v1785285963490!6m8!1m7!1ssfwgjQbAJOz9WzKDSlGA5A!2m2!1d-33.75938366741146!2d-71.23482570696129!3f38.710607391076906!4f-5.066115333094032!5f0.7820865974627469</t>
  </si>
  <si>
    <t>https://www.google.com/maps/embed?pb=!4v1785286037393!6m8!1m7!1suTzf6BIKnbrSQSD7Pk5BbA!2m2!1d-32.80907816537668!2d-70.92375082589824!3f45.270988914669346!4f-1.6655021873636144!5f0.7820865974627469</t>
  </si>
  <si>
    <t>https://www.google.com/maps/embed?pb=!4v1785286120343!6m8!1m7!1sjEoOA31Dc-3Rj-8nmoIUVw!2m2!1d-34.06734182172545!2d-71.36683395895622!3f168.0046528187875!4f-1.2905443962804526!5f0.7820865974627469</t>
  </si>
  <si>
    <t>https://www.google.com/maps/embed?pb=!4v1785286251647!6m8!1m7!1s1aaMVIZzGyBY1dnc7DaHcw!2m2!1d-20.26083849874912!2d-70.03386979536246!3f200.38391921001812!4f-3.9969951923617657!5f0.7820865974627469</t>
  </si>
  <si>
    <t>https://www.google.com/maps/embed?pb=!4v1785286330694!6m8!1m7!1sszX8fAEXrRMa3zB3-T1bhw!2m2!1d-33.31207032281502!2d-70.65050532654125!3f112.46069538385784!4f2.037033717414971!5f0.7820865974627469</t>
  </si>
  <si>
    <t>https://www.google.com/maps/embed?pb=!4v1785286404030!6m8!1m7!1sqHZW3gYmLF4VCIGTfPjhzg!2m2!1d-36.65327881345259!2d-72.4279205293022!3f55.40858398408112!4f-0.2642350994423168!5f0.7820865974627469</t>
  </si>
  <si>
    <t>https://www.google.com/maps/embed?pb=!4v1785288132986!6m8!1m7!1sCDF-t26y7H62mUieiHJDWw!2m2!1d-18.34958681251418!2d-70.33525618435634!3f326.32318528900606!4f6.879629010340125!5f0.7820865974627469</t>
  </si>
  <si>
    <t>https://www.google.com/maps/embed?pb=!4v1785288271477!6m8!1m7!1sfUiKkKHd-Ghu6lgAVwoPkA!2m2!1d-18.34950887593706!2d-70.33532883821316!3f333.1185764722373!4f-4.3879259808882125!5f0.7820865974627469</t>
  </si>
  <si>
    <t>https://www.google.com/maps/embed?pb=!4v1785288788341!6m8!1m7!1s7TV558cbLc7VmXdUWzQ-nQ!2m2!1d-36.77728992931906!2d-73.06053490339305!3f75.33233412569366!4f-1.6181881493233874!5f0.7820865974627469</t>
  </si>
  <si>
    <t>https://www.google.com/maps/embed?pb=!4v1785288833540!6m8!1m7!1s_JoHKWpzuVkOZv5-laeW1A!2m2!1d-36.77747764253254!2d-73.06058128880079!3f42.34327637973716!4f-1.2206193163364247!5f0.7820865974627469</t>
  </si>
  <si>
    <t>https://www.google.com/maps/embed?pb=!4v1785289251637!6m8!1m7!1siZ_Cc4rgjDdUSkKO2pnp5g!2m2!1d-20.54631459157731!2d-70.1778640005833!3f219.08149553873756!4f6.692883431763079!5f0.7071141048142802</t>
  </si>
  <si>
    <t>https://www.google.com/maps/embed?pb=!4v1785289376514!6m8!1m7!1stROQT0gLOgEgjqMrtaxa_Q!2m2!1d-20.54730347770245!2d-70.17798990710968!3f241.32073687212875!4f0.4013124812893807!5f0.7820865974627469</t>
  </si>
  <si>
    <t>https://www.google.com/maps/embed?pb=!4v1785289603096!6m8!1m7!1sXNtRhdir38Wj-AiqajC3pQ!2m2!1d-22.49493414479877!2d-68.90858113066156!3f202.78833232309853!4f-4.1049154122937495!5f0.7820865974627469</t>
  </si>
  <si>
    <t>https://www.google.com/maps/embed?pb=!4v1785289636511!6m8!1m7!1sjOQd2WQCzwI9fODANtasSg!2m2!1d-22.49490036105452!2d-68.90835872569598!3f111.1657325733429!4f2.6466407450393064!5f0.7820865974627469</t>
  </si>
  <si>
    <t>https://www.google.com/maps/embed?pb=!4v1785290150295!6m8!1m7!1sicThNaSV4Im5zlPp8Z8EwA!2m2!1d-36.8134299744532!2d-73.13195268530824!3f185.4989004980487!4f5.353377164855985!5f0.7820865974627469</t>
  </si>
  <si>
    <t>Proyecto</t>
  </si>
  <si>
    <t>Institucion mandante</t>
  </si>
  <si>
    <t>Fuente  de inf</t>
  </si>
  <si>
    <t xml:space="preserve">Inversion (USD) </t>
  </si>
  <si>
    <t>Descripcion</t>
  </si>
  <si>
    <t>Extension Tren Limache - Puerto a Quillota y La Calera</t>
  </si>
  <si>
    <t>EFE</t>
  </si>
  <si>
    <t>https://www.efe.cl/proyectos/</t>
  </si>
  <si>
    <t>Nuevo Servicio Tren Chillan - Estacion Central</t>
  </si>
  <si>
    <t>Mejoramiento ramal Tren - Talca-Constitucion</t>
  </si>
  <si>
    <t>Puente Biobio</t>
  </si>
  <si>
    <t>Tren Batuco - Quinta Normal</t>
  </si>
  <si>
    <t>Tren Melipilla - Estacion Central</t>
  </si>
  <si>
    <t>Tren Puerto Montt - Llanquihue</t>
  </si>
  <si>
    <t>-</t>
  </si>
  <si>
    <t>Plataforma Logistica Ferroportuaria</t>
  </si>
  <si>
    <t>La primera fase de este proyecto corresponde a la modernización del Patio Barrancas ubicado en el costado del terminal portuario de San Antonio y la construcción de desvíos ferroviarios fuera del recinto. La iniciativa, denominada Terminal Intermodal Barrancas permitirá quintuplicar la capacidad de carga movilizada por tren en ese puerto, pasando de 50 mil TEU´s a 250 mil TEU´s por año, con servicios disponibles para todos los concesionarios del puerto. Asimismo, permitirá el tránsito de trenes de mayor longitud, pasando de 400 a 600 metros</t>
  </si>
  <si>
    <t>Nuevo medio de pago</t>
  </si>
  <si>
    <t>Este proyecto considera la modernización del sistema de pago de todos los servicios existentes en el país, correspondientes a las tres filiales con operaciones de pasajeros (EFE Valparaíso, EFE Central y EFE Sur). Contempla el uso de la nueva tarjeta Conecta, válida para cualquiera de los servicios de EFE, con lo que se integra el sistema de cobro, pudiendo utilizarse este medio de pago también en otros sistemas de transporte público. La primera etapa comenzó a implementarse en la Región del Biobío, con la habilitación de la nueva tarjeta, el reemplazo de los validadores, la reparación de torniquetes, la instalación de nuevas máquinas de autoatención en estaciones y el sistema de recarga a través de la aplicación de EFE o por página web. La siguiente etapa correspondió a su habilitación en los servicios de EFE Valparaíso. La tercera fase incorporó el uso de QR, además de tarjeta de crédito y débito (EMV) para pago directo en validadores tanto en Valparaíso como en Concepción. La última etapa, implementada en febrero de 2026 comenzó a operar en el servicio San Fernando- Rancagua-Alameda de EFE Central.</t>
  </si>
  <si>
    <t>Estacion Valencia</t>
  </si>
  <si>
    <t>Cumpliendo con un anhelo transversal de los vecinos de Quilpué, en enero de 2026 se inauguró la Estación Valencia para el servicio de tren Limache-Puerto. En el marco del mismo proyecto, iniciado en 2023, se instaló un paradero de buses para facilitar la conexión a los vecinos de distintos sectores, lo que permite la combinación con el tren en la estación.</t>
  </si>
  <si>
    <t>Nuevos trenes para reforazar servicio Rancagua - Estacion Central</t>
  </si>
  <si>
    <t>Con el propósito de atender la creciente demanda de pasajeros en el servicio Rancagua-Estación Central, EFE realizó durante el mes de diciembre de 2022 la compra de 3 nuevos trenes para reforzar los servicios. Durante 2023, este servicio movilizó un total de 7,1 millones de pasajeros, lo que representa un incremento de 115% en relación con 2021, y de 173% si se compara con 2019, año pre pandemia. Los trenes fueron probados y 2 se encuentran habilitados, poniéndose en servicio en la ruta hasta San Fernando. Gracias a esto, los habitantes de San Fernando pueden usar trenes nuevos después de más de 40 años.</t>
  </si>
  <si>
    <t>Extension de Biotren Coronel - Lota</t>
  </si>
  <si>
    <t>El sistema de transporte en el Gran Concepción ha enfrentado numerosas dificultades a raíz del crecimiento de los sectores habitacionales y la limitada capacidad de traslado por la vialidad existente (Ruta 160) y el deficiente sistema de transporte público (microbuses). A raíz de esta situación, los servicios del Biotren han incrementado considerablemente sus flujos, llegando a 11,7 millones de pasajeros en 2024. De ese total, el 85% corresponde a la Línea 2 que une Coronel y Concepción. Este proyecto, considera la extensión de la Línea 2 hasta Lota, con una inversión de US$ 155 MM, la compra de 6 nuevos trenes y la habilitación de 5 nuevas estaciones (Coronel Sur, Playa Blanca, Cousiño, Chiflón y Lota). Actualmente, el proyecto alcanza un 27% de avance, lo que considera la implementación de medidas de Participación Ciudadana Temprana para el Estudio de Impacto Ambiental.</t>
  </si>
  <si>
    <t>Paradas de Cajon y Padre Las Casas</t>
  </si>
  <si>
    <t>Con el objetivo de mejorar la conectividad de los habitantes de la Región de La Araucanía, se desarrollaron dos proyectos destinados a: Ampliar el servicio Victoria Temuco hacia Padre Las Casas con la instalación de una nueva parada en esa comuna, inaugurada en abril de 2025. En diciembre de 2023, se habilitó una parada en la localidad de Cajón, en la comuna de Vilcún, en un trayecto que realiza el servicio Victoria-Temuco, pero debido a la falta de infraestrutura el tren no se podía detener.</t>
  </si>
  <si>
    <t>Mejoramiento de estaciones Region de O'Higgins</t>
  </si>
  <si>
    <t>Financiacion GORE</t>
  </si>
  <si>
    <t>En el marco del convenio suscrito con la Gobernación Regional de O’Higgins en agosto de 2022 y con el apoyo de la Dirección Regional de Arquitectura del MOP se realizó un primer proceso de licitación para la recuperación arquitectónica de dos primeras estaciones, correspondientes a Requínoa y Rosario, a cargo de la empresa Calfrío, con el financiamiento es del Gobierno Regional.</t>
  </si>
  <si>
    <t>Ampliacion de Capacidad de Biotren</t>
  </si>
  <si>
    <t>La ampliación de capacidad tiene por objetivo aumentar la oferta de servicios ferroviarios en el tramo Concepción-Coronel. El proyecto considera la compra de 10 nuevos trenes, el refuerzo de la alimentación de tracción existente (doble hilo de contacto en catenarias), extensión de los andenes en las 14 estaciones del trazado, como también la modificación de los sistemas ferroviarios, la construcción de un nuevo taller de mantenimiento en Escuadrón y la construcción de una subestación eléctrica rectificadora (SER). El objetivo es duplicar la capacidad de viajes, con la operación de trenes dobles. A través de soluciones modulares en una primera fase (durante primer trimestre de 2027) y de andenes definitivos en una etapa siguiente (hacia 2028), se generará un aumento de oferta de transporte de 40% (en hora punta mañana, durante la primera fase) y de 100% en horas punta mañana y tarde en la segunda fase), minimizando la posibilidad de que los pasajeros queden abajo del tren y deban esperar el siguiente.</t>
  </si>
  <si>
    <t>Adquisicion de 2 nuevos trenes de respaldo para Biotren</t>
  </si>
  <si>
    <t>Para fortalecer la resiliencia de las operaciones de Biotren, se dispuso la compra de dos nuevos trenes destinados a complementar la disponibilidad de material rodante en la Línea 2 de Biotren.</t>
  </si>
  <si>
    <t>Ampliacion de capacidad de operaciones EFE Valparaiso</t>
  </si>
  <si>
    <t>Este proyecto considera la adquisición de 5 nuevos trenes para robustecer el funcionamiento del servicio Limache Puerto, que anualmente mueve más de 20 millones de pasajeros.</t>
  </si>
  <si>
    <t>Adquisicion de 8 locomotoras para tareas de mantenimiento</t>
  </si>
  <si>
    <t>Con el objetivo de reforzar la flota para labores de mantenimiento y traslado de materiales, EFE lleva adelante un proceso de licitación destinado a adquirir 8 locomotoras nuevas, que complementarán la labor desarrollada por las actualmente disponibles que tienen más de 60 años de funcionamiento.</t>
  </si>
  <si>
    <t>Servicio Temuco - Gorbea</t>
  </si>
  <si>
    <t>El nuevo servicio ferroviario entre Temuco y Gorbea considera la rehabilitación completa de la vía férrea, la adquisición de 4 nuevos trenes; la rehabilitación de la estación de Gorbea, además de la construcción de 3 nuevos paraderos (2 en Temuco y 1 en Freire). Asimismo, contempla la habilitación y mejoramiento de 50 pasos peatonales y la automatización de 13 pasos vehiculares. Además, incorpora la ampliación del taller de mantenimiento de Victoria. El tiempo de traslado será de 44 minutos y el estándar de la vía será Clase C para 100 kilómetros/hora. En diciembre de 2025 se iniciaron las obras de rehabilitación de vías, mientars que durante el segundo semestre de 2026 se estima la llegada de cuatro nuevos trenes, actualmente en proceso de fabricación.</t>
  </si>
  <si>
    <t>Construccion Servicio Ferroviario Biotren Hacia el Norte de Concepcion (Biotren a Penco)</t>
  </si>
  <si>
    <t>En factibilidad</t>
  </si>
  <si>
    <t>El proyecto consiste en la extensión en 19,5 km del servicio Biotren desde la comuna de Concepción hacia la comuna de Penco, hasta el sector de Lirquén. Esta extensión se realizará por la actual vía ferroviaria que utilizan los trenes de carga para ir hacia y desde el Puerto Lirquén</t>
  </si>
  <si>
    <t>max</t>
  </si>
  <si>
    <t>1;2;3</t>
  </si>
  <si>
    <t>25;26</t>
  </si>
  <si>
    <t>27;28;29</t>
  </si>
  <si>
    <t>30;31;32;33;34;22</t>
  </si>
  <si>
    <t>36;37</t>
  </si>
  <si>
    <t>39;40</t>
  </si>
  <si>
    <t>43;44</t>
  </si>
  <si>
    <t>region</t>
  </si>
  <si>
    <t>38;45</t>
  </si>
  <si>
    <t>Ñuble;Maule;O'Higgins;Metropolitana</t>
  </si>
  <si>
    <t>Biobio</t>
  </si>
  <si>
    <t>Nacional</t>
  </si>
  <si>
    <t>O'Higgins;Metropolitana</t>
  </si>
  <si>
    <t>O'Higgins</t>
  </si>
  <si>
    <t>47;48;49;50;51;52</t>
  </si>
  <si>
    <t>42;53</t>
  </si>
  <si>
    <t>23;9;54</t>
  </si>
  <si>
    <t>56;53</t>
  </si>
  <si>
    <t>57;58</t>
  </si>
  <si>
    <t>4;5;6;7;8;9;10;11;12;13;14;15;16;17;18;19;20;21;22;46;59;60</t>
  </si>
  <si>
    <t>55;11;14;15;16;17;18;19;20;21;22;46;60</t>
  </si>
  <si>
    <t>El proyecto de extensión ferroviaria desde Limache a Quillota, La Cruz, La Calera, representa la inversión ferroviaria más importante en la Región de Valparaíso, con una inversión estimada de 811 millones de dólares. El trazado contempla 26 kilómetros de vías -doble vía exclusiva para de pasajeros y una vía para carga-, 7 estaciones en total (actual estación Limache, 5 estaciones nuevas y recuperación de la antigua Estación La Calera) , pasos vehiculares y peatonales desnivelados, así como la adquisición de 15 nuevos trenes. Todas las estaciones consideran estándares de accesibilidad universal y eficiencia energética. El desarrollo de esta infraestructura permitirá extender las ventajas en conectividad del tren a una población beneficiaria de 1.118.449 personas. En concreto, la operación del servicio permitirá importantes ahorros en tiempos de viaje y mayor seguridad en los desplazamientos de los pasajeros. Al mismo tiempo reportará impactos positivos para toda la comunidad gracias a la reducción de emisiones contaminantes, mejoramiento de la seguridad de los cruces vehiculares y peatonales, y disminución de la congestión vial, entre otros factores que contribuyen a tener mejores ciudades para las personas.</t>
  </si>
  <si>
    <t>El proyecto, que considera una inversión que alcanza los 40 millones de dólares, incluye cuatro áreas de trabajo: adquisición de nuevos buscarriles; construcción de un nuevo centro de mantenimiento para el material rodante; rehabilitación de la vía y reparación y recuperación de estaciones y paraderos, ámbito en el que EFE Trenes de Chile cuenta con el apoyo del Gobierno regional del Maule. </t>
  </si>
  <si>
    <t>El proyecto consideró la construcción de un viaducto de 1,8 kilómetroscondos vías electrificadas para uso mixto de trenes de carga y pasajeros. La estructura se fundó sobre pilotes de entre 28 y 46 metros de profundidad e incorpora sistemas de evacuación de aguas lluvia, iluminación, confinamiento de la faja vía y diseño arquitectónico. También incluye pantallas acústicas a la salida del túnel, mejoras paisajísticas y el rediseño del patio de maniobras de la boca sur. Asimismo, se construyó un nuevo túnel en el Cerro Chepe, excavado en roca, de 325 metros de longitud y con dos vías férreas, que además contempla obras de paisajismo en sus accesos.</t>
  </si>
  <si>
    <t>El Tren Santiago – Batuco es una de las iniciativas más emblemáticas del Plan Nacional de Desarrollo Ferroviario, con una inversión total estimada de US$ 950 millones, que busca mejorar la conectividad del transporte público en el norponiente de la Región Metropolitana. El proyecto permitirá fortalecer la movilidad entre las comunas de Lampa, Quilicura, Renca, Quinta Normal y Santiago, beneficiando directamente a cerca de un millón de habitantes y contribuyendo al desarrollo de un sistema de transporte público moderno, seguro y sustentable. De las ocho estaciones contempladas, seis se construyen en superficie, las que estarán ubicadas en las comunas de Renca, Quilicura y Lampa, cumpliendo con altos estándares de accesibilidad universal y seguridad. La conectividad que ofrece el proyecto permitirá una importante integración con el sistema de transporte público de Santiago, conectando los servicios con las líneas 3, 5 y 7 del Metro de Santiago.
La ejecución del proyecto destaca, además, la construcción de 7 puentes ferroviarios, incluido el Puente Mapocho, 12 pasos peatonales desnivelados, asegurando cruces seguros; además de pasos vehiculares desnivelados (3 superiores y 2 inferiores).</t>
  </si>
  <si>
    <t>La iniciativa, que permitirá ahorros de hasta más de 2 horas diarias de tiempo de viaje, considera 11 estaciones en un trayecto de 61 kilómetros de extensión, con tres vías hasta Malloco (dos de pasajeros y una de carga) y dos hasta Melipilla (una de pasajeros y una de carga), junto con conexión con líneas 1 y 6 de Metro. Se estima que el nuevo trazado tendrá una demanda aproximada de 57 millones de pasajeros por año para un área de influencia de más de un millón 100 mil habitantes</t>
  </si>
  <si>
    <t xml:space="preserve">El tren Llanquihue – Puerto Montt, inaugurado el 29 de abril del 2025 es un proyecto de cercanías 30/30, que tiene como objetivo habilitar un servicio ferroviario piloto con la infraestructura existente y abarca una longitud de 27 kilómetros y que une a tres comunas de la Región de Los Lagos, beneficiando a 308.000 habitantes. El proyecto contempla la utilización de dos trenes regulares y cuatro detenciones, en las localidades de Llanquihue, Puerto Varas, Alerce y La Paloma, permitiendo realizar el trayecto de punta a punta en tan sólo 40 minutos. A su vez, contempla intermodalidad que permite llegar hasta el centro cívico de Puerto Montt a través de una tarifa integrada.
</t>
  </si>
  <si>
    <t>EFE Sur</t>
  </si>
  <si>
    <t>EFE Central</t>
  </si>
  <si>
    <t>EFE Valparaíso</t>
  </si>
  <si>
    <t>Filial</t>
  </si>
  <si>
    <t>El proyecto contemplaba la construcción y operación de un puente sobre el canal Chacao que conectara la isla de Chiloé con Chile continental. El contrato se extinguió anticipadamente en 2007 tras dos años de vigencia, no llegando a materializarse la obra. En la actualidad se encuentra en construcción el nuevo proyecto del Puente Chacao, a cargo de la Dirección de Vialidad del Ministerio de Obras Públicas.</t>
  </si>
  <si>
    <t>El proyecto considera la construcción y operación de una Planta Desaladora de agua de mar ubicada en el sector del Panul, junto con sus respectivas obras de conducción de agua para la Región de Coquimbo, la cual tiene por objetivo el abastecimiento de agua potable para el consumo humano de las comunas de Coquimbo y La Serena, con potencial expansión hacia otros sistemas. La iniciativa plantea un servicio de desalinización de agua de mar mediante el sistema de osmósis inversa, con una capacidad de producción estimada de 1.200 litros/segundo, incluyendo además las obras del sistema de captación para la alimentación de la planta, emisario de descarga de salmuera, sistemas de prefiltración así como las obras para el sistema de conducción y bombeo a un estanque de distribución de agua potable de 8.000 m3, preliminarmente ubicado a cerca de 21 km de la planta. La obra beneficiará a una población estimada de 460.000 habitantes de las comunas de Coquimbo y La Serena.</t>
  </si>
  <si>
    <t>SACYR AGUA S.L.</t>
  </si>
  <si>
    <t>El proyecto corresponde al desarrollo de una vía alternativa a la actual Ruta 160, en el tramo entre las comunas de San Pedro de la Paz y Coronel, el que ha experimentado un gran crecimiento en los últimos años. La obra considera un trazado por el borde de los cerros, al oriente de la Ruta 160, que conectará por el norte con la Concesión Vial Puente Industrial, que se encuentra en etapa de construcción, y por el sur con la Concesión Ruta 160, Tramo Coronel – Tres Pinos. Entre los beneficios de la iniciativa destaca el mejoramiento de la conectividad en la Región del Biobío, gracias a la construcción de una ruta de alto estándar, con sistema de pórticos de telepeaje y una velocidad de desplazamiento prevista en 120 km/hora.</t>
  </si>
  <si>
    <t xml:space="preserve">SACYR CONCESIONES SPA </t>
  </si>
  <si>
    <t>La obra corresponde al mejoramiento de la Ruta 5 en la provincia de Chiloé en una extensión de 126 km y con un trazado que cruza por las comunas de Ancud, Dalcahue, Castro y Chonchi. El proyecto comienza en el acceso sur del futuro puente sobre el Canal de Chacao y concluye en la bifurcación del acceso norte a Chonchi, considerando además la operación y mantención de aproximadamente 16 kilómetros de camino con perfil de una calzada bidireccional, correspondientes al Bypass Castro. Entre los beneficios de la obra se encuentra disminuir los tiempos de viaje y aumentar la seguridad en el trazado, con ello se prevé que se favorecerá el intercambio comercial, productivo y de servicios en la zona.</t>
  </si>
  <si>
    <t>GRUPO COSTANERA SPA</t>
  </si>
  <si>
    <t>El proyecto corresponde al mejoramiento de la Ruta 5 entre las comunas de Río Bueno y Puerto Montt, con una longitud de 129,8 km aproximadamente. Se proyectan nuevas obras como terceras pistas en algunos sectores, nuevos enlaces y mejoramientos de los existentes, nuevos retornos y atraviesos, reemplazo de puentes existentes que alcanzaron su vida útil, rectificaciones geométricas del trazado, nuevas calles de servicio y ciclovías, reemplazo y nuevas pasarelas con sus respectivos paraderos y circuitos peatonales, iluminación, obras de seguridad vial con el remplazo de todas las barreras de contención para cumplir con las exigencias de la actual normativa, entre otras. La iniciativa considera también la rehabilitación de los pavimentos existentes y el reemplazo de los peajes manuales, para dar paso a un sistema de cobro del tipo telepeaje.</t>
  </si>
  <si>
    <t>INTERVIAL CHILE S.A.</t>
  </si>
  <si>
    <t>https://www.google.com/maps/embed?pb=!4v1786064085044!6m8!1m7!1s4STbpFzicvyp9eKxL-chnA!2m2!1d-27.63178747937239!2d-70.46071631954857!3f186.63886624916177!4f-2.7210265584033095!5f0.7820865974627469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</si>
</sst>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 #,##0_ ;_ * \-#,##0_ ;_ * &quot;-&quot;_ ;_ @_ "/>
    <numFmt numFmtId="164" formatCode="#,##0.0"/>
    <numFmt numFmtId="165" formatCode="0.0%"/>
  </numFmts>
  <fonts count="18" x14ac:knownFonts="1">
    <font>
      <sz val="11"/>
      <color theme="1"/>
      <name val="Aptos Narrow"/>
      <family val="2"/>
      <scheme val="minor"/>
    </font>
    <font>
      <sz val="11"/>
      <color theme="1"/>
      <name val="Aptos Narrow"/>
      <family val="2"/>
      <scheme val="minor"/>
    </font>
    <font>
      <sz val="11"/>
      <color rgb="FFFF0000"/>
      <name val="Aptos Narrow"/>
      <family val="2"/>
      <scheme val="minor"/>
    </font>
    <font>
      <u/>
      <sz val="11"/>
      <color theme="10"/>
      <name val="Aptos Narrow"/>
      <family val="2"/>
      <scheme val="minor"/>
    </font>
    <font>
      <sz val="10"/>
      <color indexed="8"/>
      <name val="Arial"/>
      <family val="2"/>
    </font>
    <font>
      <b/>
      <sz val="11"/>
      <name val="Calibri"/>
      <family val="2"/>
    </font>
    <font>
      <sz val="11"/>
      <name val="Aptos Narrow"/>
      <family val="2"/>
      <scheme val="minor"/>
    </font>
    <font>
      <u/>
      <sz val="11"/>
      <name val="Aptos Narrow"/>
      <family val="2"/>
      <scheme val="minor"/>
    </font>
    <font>
      <sz val="11"/>
      <name val="Calibri"/>
      <family val="2"/>
    </font>
    <font>
      <sz val="11"/>
      <color rgb="FFFF0000"/>
      <name val="Calibri"/>
      <family val="2"/>
    </font>
    <font>
      <sz val="11"/>
      <name val="Arial"/>
      <family val="2"/>
    </font>
    <font>
      <sz val="11"/>
      <color indexed="8"/>
      <name val="Calibri"/>
      <family val="2"/>
    </font>
    <font>
      <b/>
      <sz val="11"/>
      <color theme="1"/>
      <name val="Aptos Narrow"/>
      <family val="2"/>
      <scheme val="minor"/>
    </font>
    <font>
      <b/>
      <sz val="11"/>
      <name val="Aptos Narrow"/>
      <family val="2"/>
      <scheme val="minor"/>
    </font>
    <font>
      <sz val="11"/>
      <color rgb="FF000000"/>
      <name val="Aptos Narrow"/>
      <family val="2"/>
      <scheme val="minor"/>
    </font>
    <font>
      <sz val="10"/>
      <name val="Arial"/>
      <family val="2"/>
    </font>
    <font>
      <sz val="10"/>
      <color rgb="FF525252"/>
      <name val="Arial"/>
      <family val="2"/>
    </font>
    <font>
      <sz val="10"/>
      <color theme="0"/>
      <name val="Arial"/>
      <family val="2"/>
    </font>
  </fonts>
  <fills count="11">
    <fill>
      <patternFill patternType="none"/>
    </fill>
    <fill>
      <patternFill patternType="gray125"/>
    </fill>
    <fill>
      <patternFill patternType="solid">
        <fgColor theme="0" tint="-0.14999847407452621"/>
        <bgColor indexed="0"/>
      </patternFill>
    </fill>
    <fill>
      <patternFill patternType="solid">
        <fgColor theme="0" tint="-0.149998474074526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4"/>
        <bgColor indexed="64"/>
      </patternFill>
    </fill>
    <fill>
      <patternFill patternType="solid">
        <fgColor theme="4" tint="0.79998168889431442"/>
        <bgColor indexed="64"/>
      </patternFill>
    </fill>
  </fills>
  <borders count="9">
    <border>
      <left/>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8"/>
      </left>
      <right style="thin">
        <color indexed="8"/>
      </right>
      <top/>
      <bottom style="thin">
        <color indexed="8"/>
      </bottom>
      <diagonal/>
    </border>
    <border>
      <left/>
      <right/>
      <top/>
      <bottom style="thin">
        <color theme="4" tint="0.39997558519241921"/>
      </bottom>
      <diagonal/>
    </border>
    <border>
      <left/>
      <right/>
      <top style="thin">
        <color theme="4" tint="0.39997558519241921"/>
      </top>
      <bottom/>
      <diagonal/>
    </border>
    <border>
      <left style="thin">
        <color indexed="22"/>
      </left>
      <right style="thin">
        <color indexed="22"/>
      </right>
      <top style="thin">
        <color indexed="22"/>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10">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41" fontId="1" fillId="0" borderId="0" applyFont="0" applyFill="0" applyBorder="0" applyAlignment="0" applyProtection="0"/>
  </cellStyleXfs>
  <cellXfs count="90">
    <xf numFmtId="0" fontId="0" fillId="0" borderId="0" xfId="0"/>
    <xf numFmtId="0" fontId="6" fillId="0" borderId="0" xfId="0" applyFont="1" applyAlignment="1">
      <alignment wrapText="1"/>
    </xf>
    <xf numFmtId="14" fontId="6" fillId="0" borderId="0" xfId="0" applyNumberFormat="1" applyFont="1" applyAlignment="1">
      <alignment wrapText="1"/>
    </xf>
    <xf numFmtId="3" fontId="6" fillId="0" borderId="0" xfId="0" applyNumberFormat="1" applyFont="1" applyAlignment="1">
      <alignment wrapText="1"/>
    </xf>
    <xf numFmtId="0" fontId="7" fillId="0" borderId="0" xfId="2" applyFont="1" applyFill="1" applyAlignment="1">
      <alignment wrapText="1"/>
    </xf>
    <xf numFmtId="3" fontId="8" fillId="0" borderId="1" xfId="3" applyNumberFormat="1" applyFont="1" applyBorder="1" applyAlignment="1">
      <alignment horizontal="right" wrapText="1"/>
    </xf>
    <xf numFmtId="9" fontId="8" fillId="0" borderId="1" xfId="1" applyFont="1" applyFill="1" applyBorder="1" applyAlignment="1">
      <alignment horizontal="right" wrapText="1"/>
    </xf>
    <xf numFmtId="3" fontId="7" fillId="0" borderId="0" xfId="2" applyNumberFormat="1" applyFont="1" applyFill="1" applyAlignment="1">
      <alignment wrapText="1"/>
    </xf>
    <xf numFmtId="3" fontId="9" fillId="0" borderId="1" xfId="3" applyNumberFormat="1" applyFont="1" applyBorder="1" applyAlignment="1">
      <alignment horizontal="right" wrapText="1"/>
    </xf>
    <xf numFmtId="164" fontId="9" fillId="0" borderId="1" xfId="3" applyNumberFormat="1" applyFont="1" applyBorder="1" applyAlignment="1">
      <alignment horizontal="right" wrapText="1"/>
    </xf>
    <xf numFmtId="0" fontId="7" fillId="0" borderId="0" xfId="2" applyFont="1" applyFill="1"/>
    <xf numFmtId="0" fontId="2" fillId="0" borderId="0" xfId="0" applyFont="1" applyAlignment="1">
      <alignment wrapText="1"/>
    </xf>
    <xf numFmtId="164" fontId="8" fillId="0" borderId="1" xfId="3" applyNumberFormat="1" applyFont="1" applyBorder="1" applyAlignment="1">
      <alignment horizontal="right" wrapText="1"/>
    </xf>
    <xf numFmtId="10" fontId="8" fillId="0" borderId="1" xfId="1" applyNumberFormat="1" applyFont="1" applyFill="1" applyBorder="1" applyAlignment="1">
      <alignment horizontal="right" wrapText="1"/>
    </xf>
    <xf numFmtId="4" fontId="9" fillId="0" borderId="1" xfId="3" applyNumberFormat="1" applyFont="1" applyBorder="1" applyAlignment="1">
      <alignment horizontal="right" wrapText="1"/>
    </xf>
    <xf numFmtId="165" fontId="8" fillId="0" borderId="1" xfId="1" applyNumberFormat="1" applyFont="1" applyFill="1" applyBorder="1" applyAlignment="1">
      <alignment horizontal="right" wrapText="1"/>
    </xf>
    <xf numFmtId="9" fontId="6" fillId="0" borderId="1" xfId="1" applyFont="1" applyFill="1" applyBorder="1" applyAlignment="1">
      <alignment wrapText="1"/>
    </xf>
    <xf numFmtId="9" fontId="8" fillId="0" borderId="0" xfId="1" applyFont="1" applyFill="1" applyBorder="1" applyAlignment="1">
      <alignment horizontal="right" wrapText="1"/>
    </xf>
    <xf numFmtId="0" fontId="10" fillId="0" borderId="0" xfId="0" applyFont="1" applyAlignment="1">
      <alignment wrapText="1"/>
    </xf>
    <xf numFmtId="0" fontId="8" fillId="0" borderId="0" xfId="4" applyFont="1" applyAlignment="1">
      <alignment wrapText="1"/>
    </xf>
    <xf numFmtId="0" fontId="8" fillId="0" borderId="0" xfId="3" applyFont="1" applyAlignment="1">
      <alignment wrapText="1"/>
    </xf>
    <xf numFmtId="0" fontId="6" fillId="0" borderId="1" xfId="0" applyFont="1" applyBorder="1" applyAlignment="1">
      <alignment wrapText="1"/>
    </xf>
    <xf numFmtId="3" fontId="6" fillId="0" borderId="1" xfId="0" applyNumberFormat="1" applyFont="1" applyBorder="1" applyAlignment="1">
      <alignment wrapText="1"/>
    </xf>
    <xf numFmtId="165" fontId="6" fillId="0" borderId="1" xfId="1" applyNumberFormat="1" applyFont="1" applyFill="1" applyBorder="1" applyAlignment="1">
      <alignment wrapText="1"/>
    </xf>
    <xf numFmtId="4" fontId="6" fillId="0" borderId="0" xfId="0" applyNumberFormat="1" applyFont="1" applyAlignment="1">
      <alignment wrapText="1"/>
    </xf>
    <xf numFmtId="0" fontId="10" fillId="0" borderId="0" xfId="0" applyFont="1"/>
    <xf numFmtId="3" fontId="10" fillId="0" borderId="0" xfId="0" applyNumberFormat="1" applyFont="1"/>
    <xf numFmtId="0" fontId="6" fillId="0" borderId="0" xfId="0" applyFont="1"/>
    <xf numFmtId="0" fontId="5" fillId="2" borderId="3" xfId="3" applyFont="1" applyFill="1" applyBorder="1" applyAlignment="1">
      <alignment horizontal="center" wrapText="1"/>
    </xf>
    <xf numFmtId="0" fontId="5" fillId="3" borderId="3" xfId="3" applyFont="1" applyFill="1" applyBorder="1" applyAlignment="1">
      <alignment horizontal="center" wrapText="1"/>
    </xf>
    <xf numFmtId="164" fontId="5" fillId="2" borderId="3" xfId="3" applyNumberFormat="1" applyFont="1" applyFill="1" applyBorder="1" applyAlignment="1">
      <alignment horizontal="center" wrapText="1"/>
    </xf>
    <xf numFmtId="0" fontId="0" fillId="0" borderId="0" xfId="0" pivotButton="1"/>
    <xf numFmtId="0" fontId="0" fillId="0" borderId="0" xfId="0" applyAlignment="1">
      <alignment horizontal="left"/>
    </xf>
    <xf numFmtId="0" fontId="0" fillId="0" borderId="0" xfId="0" applyNumberFormat="1"/>
    <xf numFmtId="0" fontId="12" fillId="4" borderId="0" xfId="0" applyFont="1" applyFill="1"/>
    <xf numFmtId="0" fontId="12" fillId="4" borderId="0" xfId="0" applyFont="1" applyFill="1" applyAlignment="1">
      <alignment wrapText="1"/>
    </xf>
    <xf numFmtId="0" fontId="13" fillId="4" borderId="0" xfId="0" applyFont="1" applyFill="1"/>
    <xf numFmtId="0" fontId="0" fillId="0" borderId="0" xfId="0" applyAlignment="1">
      <alignment wrapText="1"/>
    </xf>
    <xf numFmtId="0" fontId="14" fillId="0" borderId="0" xfId="0" applyFont="1" applyAlignment="1">
      <alignment horizontal="left" vertical="center" wrapText="1"/>
    </xf>
    <xf numFmtId="0" fontId="0" fillId="0" borderId="0" xfId="0" applyAlignment="1">
      <alignment horizontal="left" vertical="center"/>
    </xf>
    <xf numFmtId="0" fontId="11" fillId="0" borderId="0" xfId="7" applyFont="1" applyAlignment="1">
      <alignment wrapText="1"/>
    </xf>
    <xf numFmtId="0" fontId="11" fillId="0" borderId="0" xfId="8" applyFont="1" applyAlignment="1">
      <alignment wrapText="1"/>
    </xf>
    <xf numFmtId="0" fontId="11" fillId="0" borderId="1" xfId="3" applyFont="1" applyBorder="1" applyAlignment="1">
      <alignment wrapText="1"/>
    </xf>
    <xf numFmtId="0" fontId="0" fillId="0" borderId="1" xfId="0" applyBorder="1" applyAlignment="1">
      <alignment wrapText="1"/>
    </xf>
    <xf numFmtId="0" fontId="11" fillId="0" borderId="0" xfId="6" applyFont="1" applyBorder="1" applyAlignment="1">
      <alignment wrapText="1"/>
    </xf>
    <xf numFmtId="0" fontId="8" fillId="0" borderId="0" xfId="6" applyFont="1" applyBorder="1" applyAlignment="1">
      <alignment wrapText="1"/>
    </xf>
    <xf numFmtId="3" fontId="8" fillId="0" borderId="0" xfId="3" applyNumberFormat="1" applyFont="1" applyBorder="1" applyAlignment="1">
      <alignment horizontal="right" wrapText="1"/>
    </xf>
    <xf numFmtId="4" fontId="0" fillId="0" borderId="1" xfId="0" applyNumberFormat="1" applyBorder="1"/>
    <xf numFmtId="3" fontId="3" fillId="0" borderId="0" xfId="2" applyNumberFormat="1" applyAlignment="1">
      <alignment wrapText="1"/>
    </xf>
    <xf numFmtId="0" fontId="12" fillId="5" borderId="4" xfId="0" applyFont="1" applyFill="1" applyBorder="1"/>
    <xf numFmtId="0" fontId="0" fillId="0" borderId="0" xfId="0" applyAlignment="1">
      <alignment horizontal="left" indent="1"/>
    </xf>
    <xf numFmtId="0" fontId="12" fillId="5" borderId="5" xfId="0" applyNumberFormat="1" applyFont="1" applyFill="1" applyBorder="1"/>
    <xf numFmtId="0" fontId="0" fillId="6" borderId="0" xfId="0" applyFill="1"/>
    <xf numFmtId="0" fontId="12" fillId="6" borderId="4" xfId="0" applyNumberFormat="1" applyFont="1" applyFill="1" applyBorder="1"/>
    <xf numFmtId="0" fontId="0" fillId="6" borderId="0" xfId="0" applyNumberFormat="1" applyFill="1"/>
    <xf numFmtId="0" fontId="0" fillId="7" borderId="0" xfId="0" applyFill="1"/>
    <xf numFmtId="0" fontId="0" fillId="0" borderId="0" xfId="0" applyBorder="1"/>
    <xf numFmtId="0" fontId="6" fillId="0" borderId="0" xfId="0" applyFont="1" applyBorder="1" applyAlignment="1">
      <alignment wrapText="1"/>
    </xf>
    <xf numFmtId="14" fontId="6" fillId="0" borderId="0" xfId="0" applyNumberFormat="1" applyFont="1" applyBorder="1" applyAlignment="1">
      <alignment wrapText="1"/>
    </xf>
    <xf numFmtId="3" fontId="6" fillId="0" borderId="0" xfId="0" applyNumberFormat="1" applyFont="1" applyBorder="1" applyAlignment="1">
      <alignment wrapText="1"/>
    </xf>
    <xf numFmtId="0" fontId="8" fillId="0" borderId="0" xfId="6" applyFont="1" applyFill="1" applyBorder="1" applyAlignment="1">
      <alignment wrapText="1"/>
    </xf>
    <xf numFmtId="0" fontId="6" fillId="0" borderId="6" xfId="0" applyFont="1" applyBorder="1" applyAlignment="1">
      <alignment wrapText="1"/>
    </xf>
    <xf numFmtId="0" fontId="3" fillId="0" borderId="0" xfId="2" applyBorder="1" applyAlignment="1">
      <alignment wrapText="1"/>
    </xf>
    <xf numFmtId="0" fontId="11" fillId="0" borderId="0" xfId="5" applyFont="1" applyBorder="1" applyAlignment="1">
      <alignment wrapText="1"/>
    </xf>
    <xf numFmtId="3" fontId="10" fillId="0" borderId="1" xfId="0" applyNumberFormat="1" applyFont="1" applyBorder="1"/>
    <xf numFmtId="3" fontId="9" fillId="0" borderId="0" xfId="3" applyNumberFormat="1" applyFont="1" applyBorder="1" applyAlignment="1">
      <alignment horizontal="right" wrapText="1"/>
    </xf>
    <xf numFmtId="4" fontId="9" fillId="0" borderId="1" xfId="0" applyNumberFormat="1" applyFont="1" applyBorder="1"/>
    <xf numFmtId="3" fontId="9" fillId="0" borderId="2" xfId="3" applyNumberFormat="1" applyFont="1" applyBorder="1" applyAlignment="1">
      <alignment horizontal="right" wrapText="1"/>
    </xf>
    <xf numFmtId="164" fontId="9" fillId="0" borderId="0" xfId="3" applyNumberFormat="1" applyFont="1" applyBorder="1" applyAlignment="1">
      <alignment horizontal="right" wrapText="1"/>
    </xf>
    <xf numFmtId="0" fontId="6" fillId="8" borderId="0" xfId="0" applyFont="1" applyFill="1" applyAlignment="1">
      <alignment wrapText="1"/>
    </xf>
    <xf numFmtId="0" fontId="6" fillId="7" borderId="0" xfId="0" applyFont="1" applyFill="1" applyAlignment="1">
      <alignment wrapText="1"/>
    </xf>
    <xf numFmtId="0" fontId="0" fillId="0" borderId="0" xfId="0" applyFill="1" applyBorder="1"/>
    <xf numFmtId="0" fontId="0" fillId="0" borderId="0" xfId="0" applyBorder="1" applyAlignment="1">
      <alignment wrapText="1"/>
    </xf>
    <xf numFmtId="0" fontId="0" fillId="5" borderId="7" xfId="0" applyFont="1" applyFill="1" applyBorder="1"/>
    <xf numFmtId="0" fontId="15" fillId="0" borderId="0" xfId="0" applyFont="1" applyAlignment="1">
      <alignment wrapText="1"/>
    </xf>
    <xf numFmtId="0" fontId="3" fillId="0" borderId="0" xfId="2" applyAlignment="1">
      <alignment wrapText="1"/>
    </xf>
    <xf numFmtId="41" fontId="0" fillId="0" borderId="0" xfId="9" applyFont="1"/>
    <xf numFmtId="3" fontId="0" fillId="0" borderId="0" xfId="0" applyNumberFormat="1"/>
    <xf numFmtId="0" fontId="16" fillId="0" borderId="0" xfId="0" applyFont="1"/>
    <xf numFmtId="0" fontId="16" fillId="0" borderId="0" xfId="0" applyFont="1" applyAlignment="1">
      <alignment horizontal="left" vertical="center"/>
    </xf>
    <xf numFmtId="0" fontId="15" fillId="0" borderId="0" xfId="0" applyFont="1"/>
    <xf numFmtId="0" fontId="6" fillId="5" borderId="8" xfId="0" applyFont="1" applyFill="1" applyBorder="1" applyAlignment="1">
      <alignment wrapText="1"/>
    </xf>
    <xf numFmtId="0" fontId="6" fillId="0" borderId="8" xfId="0" applyFont="1" applyFill="1" applyBorder="1" applyAlignment="1">
      <alignment wrapText="1"/>
    </xf>
    <xf numFmtId="0" fontId="0" fillId="0" borderId="7" xfId="0" applyFont="1" applyFill="1" applyBorder="1"/>
    <xf numFmtId="0" fontId="0" fillId="9" borderId="0" xfId="0" applyFill="1"/>
    <xf numFmtId="0" fontId="17" fillId="9" borderId="0" xfId="0" applyFont="1" applyFill="1"/>
    <xf numFmtId="46" fontId="0" fillId="0" borderId="0" xfId="0" applyNumberFormat="1"/>
    <xf numFmtId="0" fontId="16" fillId="0" borderId="0" xfId="0" applyFont="1" applyAlignment="1"/>
    <xf numFmtId="0" fontId="0" fillId="0" borderId="0" xfId="0" applyFill="1"/>
    <xf numFmtId="0" fontId="0" fillId="10" borderId="0" xfId="0" applyFill="1"/>
  </cellXfs>
  <cellStyles count="10">
    <cellStyle name="Hipervínculo" xfId="2" builtinId="8"/>
    <cellStyle name="Millares [0]" xfId="9" builtinId="6"/>
    <cellStyle name="Normal" xfId="0" builtinId="0"/>
    <cellStyle name="Normal_Acc_indirectos_20231213" xfId="4" xr:uid="{6B6BC0B8-E100-4969-803B-2B212E7EB7B4}"/>
    <cellStyle name="Normal_Accionista_directo_20231213" xfId="5" xr:uid="{0562E2F8-AB85-4619-8291-99E2ACAF39DA}"/>
    <cellStyle name="Normal_Compara" xfId="8" xr:uid="{D3A3FCCE-E237-4FD3-B761-F19E0ECF2828}"/>
    <cellStyle name="Normal_GENE_00" xfId="7" xr:uid="{CDD801E8-305A-4142-BB81-22AC50CBF080}"/>
    <cellStyle name="Normal_Hoja1" xfId="3" xr:uid="{943576B2-ADC2-42FF-B2A9-2ACE4337BDFD}"/>
    <cellStyle name="Normal_Hoja4" xfId="6" xr:uid="{84239E63-E84F-41D3-AB64-BCC2124F9300}"/>
    <cellStyle name="Porcentaje" xfId="1" builtinId="5"/>
  </cellStyles>
  <dxfs count="51">
    <dxf>
      <fill>
        <patternFill patternType="solid">
          <fgColor rgb="FFFFFF00"/>
          <bgColor rgb="FF000000"/>
        </patternFill>
      </fill>
    </dxf>
    <dxf>
      <font>
        <b val="0"/>
        <i val="0"/>
        <strike val="0"/>
        <condense val="0"/>
        <extend val="0"/>
        <outline val="0"/>
        <shadow val="0"/>
        <u val="none"/>
        <vertAlign val="baseline"/>
        <sz val="10"/>
        <color rgb="FF525252"/>
        <name val="Arial"/>
        <family val="2"/>
        <scheme val="none"/>
      </font>
    </dxf>
    <dxf>
      <numFmt numFmtId="3" formatCode="#,##0"/>
    </dxf>
    <dxf>
      <numFmt numFmtId="3" formatCode="#,##0"/>
    </dxf>
    <dxf>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auto="1"/>
        <name val="Aptos Narrow"/>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style="thin">
          <color theme="4" tint="0.39997558519241921"/>
        </left>
        <right/>
        <top style="thin">
          <color theme="4" tint="0.39997558519241921"/>
        </top>
        <bottom style="thin">
          <color theme="4" tint="0.39997558519241921"/>
        </bottom>
        <vertical/>
        <horizontal/>
      </border>
    </dxf>
    <dxf>
      <fill>
        <patternFill patternType="solid">
          <fgColor indexed="64"/>
          <bgColor theme="7" tint="0.79998168889431442"/>
        </patternFill>
      </fill>
    </dxf>
    <dxf>
      <font>
        <b val="0"/>
        <i val="0"/>
        <strike val="0"/>
        <condense val="0"/>
        <extend val="0"/>
        <outline val="0"/>
        <shadow val="0"/>
        <u val="none"/>
        <vertAlign val="baseline"/>
        <sz val="11"/>
        <color auto="1"/>
        <name val="Aptos Narrow"/>
        <family val="2"/>
        <scheme val="minor"/>
      </font>
    </dxf>
    <dxf>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numFmt numFmtId="0" formatCode="General"/>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border outline="0">
        <top style="thin">
          <color indexed="8"/>
        </top>
      </border>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border outline="0">
        <bottom style="thin">
          <color indexed="8"/>
        </bottom>
      </border>
    </dxf>
    <dxf>
      <font>
        <b/>
        <i val="0"/>
        <strike val="0"/>
        <condense val="0"/>
        <extend val="0"/>
        <outline val="0"/>
        <shadow val="0"/>
        <u val="none"/>
        <vertAlign val="baseline"/>
        <sz val="11"/>
        <color auto="1"/>
        <name val="Calibri"/>
        <family val="2"/>
        <scheme val="none"/>
      </font>
      <fill>
        <patternFill patternType="solid">
          <fgColor indexed="0"/>
          <bgColor theme="0" tint="-0.14999847407452621"/>
        </patternFill>
      </fill>
      <alignment horizontal="center" vertical="bottom" textRotation="0" wrapText="1" indent="0" justifyLastLine="0" shrinkToFit="0" readingOrder="0"/>
      <border diagonalUp="0" diagonalDown="0" outline="0">
        <left style="thin">
          <color indexed="8"/>
        </left>
        <right style="thin">
          <color indexed="8"/>
        </right>
        <top/>
        <bottom/>
      </border>
    </dxf>
    <dxf>
      <fill>
        <patternFill patternType="solid">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21.725929398148" createdVersion="8" refreshedVersion="8" minRefreshableVersion="3" recordCount="127" xr:uid="{FC6B73AC-715E-43AB-AD41-6F594B15BB07}">
  <cacheSource type="worksheet">
    <worksheetSource name="Tabla1"/>
  </cacheSource>
  <cacheFields count="32">
    <cacheField name="Código proyecto" numFmtId="0">
      <sharedItems/>
    </cacheField>
    <cacheField name="Nombre de la Concesión " numFmtId="0">
      <sharedItems containsBlank="1"/>
    </cacheField>
    <cacheField name="NUM_Lic" numFmtId="0">
      <sharedItems containsString="0" containsBlank="1" containsNumber="1" containsInteger="1" minValue="1" maxValue="4"/>
    </cacheField>
    <cacheField name="Nombre de uso común" numFmtId="0">
      <sharedItems containsBlank="1"/>
    </cacheField>
    <cacheField name="Descripción " numFmtId="0">
      <sharedItems containsBlank="1" containsMixedTypes="1" containsNumber="1" containsInteger="1" minValue="0" maxValue="0" longText="1"/>
    </cacheField>
    <cacheField name="Sector del proyecto" numFmtId="0">
      <sharedItems count="7">
        <s v="Vial interurbana"/>
        <s v="Aeroportuaria"/>
        <s v="Vial urbana"/>
        <s v="Soluciones hídricas"/>
        <s v="Penitenciaria"/>
        <s v="Edificación pública y equipamiento urbano"/>
        <s v="Hospitalaria"/>
      </sharedItems>
    </cacheField>
    <cacheField name="Región geográfica" numFmtId="0">
      <sharedItems containsBlank="1"/>
    </cacheField>
    <cacheField name="Link a mapa página web" numFmtId="0">
      <sharedItems containsBlank="1"/>
    </cacheField>
    <cacheField name="Origen" numFmtId="0">
      <sharedItems containsBlank="1"/>
    </cacheField>
    <cacheField name="Fecha resolución declaración interes público" numFmtId="14">
      <sharedItems containsDate="1" containsBlank="1" containsMixedTypes="1" minDate="1998-11-20T00:00:00" maxDate="2016-06-11T00:00:00"/>
    </cacheField>
    <cacheField name="Presupuesto oficial estimado" numFmtId="3">
      <sharedItems containsString="0" containsBlank="1" containsNumber="1" minValue="70800" maxValue="35970000"/>
    </cacheField>
    <cacheField name="Moneda" numFmtId="0">
      <sharedItems containsBlank="1"/>
    </cacheField>
    <cacheField name="Link pagina web concesiones" numFmtId="0">
      <sharedItems containsBlank="1"/>
    </cacheField>
    <cacheField name="ESTADO" numFmtId="0">
      <sharedItems count="4">
        <s v="Finalizado"/>
        <s v="Construcción y Operación"/>
        <s v="Operación"/>
        <s v="Construcción"/>
      </sharedItems>
    </cacheField>
    <cacheField name="Metodo de licitación" numFmtId="0">
      <sharedItems containsBlank="1"/>
    </cacheField>
    <cacheField name="Variable(s) de licitación" numFmtId="0">
      <sharedItems containsBlank="1"/>
    </cacheField>
    <cacheField name="Fecha llamado a licitación" numFmtId="14">
      <sharedItems containsNonDate="0" containsDate="1" containsString="0" containsBlank="1" minDate="1992-11-01T00:00:00" maxDate="2024-11-22T00:00:00"/>
    </cacheField>
    <cacheField name="Fecha recepción ofertas" numFmtId="14">
      <sharedItems containsNonDate="0" containsDate="1" containsString="0" containsBlank="1" minDate="1992-12-29T00:00:00" maxDate="2025-07-30T00:00:00"/>
    </cacheField>
    <cacheField name="Fecha apertura económica" numFmtId="14">
      <sharedItems containsNonDate="0" containsDate="1" containsString="0" containsBlank="1" minDate="1993-02-12T00:00:00" maxDate="2025-08-21T00:00:00"/>
    </cacheField>
    <cacheField name="Fecha decreto adjudicación" numFmtId="14">
      <sharedItems containsNonDate="0" containsDate="1" containsString="0" containsBlank="1" minDate="1993-04-08T00:00:00" maxDate="2025-10-24T00:00:00"/>
    </cacheField>
    <cacheField name="Fecha publicación decreto adjudicación" numFmtId="14">
      <sharedItems containsNonDate="0" containsDate="1" containsString="0" containsBlank="1" minDate="1993-06-22T00:00:00" maxDate="2026-06-06T00:00:00"/>
    </cacheField>
    <cacheField name="Rut sociedad Concesionaria" numFmtId="0">
      <sharedItems containsBlank="1"/>
    </cacheField>
    <cacheField name="Nombre sociedad concesionaria" numFmtId="0">
      <sharedItems containsBlank="1"/>
    </cacheField>
    <cacheField name="Link a CMF de SC" numFmtId="0">
      <sharedItems containsBlank="1"/>
    </cacheField>
    <cacheField name="Fecha inicio del contrato de concesión" numFmtId="14">
      <sharedItems containsNonDate="0" containsDate="1" containsString="0" containsBlank="1" minDate="1993-09-13T00:00:00" maxDate="2026-01-06T00:00:00"/>
    </cacheField>
    <cacheField name="Fecha término de la concesión" numFmtId="14">
      <sharedItems containsNonDate="0" containsDate="1" containsString="0" containsBlank="1" minDate="2005-12-13T00:00:00" maxDate="2070-06-05T00:00:00"/>
    </cacheField>
    <cacheField name="Plazo fijo / variable " numFmtId="0">
      <sharedItems containsBlank="1"/>
    </cacheField>
    <cacheField name="Fecha inicio de obras" numFmtId="0">
      <sharedItems containsDate="1" containsBlank="1" containsMixedTypes="1" minDate="2001-12-03T00:00:00" maxDate="2025-11-12T00:00:00"/>
    </cacheField>
    <cacheField name="Fecha puesta servicio provisorio" numFmtId="0">
      <sharedItems containsDate="1" containsBlank="1" containsMixedTypes="1" minDate="1995-09-13T00:00:00" maxDate="2025-12-31T00:00:00"/>
    </cacheField>
    <cacheField name="Fecha puesta servicio definitivo" numFmtId="0">
      <sharedItems containsDate="1" containsBlank="1" containsMixedTypes="1" minDate="1996-07-02T00:00:00" maxDate="2024-08-18T00:00:00"/>
    </cacheField>
    <cacheField name="Inversión Materializada estimada" numFmtId="0">
      <sharedItems containsString="0" containsBlank="1" containsNumber="1" minValue="7780.25" maxValue="35970000"/>
    </cacheField>
    <cacheField name="% Avance obras físicas" numFmtId="0">
      <sharedItems containsBlank="1" containsMixedTypes="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s v="001_TEME1"/>
    <s v="Túnel El Melón"/>
    <n v="1"/>
    <s v="Primera concesión Túnel El Melón"/>
    <s v="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
    <x v="0"/>
    <s v="Valparaíso"/>
    <s v="Sitio en construcción"/>
    <s v="Público"/>
    <s v=""/>
    <n v="587208.35782083974"/>
    <s v="UF"/>
    <s v="https://concesiones.mop.gob.cl/project/primera-concesion-tunel-el-melon/"/>
    <x v="0"/>
    <s v="Sólo licitación pública"/>
    <s v="Nivel y estructura de tarifa; Plazo; menor Subsidio o mayor Pagos; Ingresos garantizados; Riesgo oferente; Fórmula reajuste tarifa; Calificación de servicios adicionales."/>
    <d v="1992-11-01T00:00:00"/>
    <d v="1992-12-29T00:00:00"/>
    <d v="1993-02-12T00:00:00"/>
    <d v="1993-04-08T00:00:00"/>
    <d v="1993-06-22T00:00:00"/>
    <s v="96671360-7"/>
    <s v="TÚNEL EL MELÓN SA"/>
    <s v="SIN"/>
    <d v="1993-09-13T00:00:00"/>
    <d v="2016-06-29T00:00:00"/>
    <s v="Fijo"/>
    <s v="SD"/>
    <d v="1995-09-13T00:00:00"/>
    <d v="1996-07-02T00:00:00"/>
    <n v="1602634.08"/>
    <n v="1"/>
  </r>
  <r>
    <s v="002_CDMA1"/>
    <s v="Camino de la Madera"/>
    <n v="1"/>
    <s v="Primera concesión Camino de la Madera"/>
    <s v="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_x000a__x000a_La iniciativa incluyó también el mejoramiento de los caminos existentes y nuevas obras como enlaces y retornos, entre otros."/>
    <x v="0"/>
    <s v="Biobío"/>
    <s v="Sitio en construcción"/>
    <s v="Público"/>
    <s v=""/>
    <n v="600000"/>
    <s v="UF"/>
    <s v="https://concesiones.mop.gob.cl/project/camino-de-la-madera/"/>
    <x v="0"/>
    <s v="Sólo licitación pública"/>
    <s v="Nivel y estructura de tarifa; Plazo; menor Subsidio o mayor  Pagos; Ingresos garantizados; Riesgo oferente; Fórmula reajuste tarifa; Calificación de servicios adicionales."/>
    <d v="1993-06-02T00:00:00"/>
    <d v="1994-03-22T00:00:00"/>
    <d v="1994-04-21T00:00:00"/>
    <d v="1994-04-29T00:00:00"/>
    <d v="1994-07-04T00:00:00"/>
    <s v="96704590-K"/>
    <s v="CAMINO DE LA MADERA SOCIEDAD CONCESIONARIA S.A."/>
    <s v="https://www.cmfchile.cl/institucional/mercados/entidad.php?auth=&amp;send=&amp;mercado=O&amp;rut=96704590&amp;grupo=&amp;tipoentidad=RGEIN&amp;vig=NV&amp;row=AAAwy2ACTAAAAWcAAb&amp;control=svs&amp;pestania=1"/>
    <d v="1994-06-24T00:00:00"/>
    <d v="2012-12-31T00:00:00"/>
    <s v="Fijo"/>
    <s v="SD"/>
    <d v="1996-11-22T00:00:00"/>
    <d v="1996-07-02T00:00:00"/>
    <n v="1090333.0000000002"/>
    <n v="1"/>
  </r>
  <r>
    <s v="125_ARNO1"/>
    <s v="Red Aeroportuaria Norte"/>
    <n v="1"/>
    <s v="Primera concesión Red Aeroportuaria Norte (2° concesión A. Regional de Atacama y 3° concesión A. Andrés Sabella)"/>
    <s v="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
    <x v="1"/>
    <s v="Antofagasta;  Atacama"/>
    <s v="Sitio en construcción"/>
    <s v="Público"/>
    <m/>
    <n v="7012000"/>
    <s v="UF"/>
    <s v="https://concesiones.mop.gob.cl/project/red-aeroportuaria-norte-andres-sabella-3a-y-desierto-de-atacama-2-a/"/>
    <x v="1"/>
    <s v="Sólo licitación pública"/>
    <s v="Ingresos totales de la concesión."/>
    <d v="2023-12-29T00:00:00"/>
    <d v="2024-07-10T00:00:00"/>
    <d v="2024-08-02T00:00:00"/>
    <d v="2024-10-04T00:00:00"/>
    <d v="2024-11-13T00:00:00"/>
    <s v="77996929-0"/>
    <s v="Sociedad Concesionaria Aeropuerto del Norte S.A."/>
    <s v="https://www.cmfchile.cl/institucional/mercados/entidad.php?auth=&amp;send=&amp;mercado=O&amp;rut=77996929&amp;grupo=&amp;tipoentidad=RGEIN&amp;vig=VI&amp;row=AAAwy2ACTAAACiqAAG&amp;control=svs&amp;pestania=1"/>
    <d v="2024-11-13T00:00:00"/>
    <d v="2050-11-13T00:00:00"/>
    <s v="Variable"/>
    <s v="sin inicio"/>
    <s v="En fase de construcción"/>
    <s v="En fase de construcción"/>
    <n v="7012000"/>
    <n v="0"/>
  </r>
  <r>
    <s v="122_NARA2"/>
    <s v="Aeropuerto de la Región de La Araucanía"/>
    <n v="2"/>
    <s v="Segunda Concesión Aeropuerto Región de la Araucanía"/>
    <s v="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_x000a_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
    <x v="1"/>
    <s v="Araucanía"/>
    <s v="Sitio en construcción"/>
    <s v="Público"/>
    <m/>
    <n v="3070000"/>
    <s v="UF"/>
    <s v="https://concesiones.mop.gob.cl/project/segunda-concesion-aeropuerto-de-la-region-de-la-araucania/"/>
    <x v="1"/>
    <s v="Sólo licitación pública"/>
    <s v="Subsidio fijo a la construción ó Ingresos totales por pasajero embarcado"/>
    <d v="2023-11-03T00:00:00"/>
    <d v="2023-11-22T00:00:00"/>
    <d v="2024-12-20T00:00:00"/>
    <d v="2025-03-21T00:00:00"/>
    <d v="2025-08-19T00:00:00"/>
    <s v="78.159.936-0"/>
    <s v="Sociedad concesionaria nuevo aeropuerto Araucanía SA"/>
    <s v="https://www.cmfchile.cl/institucional/mercados/entidad.php?mercado=O&amp;rut=78159936&amp;tipoentidad=RGEIN&amp;vig=VI&amp;control=svs&amp;pestania=1"/>
    <d v="2025-08-19T00:00:00"/>
    <d v="2051-08-19T00:00:00"/>
    <s v="Variable"/>
    <s v="sin inicio"/>
    <s v="En fase de construcción"/>
    <s v="En fase de construcción"/>
    <n v="3070000"/>
    <n v="0"/>
  </r>
  <r>
    <s v="005_ANCO1"/>
    <s v="Acceso Norte a Concepción"/>
    <n v="1"/>
    <s v="Primera concesión Ruta del Itata"/>
    <s v="Autopista de doble calzada que se extiende por 75 km, desde el km 413,2 de la Ruta 5 Sur (aproximadamente 11 km al sur de Chillán) hasta su empalme con la Ruta 150 CH que une a Penco con Concepción, en la Región del Bío Bío._x000a__x000a_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_x000a__x000a_También presenta cinco enlaces, un puente sobre el Río Itata, dos pasos sobre la línea férrea y 73 pasos desnivelados, mejorando la conectividad de la región con el resto del país."/>
    <x v="0"/>
    <s v="Ñuble; Biobío"/>
    <s v="Sitio en construcción"/>
    <s v="Público"/>
    <s v=""/>
    <n v="3403643"/>
    <s v="UF"/>
    <s v="https://concesiones.mop.gob.cl/project/ruta-del-itata-concesion-acceso-norte-a-concepcion/"/>
    <x v="0"/>
    <s v="Sólo licitación pública"/>
    <s v="Nivel de tarifa; Subsidio."/>
    <d v="1994-11-07T00:00:00"/>
    <d v="1994-11-15T00:00:00"/>
    <d v="1994-12-30T00:00:00"/>
    <d v="1995-01-06T00:00:00"/>
    <d v="1995-04-05T00:00:00"/>
    <s v="96751030-0"/>
    <s v="SOC CONCESIONARIA AUTOPISTA DEL ITATA S A"/>
    <s v="https://www.cmfchile.cl/institucional/mercados/entidad.php?auth=&amp;send=&amp;mercado=O&amp;rut=96751030&amp;grupo=&amp;tipoentidad=RGEIN&amp;vig=VI&amp;row=AAAwy2ACTAAABy3AAY&amp;control=svs&amp;pestania=1"/>
    <d v="1995-04-12T00:00:00"/>
    <d v="2025-03-31T00:00:00"/>
    <s v="Fijo"/>
    <s v="SD"/>
    <d v="1998-07-23T00:00:00"/>
    <d v="1998-12-31T00:00:00"/>
    <n v="7091175.5760826981"/>
    <n v="1"/>
  </r>
  <r>
    <s v="006_SASA1"/>
    <s v="Autopista Santiago - San Antonio, Ruta 78"/>
    <n v="1"/>
    <s v="Primera concesión Autopista Santiago - San Antonio, Ruta 78"/>
    <s v="Esta concesión finalizó el 21 de marzo de 2022 y consideró la construcción y operación de la Autopista Santiago-San Antonio, también conocida como Ruta 78 y Autopista del Sol, de 131,4 km de extensión._x000a__x000a_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_x000a__x000a_La obra fue relicitada y en la actualidad está vigente la segunda concesión."/>
    <x v="0"/>
    <s v="Valparaíso; Metropolitana de Santiago"/>
    <s v="Sitio en construcción"/>
    <s v="Público"/>
    <s v=""/>
    <n v="3654770"/>
    <s v="UF"/>
    <s v="https://concesiones.mop.gob.cl/project/primera-concesion-autopista-santiago-san-antonio-ruta-78/"/>
    <x v="0"/>
    <s v="Sólo licitación pública"/>
    <s v="Nivel de tarifa; Subsidio; Otros (i)"/>
    <d v="1994-12-23T00:00:00"/>
    <d v="1995-04-12T00:00:00"/>
    <d v="1995-05-31T00:00:00"/>
    <d v="1995-06-16T00:00:00"/>
    <d v="1995-08-24T00:00:00"/>
    <s v="96762780-1"/>
    <s v="SOC CONCESIONARIA AUTOPISTA DEL SOL S A"/>
    <s v="ttps://www.cmfchile.cl/institucional/mercados/entidad.php?auth=&amp;send=&amp;mercado=O&amp;rut=96762780&amp;grupo=&amp;tipoentidad=RGEIN&amp;vig=VI&amp;row=AAAwy2ACTAAAAWfAAK&amp;control=svs&amp;pestania=1"/>
    <d v="1995-09-21T00:00:00"/>
    <d v="2022-03-21T00:00:00"/>
    <s v="Fijo"/>
    <s v="SD"/>
    <d v="1999-08-21T00:00:00"/>
    <d v="2001-06-08T00:00:00"/>
    <n v="7424103.2967182985"/>
    <n v="1"/>
  </r>
  <r>
    <s v="007_CNPU1"/>
    <s v="Camino Nogales - Puchuncaví"/>
    <n v="1"/>
    <s v="Primera concesión Camino Nogales - Puchuncaví"/>
    <s v="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_x000a__x000a_La obra fue relicitada y en la actualidad está vigente la segunda concesión."/>
    <x v="0"/>
    <s v="Valparaíso"/>
    <s v="Sitio en construcción"/>
    <s v="Público"/>
    <s v=""/>
    <n v="298000"/>
    <s v="UF"/>
    <s v="https://concesiones.mop.gob.cl/project/primera-concesion-camino-nogales-puchuncavi/"/>
    <x v="0"/>
    <s v="Sólo licitación pública"/>
    <s v="Nivel de tarifa; Subsidio."/>
    <d v="1995-02-28T00:00:00"/>
    <d v="1995-06-01T00:00:00"/>
    <d v="1995-07-04T00:00:00"/>
    <d v="1995-07-28T00:00:00"/>
    <d v="1995-11-03T00:00:00"/>
    <s v="96771870-k"/>
    <s v="SOCIEDAD CONCESIONARIA CAMINO NOGALES PUCHUNCAVI S.A."/>
    <s v="https://www.cmfchile.cl/institucional/mercados/entidad.php?mercado=O&amp;rut=96771870&amp;grupo=&amp;tipoentidad=RGEIN&amp;row=AAAwy2ACTAAAAWcAAS&amp;vig=NV&amp;control=svs&amp;pestania=5"/>
    <d v="1995-11-08T00:00:00"/>
    <d v="2016-08-31T00:00:00"/>
    <s v="Variable"/>
    <s v="SD"/>
    <d v="1997-03-15T00:00:00"/>
    <d v="1997-10-29T00:00:00"/>
    <n v="430872.77"/>
    <n v="1"/>
  </r>
  <r>
    <s v="008_AVAM1"/>
    <s v="Acceso Vial Aeropuerto Arturo Merino Benítez"/>
    <n v="1"/>
    <s v="Primera concesión Acceso Vial Aeropuerto Arturo Merino Benítez"/>
    <s v="Esta concesión finalizó en septiembre de 2008 y consideró la construcción y operación de una ruta de doble calzada de 2,2 km de extensión, que une la Avenida Américo Vespucio con el Aeropuerto Arturo Merino Benítez._x000a__x000a_El proyecto, además de la construcción y operación de la nueva vialidad, incluyó el desarrollo de enlaces y señalética de seguridad, entre otros._x000a__x000a_La obra fue relicitada y en la actualidad está vigente la segunda concesión."/>
    <x v="2"/>
    <s v="Metropolitana de Santiago"/>
    <s v="Sitio en construcción"/>
    <s v="Privado"/>
    <s v=""/>
    <n v="279990"/>
    <s v="UF"/>
    <s v="https://concesiones.mop.gob.cl/project/primera-concesion-acceso-vial-aeropuerto-arturo-merino-benitez/"/>
    <x v="0"/>
    <s v="Sólo licitación pública"/>
    <s v="Nivel de tarifa."/>
    <d v="1995-07-01T00:00:00"/>
    <d v="1995-09-12T00:00:00"/>
    <d v="1995-10-27T00:00:00"/>
    <d v="1996-01-12T00:00:00"/>
    <d v="1996-03-08T00:00:00"/>
    <s v="96784130-7"/>
    <s v="SOCIEDAD CONCESIONARIA AEROVIAS S.A."/>
    <s v="https://www.cmfchile.cl/institucional/mercados/entidad.php?auth=&amp;send=&amp;mercado=V&amp;rut=96784130&amp;grupo=&amp;tipoentidad=RVEMI&amp;vig=NV&amp;row=AAAwy2ACTAAABzAAAo&amp;control=svs&amp;pestania=1"/>
    <d v="1996-04-04T00:00:00"/>
    <d v="2008-10-21T00:00:00"/>
    <s v="Fijo"/>
    <s v="SD"/>
    <s v="SD"/>
    <s v="SD"/>
    <n v="349331.12000000005"/>
    <n v="1"/>
  </r>
  <r>
    <s v="009_TACH1"/>
    <s v="Concesión Ruta 5 Tramo Talca - Chillán"/>
    <n v="1"/>
    <s v="Primera concesión Concesión Ruta 5 Tramo Talca - Chillán"/>
    <s v="Esta concesión finalizó en marzo de 2021 y consideró la construcción y operación de una autopista de doble calzada de 193,3 km de longitud que corresponde al tramo Talca-Chillán de la Ruta 5 Sur que se emplaza entre las regiones del Maule y Ñuble._x000a__x000a_La obra consideró el desarrollo de intersecciones a desnivel, además del mejoramiento de las calzadas existentes lo que permite garantizar velocidades de diseño de 120 km/hr._x000a__x000a_También se construyeron nuevos puentes y se mejoraron los existentes. El principal beneficio de esta autopista es el estándar de doble calzada que permite mejorar los tiempos de desplazamiento y la conectividad._x000a__x000a_La obra fue relicitada y en la actualidad está vigente la segunda concesión."/>
    <x v="0"/>
    <s v="Maule; Ñuble"/>
    <s v="Sitio en construcción"/>
    <s v="Público"/>
    <s v=""/>
    <n v="4500000"/>
    <s v="UF"/>
    <s v="https://concesiones.mop.gob.cl/project/primera-concesion-ruta-5-tramo-talca-chillan/"/>
    <x v="0"/>
    <s v="Licitación pública con preselección"/>
    <s v="Nivel de tarifa; Plazo."/>
    <d v="1995-11-01T00:00:00"/>
    <d v="1995-12-11T00:00:00"/>
    <d v="1995-12-27T00:00:00"/>
    <d v="1996-01-12T00:00:00"/>
    <d v="1996-03-13T00:00:00"/>
    <s v="96787910-K"/>
    <s v="RUTA DEL MAULE SOCIEDAD CONCESIONARIA S.A."/>
    <s v="https://www.cmfchile.cl/institucional/mercados/entidad.php?auth=&amp;send=&amp;mercado=O&amp;rut=96787910&amp;grupo=&amp;tipoentidad=RGEIN&amp;vig=VI&amp;row=AAAwy2ACTAAABywAAA&amp;control=svs&amp;pestania=1"/>
    <d v="1996-03-13T00:00:00"/>
    <d v="2021-03-31T00:00:00"/>
    <s v="Variable"/>
    <s v="SD"/>
    <d v="1999-10-11T00:00:00"/>
    <d v="2000-04-24T00:00:00"/>
    <n v="8790422.5669340007"/>
    <n v="1"/>
  </r>
  <r>
    <s v="010_SCLA1"/>
    <s v="Camino Santiago - Colina - Los Andes"/>
    <n v="1"/>
    <s v="Primera concesión Camino Santiago - Colina - Los Andes"/>
    <s v="Autopista de 116 km de extensión que conecta la capital y el corredor Bioceánico Cristo Redentor y así como Valparaíso con el Paso Los Libertadores (frontera con Argentina), es por ello que esta ruta constituye un eje fundamental para el transporte terrestre._x000a__x000a_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_x000a__x000a_La ruta recorre las comunas de Los Andes, Rinconada y Calle Larga, en la Región de Valparaíso y Quilicura, Huechuraba y Colina, en la Región Metropolitana."/>
    <x v="0"/>
    <s v="Valparaíso; Metropolitana de Santiago"/>
    <s v="Sitio en construcción"/>
    <s v="Privado"/>
    <s v=""/>
    <n v="3700000"/>
    <s v="UF"/>
    <s v="https://concesiones.mop.gob.cl/project/concesion-ruta-57-santiago-colina-los-andes/"/>
    <x v="2"/>
    <s v="Licitación pública con preselección"/>
    <s v="Nivel de tarifa:Plazo; Pagos."/>
    <d v="1996-04-25T00:00:00"/>
    <d v="1996-10-04T00:00:00"/>
    <d v="1996-10-25T00:00:00"/>
    <d v="1996-12-19T00:00:00"/>
    <d v="1997-02-12T00:00:00"/>
    <s v="96818910-7"/>
    <s v="SOC CONCESIONARIA AUTOPISTA LOS LIBERTADORES S A"/>
    <s v="https://www.cmfchile.cl/institucional/mercados/entidad.php?auth=&amp;send=&amp;mercado=O&amp;rut=96818910&amp;grupo=&amp;tipoentidad=RGEIN&amp;vig=VI&amp;row=AAAwy2ACTAAAAWfAAA&amp;control=svs&amp;pestania=1"/>
    <d v="1997-10-08T00:00:00"/>
    <d v="2027-01-08T00:00:00"/>
    <s v="Fijo"/>
    <s v="SD"/>
    <d v="2000-09-26T00:00:00"/>
    <d v="2001-12-07T00:00:00"/>
    <n v="5454253.2500000009"/>
    <n v="1"/>
  </r>
  <r>
    <s v="011_SALV1"/>
    <s v="Concesión Ruta 5 Tramo Santiago - Los Vilos"/>
    <n v="1"/>
    <s v="Primera concesión Concesión Ruta 5 Tramo Santiago - Los Vilos"/>
    <s v="Corresponde a la ejecución, conservación y explotación de una autopista de 218,24 kms. de longitud en la Ruta 5 Norte, que se extiende entre los km. 10,8, en Quilicura, y el km. 229,1 en Los Vilos._x000a__x000a_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_x000a__x000a_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_x000a__x000a_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_x000a__x000a_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_x000a__x000a_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_x000a__x000a_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
    <x v="0"/>
    <s v="Coquimbo; Valparaíso; Metropolitana de Santiago"/>
    <s v="Sitio en construcción"/>
    <s v="Público"/>
    <s v=""/>
    <n v="8200000"/>
    <s v="UF"/>
    <s v="https://concesiones.mop.gob.cl/project/concesion-ruta-5-tramo-santiago-los-vilos/"/>
    <x v="0"/>
    <s v="Licitación pública con preselección"/>
    <s v="Nivel de tarifa; Plazo; Pagos."/>
    <d v="1996-05-30T00:00:00"/>
    <d v="1996-06-28T00:00:00"/>
    <d v="1996-07-17T00:00:00"/>
    <d v="1996-10-14T00:00:00"/>
    <d v="1997-03-03T00:00:00"/>
    <s v="96820630-3"/>
    <s v="SOC CONCESIONARIA AUTOPISTA DEL ACONCAGUA S A"/>
    <s v="https://www.cmfchile.cl/institucional/mercados/entidad.php?auth=&amp;send=&amp;mercado=O&amp;rut=96820630&amp;grupo=&amp;tipoentidad=RGEIN&amp;vig=VI&amp;row=AAAwy2ACTAAABy3AAa&amp;control=svs&amp;pestania=1"/>
    <d v="1997-03-03T00:00:00"/>
    <d v="2025-03-31T00:00:00"/>
    <s v="Fijo"/>
    <s v="SD"/>
    <d v="2001-12-31T00:00:00"/>
    <d v="2002-12-24T00:00:00"/>
    <n v="20847627.600917093"/>
    <n v="1"/>
  </r>
  <r>
    <s v="012_ISVV1"/>
    <s v="Interconexión Vial Santiago - Valparaíso - Viña del Mar"/>
    <n v="1"/>
    <s v="Primera concesión Interconexión Vial Santiago - Valparaíso - Viña del Mar"/>
    <s v="Esta interconexión vial comprende un total de 141,3 km compuestos por 109,6 km de la Ruta 68; 21,0 km de la Ruta 62 (Troncal Sur) y 10,7 km de la Ruta 60-CH (Vía Las Palmas). Esta vía constituye la principal ruta que conecta las regiones Metropolitana y de Valparaíso._x000a__x000a_Cuenta con cuatro túneles, 16 puentes, 22 enlaces y catorce atraviesos, a ello se suma 40,2 km de calles de servicio urbanas, 19,6 km de calles de servicio rural y quince pasarelas peatonales, entre otros._x000a__x000a_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
    <x v="0"/>
    <s v="Valparaíso; Metropolitana de Santiago"/>
    <s v="Sitio en construcción"/>
    <s v="Público"/>
    <s v=""/>
    <n v="12090000"/>
    <s v="UF"/>
    <s v="https://concesiones.mop.gob.cl/project/concesion-interconexion-vial-santiago-valparaiso-vina-del-mar-ruta-68/"/>
    <x v="0"/>
    <s v="Licitación pública con preselección"/>
    <s v="Ingresos totales de la concesión."/>
    <d v="1996-06-03T00:00:00"/>
    <d v="1998-02-02T00:00:00"/>
    <d v="1998-02-19T00:00:00"/>
    <d v="1998-05-29T00:00:00"/>
    <d v="1998-08-31T00:00:00"/>
    <s v="96873140-8"/>
    <s v="SOC CONCESIONARIA RUTAS DEL PACIFICO S A"/>
    <s v="https://www.cmfchile.cl/institucional/mercados/entidad.php?auth=&amp;send=&amp;mercado=O&amp;rut=96873140&amp;grupo=&amp;tipoentidad=RGEIN&amp;vig=VI&amp;row=AAAwy2ACTAAABy+AAI&amp;control=svs&amp;pestania=1"/>
    <d v="1999-08-10T00:00:00"/>
    <d v="2025-06-30T00:00:00"/>
    <s v="Fijo"/>
    <s v="SD"/>
    <d v="2003-07-17T00:00:00"/>
    <d v="2004-04-13T00:00:00"/>
    <n v="15427175.559999999"/>
    <n v="1"/>
  </r>
  <r>
    <s v="013_CHCO1"/>
    <s v="Concesión Internacional Ruta 5 Tramo Chillán - Collipulli"/>
    <n v="1"/>
    <s v="Primera concesión Internacional Ruta 5 Tramo Chillán - Collipulli"/>
    <s v="Autopista de doble calzada que corresponde al tramo de la Ruta 5 Sur ubicado en la Región del Bío Bío. Cuenta con una extensión de 160,2 km._x000a__x000a_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_x000a__x000a_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_x000a__x000a_Este tramo de la ruta Ruta da conectividad a centros productivos con mercados locales, empalmando puertos y pasos fronterizos, fortaleciendo así la actividad comercial del sur del país."/>
    <x v="0"/>
    <s v="Ñuble; Biobío; La Araucanía"/>
    <s v="Sitio en construcción"/>
    <s v="Público"/>
    <s v=""/>
    <n v="6640000"/>
    <s v="UF"/>
    <s v="https://concesiones.mop.gob.cl/project/primera-concesion-ruta-5-tramo-chillan-collipulli/"/>
    <x v="0"/>
    <s v="Licitación pública con preselección"/>
    <s v="Nivel de tarifa; Plazo."/>
    <d v="1996-11-01T00:00:00"/>
    <d v="1997-03-04T00:00:00"/>
    <d v="1997-03-17T00:00:00"/>
    <d v="1997-06-30T00:00:00"/>
    <d v="1997-10-14T00:00:00"/>
    <s v="96843170-6"/>
    <s v="RUTA DEL BOSQUE SOCIEDAD CONCECIONARIA S.A."/>
    <s v="https://www.cmfchile.cl/institucional/mercados/entidad.php?auth=&amp;send=&amp;mercado=V&amp;rut=96843170&amp;grupo=&amp;tipoentidad=RVEMI&amp;vig=VI&amp;row=AAAwy2ACTAAABy9AAC&amp;control=svs&amp;pestania=1"/>
    <d v="1998-06-10T00:00:00"/>
    <d v="2023-02-14T00:00:00"/>
    <s v="Fijo"/>
    <s v="SD"/>
    <d v="2002-07-15T00:00:00"/>
    <d v="2003-07-10T00:00:00"/>
    <n v="9603667.0933703333"/>
    <n v="1"/>
  </r>
  <r>
    <s v="014_TERB1"/>
    <s v="Concesión Internacional Ruta 5 Tramo Temuco - Río Bueno"/>
    <n v="1"/>
    <s v="Primera concesión Internacional Ruta 5 Tramo Temuco - Río Bueno"/>
    <s v="Autopista de 171,7 km de longitud, ubicada en los km 718,3 y 890 de la ruta 5 Sur que cruza las comunas de Gorbea y Loncoche, en la Región de la Araucanía, y a las de Lanco, San José de la Mariquina, Máfil, Los Lagos, Paillaco, La Unión y Río Bueno, en la Región de Los Lagos._x000a__x000a_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_x000a__x000a_El principal beneficio de esta ruta es mejorar la conectividad en la zona y dotar de mayor seguridad para los usuarios y a los habitantes de zonas aledañas a la vía."/>
    <x v="0"/>
    <s v="La Araucanía; Los Ríos"/>
    <s v="Sitio en construcción"/>
    <s v="Público"/>
    <s v=""/>
    <n v="6105000"/>
    <s v="UF"/>
    <s v="https://concesiones.mop.gob.cl/project/concesion-ruta-5-tramo-temuco-rio-bueno/"/>
    <x v="0"/>
    <s v="Licitación pública con preselección"/>
    <s v="Nivel de tarifa; Subsidio."/>
    <d v="1996-11-01T00:00:00"/>
    <d v="1997-04-28T00:00:00"/>
    <d v="1997-05-12T00:00:00"/>
    <d v="1997-08-14T00:00:00"/>
    <d v="1997-10-28T00:00:00"/>
    <s v="96848050-2"/>
    <s v="RUTA DE LOS RIOS SOCIEDAD CONCESIONARIA S A"/>
    <s v="https://www.cmfchile.cl/institucional/mercados/entidad.php?auth=&amp;send=&amp;mercado=O&amp;rut=96848050&amp;grupo=&amp;tipoentidad=RGEIN&amp;vig=VI&amp;row=AAAwy2ACTAAAAWbAAD&amp;control=svs&amp;pestania=1"/>
    <d v="1998-06-30T00:00:00"/>
    <d v="2026-03-30T00:00:00"/>
    <s v="Fijo"/>
    <s v="SD"/>
    <d v="2001-09-14T00:00:00"/>
    <d v="2003-08-01T00:00:00"/>
    <n v="9358918.5"/>
    <n v="1"/>
  </r>
  <r>
    <s v="015_LVLS1"/>
    <s v="Concesión Internacional Ruta 5 Tramo Los Vilos - La Serena"/>
    <n v="1"/>
    <s v="Primera concesión Internacional Ruta 5 Tramo Los Vilos - La Serena"/>
    <s v="Autopista de doble calzada con 229 km de extensión que continua el trazado de la Ruta 5 Norte entre el norte de Los Vilos hasta La Herradura en Coquimbo._x000a__x000a_El tramo tiene cuatro áreas con estacionamientos, cafeterías y servicios higiénicos, dos áreas de control policial y dos áreas de estacionamientos para camiones._x000a__x000a_Esta nueva infraestructura vial ha permitido impulsar la industria del pisco de los valles de Elqui y Limarí, así como el transporte de carga nacional y de exportación a través del puerto de Coquimbo."/>
    <x v="0"/>
    <s v="Coquimbo"/>
    <s v="Sitio en construcción"/>
    <s v="Público"/>
    <s v=""/>
    <n v="7986345"/>
    <s v="UF"/>
    <s v="https://concesiones.mop.gob.cl/project/primera-concesion-ruta-5-tramo-los-vilos-la-serena/"/>
    <x v="0"/>
    <s v="Licitación pública con preselección"/>
    <s v="Nivel de tarifa; Plazo."/>
    <d v="1996-11-10T00:00:00"/>
    <d v="1996-12-23T00:00:00"/>
    <d v="1996-12-31T00:00:00"/>
    <d v="1997-02-20T00:00:00"/>
    <d v="1997-04-23T00:00:00"/>
    <s v="96826380-3"/>
    <s v="SOC CONCESIONARIA DEL ELQUI S A"/>
    <s v="https://www.cmfchile.cl/institucional/mercados/entidad.php?auth=&amp;send=&amp;mercado=O&amp;rut=96826380&amp;grupo=&amp;tipoentidad=RGEIN&amp;vig=VI&amp;row=AAAwy2ACTAAAByxAAB&amp;control=svs&amp;pestania=1"/>
    <d v="1997-12-16T00:00:00"/>
    <d v="2022-12-15T00:00:00"/>
    <s v="Fijo"/>
    <s v="SD"/>
    <d v="2000-10-19T00:00:00"/>
    <d v="2002-03-11T00:00:00"/>
    <n v="8862210.7300000004"/>
    <n v="1"/>
  </r>
  <r>
    <s v="112_ALOA3"/>
    <s v="Aeropuerto El Loa de Calama"/>
    <n v="3"/>
    <s v="Tercera concesión aeropuerto El Loa de Calama"/>
    <s v="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_x000a_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_x000a_"/>
    <x v="1"/>
    <s v="Antofagasta"/>
    <s v="Sitio en construcción"/>
    <s v="Público"/>
    <s v=""/>
    <n v="2650000"/>
    <s v="UF"/>
    <s v="https://concesiones.mop.gob.cl/project/tercera-concesion-aeropuerto-el-loa-de-calama/"/>
    <x v="2"/>
    <s v="Sólo licitación pública"/>
    <s v="Ingresos totales de la concesión."/>
    <d v="2021-08-23T00:00:00"/>
    <d v="2023-04-14T00:00:00"/>
    <d v="2023-05-12T00:00:00"/>
    <d v="2023-08-01T00:00:00"/>
    <d v="2023-09-28T00:00:00"/>
    <s v="76703718-K"/>
    <s v="SOCIEDAD CONCESIONARIA AEROPUERTO EL LOA S.A."/>
    <s v="https://www.cmfchile.cl/institucional/mercados/entidad.php?auth=&amp;send=&amp;mercado=O&amp;rut=76703718&amp;grupo=&amp;tipoentidad=RGEIN&amp;vig=VI&amp;row=AAAwy2ACTAAAGD0AAc&amp;control=svs&amp;pestania=1"/>
    <d v="2023-10-28T00:00:00"/>
    <d v="2049-09-28T00:00:00"/>
    <s v="Variable"/>
    <s v="sin inicio"/>
    <s v="Sin inicio de fase de construcción"/>
    <s v="Sin otorgar"/>
    <n v="2650000"/>
    <n v="0"/>
  </r>
  <r>
    <s v="102_ALFS3"/>
    <s v="Tercera Concesión Aeropuerto La Florida de la Serena"/>
    <n v="3"/>
    <s v="Tercera concesión Tercera Concesión Aeropuerto La Florida de la Serena"/>
    <s v="La obra incluye la ampliación, mantención y reposición de la infraestructura, equipamiento e instalaciones existentes en el área de concesión dentro del aeropuerto._x000a__x000a_Considera aumentar la capacidad del Edificio Terminal de Pasajeros que en la segunda concesión tiene un volumen de 4.360 m² para llegar a 13.550 m² aproximadamente._x000a__x000a_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_x000a__x000a_Entre los beneficios previstos para esta obra se encuentra fortalecer la integración económica de la región y ampliar la oferta área con un mejor estándar."/>
    <x v="1"/>
    <s v="Coquimbo"/>
    <s v="Sitio en construcción"/>
    <s v="Público"/>
    <s v=""/>
    <n v="1415000"/>
    <s v="UF"/>
    <s v="https://concesiones.mop.gob.cl/project/tercera-concesion-aeropuerto-la-florida-de-la-serena/"/>
    <x v="1"/>
    <s v="Sólo licitación pública"/>
    <s v="Ingresos totales de la concesión."/>
    <d v="2019-11-27T00:00:00"/>
    <d v="2021-01-29T00:00:00"/>
    <d v="2021-03-05T00:00:00"/>
    <d v="2021-04-30T00:00:00"/>
    <d v="2021-08-11T00:00:00"/>
    <s v="77442927 - 1 "/>
    <s v="AEROPUERTO LA FLORIDA SOCIEDAD CONCESIONARIA S.A."/>
    <s v="https://www.cmfchile.cl/institucional/mercados/entidad.php?auth=&amp;send=&amp;mercado=O&amp;rut=77442927&amp;grupo=&amp;tipoentidad=RGEIN&amp;vig=VI&amp;row=AAAwy2ACTAAACuHAAn&amp;control=svs&amp;pestania=1"/>
    <d v="2021-08-11T00:00:00"/>
    <d v="2033-04-10T00:00:00"/>
    <s v="Variable"/>
    <d v="2024-08-29T00:00:00"/>
    <s v="En fase de construcción"/>
    <s v="En fase de construcción"/>
    <n v="1415000"/>
    <n v="0.13500000000000001"/>
  </r>
  <r>
    <s v="018_RBPM1"/>
    <s v="Concesión Internacional Ruta 5 Tramo Río Bueno - Puerto Montt"/>
    <n v="1"/>
    <s v="Primera concesión Internacional Ruta 5 Tramo Río Bueno - Puerto Montt"/>
    <s v="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_x000a__x000a_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_x000a__x000a_La autopista permite una mayor actividad comercial gracias a la cercanía con puertos, aeropuertos y pasos fronterizos."/>
    <x v="0"/>
    <s v="Los Ríos; Los Lagos"/>
    <s v="Sitio en construcción"/>
    <s v="Público"/>
    <s v=""/>
    <n v="5782000"/>
    <s v="UF"/>
    <s v="https://concesiones.mop.gob.cl/project/concesion-ruta-5-tramo-rio-bueno-puerto-montt/"/>
    <x v="2"/>
    <s v="Licitación pública con preselección"/>
    <s v="Nivel de tarifa; Pagos."/>
    <d v="1997-06-12T00:00:00"/>
    <d v="1997-07-15T00:00:00"/>
    <d v="1997-08-05T00:00:00"/>
    <d v="1997-11-14T00:00:00"/>
    <d v="1998-01-13T00:00:00"/>
    <s v="96854510-8"/>
    <s v="SOC CONCESIONARIA DE LOS LAGOS S A"/>
    <s v="https://www.cmfchile.cl/institucional/mercados/entidad.php?auth=&amp;send=&amp;mercado=O&amp;rut=96854510&amp;grupo=&amp;tipoentidad=RGEIN&amp;vig=VI&amp;row=AAAwy2ACTAAAAWcAAI&amp;control=svs&amp;pestania=1"/>
    <d v="1998-09-20T00:00:00"/>
    <d v="2026-06-30T00:00:00"/>
    <s v="Fijo"/>
    <s v="SD"/>
    <d v="2001-10-30T00:00:00"/>
    <d v="2002-09-23T00:00:00"/>
    <n v="9212080.3000000007"/>
    <n v="1"/>
  </r>
  <r>
    <s v="100_RAUS1"/>
    <s v="Concesión Red Aeroportuaria Austral"/>
    <n v="1"/>
    <s v="Primera concesión Red Aeroportuaria Austral (3° concesión A. P. Carlos Ibañez del Campo y 1° concesión A. de Balmaceda)"/>
    <s v="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_x000a__x000a_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_x000a__x000a_En el caso del Aeropuerto de Punta Arenas considera ampliar desde 6.471 m2 a 16.014 m2. Lo anterior representa un 138% de aumento de capacidad, lo que permitirá atender a 2,1 millones de pasajeros por año._x000a__x000a_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_x000a__x000a_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
    <x v="1"/>
    <s v="Aysén del General Carlos Ibáñez del Campo; Magallanes y de la Antártica Chilena"/>
    <s v="Sitio en construcción"/>
    <s v="Público"/>
    <s v=""/>
    <n v="3965000"/>
    <s v="UF"/>
    <s v="https://concesiones.mop.gob.cl/project/concesion-red-aeroportuaria-austral/"/>
    <x v="1"/>
    <s v="Sólo licitación pública"/>
    <s v="Ingresos totales de la concesión."/>
    <d v="2019-08-17T00:00:00"/>
    <d v="2020-11-20T00:00:00"/>
    <d v="2020-12-22T00:00:00"/>
    <d v="2021-01-22T00:00:00"/>
    <d v="2021-03-22T00:00:00"/>
    <s v="77342125-0"/>
    <s v="RED AEROPORTUARIA AUSTRAL SOCIEDAD CONCESIONARIA SOCIEDAD ANONIMA"/>
    <s v="https://www.cmfchile.cl/institucional/mercados/entidad.php?auth=&amp;send=&amp;mercado=O&amp;rut=77342125&amp;grupo=&amp;tipoentidad=RGEIN&amp;vig=VI&amp;row=AAAwy2ACTAAAGDzAAl&amp;control=svs&amp;pestania=1"/>
    <d v="2021-03-22T00:00:00"/>
    <d v="2053-03-22T00:00:00"/>
    <s v="Variable"/>
    <d v="2023-05-26T00:00:00"/>
    <s v="En fase de construcción"/>
    <s v="En fase de construcción"/>
    <n v="3965000"/>
    <s v="Balmaceda: 68,72%; C.Ibáñez del Campo:0,0%"/>
  </r>
  <r>
    <s v="020_COTE1"/>
    <s v="Concesión Internacional Ruta 5 Tramo Collipulli - Temuco"/>
    <n v="1"/>
    <s v="Primera concesión Internacional Ruta 5 Tramo Collipulli - Temuco"/>
    <s v="Autopista de 144 km de extensión que da continuidad a la ruta 5 Sur, emplazándose en la Región de la Araucanía._x000a__x000a_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_x000a__x000a_También considera el desarrollo de calles de servicio, 22 pasarelas peatonales, un paso peatonal bajo nivel, un paso bajo línea férrea, cinco pasos superiores, 31 atraviesos, 260 alcantarillas y 66 paraderos de buses._x000a__x000a_Este tramo de la Ruta beneficia directamente a los sectores agropecuarios, lechero y maderero de la zona, así como al transporte terrestre de productos de toda La Araucanía, que movilizan su carga a regiones próximas."/>
    <x v="0"/>
    <s v="La Araucanía"/>
    <s v="Sitio en construcción"/>
    <s v="Público"/>
    <s v=""/>
    <n v="7131000"/>
    <s v="UF"/>
    <s v="https://concesiones.mop.gob.cl/project/concesion-ruta-5-tramo-collipulli-temuco/"/>
    <x v="2"/>
    <s v="Licitación pública con preselección"/>
    <s v="Nivel de tarifa; Pagos."/>
    <d v="1997-10-04T00:00:00"/>
    <d v="1997-11-14T00:00:00"/>
    <d v="1997-12-05T00:00:00"/>
    <d v="1998-04-20T00:00:00"/>
    <d v="1998-07-08T00:00:00"/>
    <s v="96869650-5"/>
    <s v="RUTA DE LA ARAUCANIA SOCIEDAD CONCESIONARIA S A"/>
    <s v="https://www.cmfchile.cl/institucional/mercados/entidad.php?auth=&amp;send=&amp;mercado=O&amp;rut=96869650&amp;grupo=&amp;tipoentidad=RGEIN&amp;vig=VI&amp;row=AAAwy2ACTAAABy8AAO&amp;control=svs&amp;pestania=1"/>
    <d v="1999-03-17T00:00:00"/>
    <d v="2026-10-31T00:00:00"/>
    <s v="Fijo"/>
    <s v="SD"/>
    <d v="2002-12-30T00:00:00"/>
    <d v="2003-10-20T00:00:00"/>
    <n v="13949740.699999999"/>
    <n v="1"/>
  </r>
  <r>
    <s v="021_SATA1"/>
    <s v="Concesión Internacional Ruta 5 Tramo Santiago - Talca y Acceso Sur a Santiago"/>
    <n v="1"/>
    <s v="Primera concesión Internacional Ruta 5 Tramo Santiago - Talca y Acceso Sur a Santiago"/>
    <s v="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_x000a__x000a_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_x000a__x000a_Esta obra destaca también la realización de terceras pistas en el sector de Angostura de la Ruta 5 Sur y la nueva plaza de peajes, ambas iniciativas mejoran los tiempos de desplazamiento de un sector altamente demandado."/>
    <x v="0"/>
    <s v="Metropolitana de Santiago; Libertador General Bernardo O'Higgins; Maule"/>
    <s v="Sitio en construcción"/>
    <s v="Público"/>
    <s v=""/>
    <n v="20639400"/>
    <s v="UF"/>
    <s v="https://concesiones.mop.gob.cl/project/concesion-ruta-5-tramo-santiago-talca-y-acceso-sur-a-santiago/"/>
    <x v="2"/>
    <s v="Licitación pública con preselección"/>
    <s v="Nivel de tarifa; Pagos; Otros (iii)"/>
    <d v="1998-04-21T00:00:00"/>
    <d v="1998-04-27T00:00:00"/>
    <d v="1998-05-12T00:00:00"/>
    <d v="1998-06-30T00:00:00"/>
    <d v="1998-08-31T00:00:00"/>
    <s v="96875230-8"/>
    <s v="RUTA DEL MAIPO SOCIEDAD CONCESIONARIA S.A."/>
    <s v="https://www.cmfchile.cl/institucional/mercados/entidad.php?auth=&amp;send=&amp;mercado=V&amp;rut=96875230&amp;grupo=&amp;tipoentidad=RVEMI&amp;vig=VI&amp;row=AAAwy2ACTAAAAWeAAL&amp;control=svs&amp;pestania=2"/>
    <d v="1999-09-12T00:00:00"/>
    <d v="2034-12-27T00:00:00"/>
    <s v="Variable"/>
    <s v="SD"/>
    <d v="2010-04-01T00:00:00"/>
    <d v="2010-04-30T00:00:00"/>
    <n v="35268695.5"/>
    <n v="1"/>
  </r>
  <r>
    <s v="099_ACHA2"/>
    <s v="Segunda Concesión Aeropuerto Chacalluta de Arica"/>
    <n v="2"/>
    <s v="Segunda concesión Aeropuerto Chacalluta de Arica"/>
    <s v="El proyecto considera la ampliación, reparación, conservación y reposición de la infraestructura, equipamiento e instalaciones existentes del Aeropuerto Chacalluta de Arica._x000a__x000a_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_x000a__x000a_La obra incluye también el mejoramiento de los accesos viales y el incremento de estacionamientos vehiculares._x000a__x000a_Con estos trabajos se fortalecerá el recinto para el transporte de carga y pasajeros integrando en mayor grado a la región y con el resto del país."/>
    <x v="1"/>
    <s v="Arica y Parinacota"/>
    <s v="Sitio en construcción"/>
    <s v="Público"/>
    <s v=""/>
    <n v="2031000"/>
    <s v="UF"/>
    <s v="https://concesiones.mop.gob.cl/project/segunda-concesion-aeropuerto-chacalluta-de-arica/"/>
    <x v="1"/>
    <s v="Sólo licitación pública"/>
    <s v="Nivel de tarifa; Plazo."/>
    <d v="2018-09-21T00:00:00"/>
    <d v="2018-12-21T00:00:00"/>
    <d v="2019-01-16T00:00:00"/>
    <d v="2019-02-04T00:00:00"/>
    <d v="2019-03-20T00:00:00"/>
    <s v="77011942-1"/>
    <s v="SOCIEDAD CONCESIONARIA AEROPUERTO DE ARICA S.A."/>
    <s v="https://www.cmfchile.cl/institucional/mercados/entidad.php?auth=&amp;send=&amp;mercado=O&amp;rut=77011942&amp;grupo=&amp;tipoentidad=RGEIN&amp;vig=VI&amp;row=AAAwy2ACTAAACuBAAN&amp;control=svs&amp;pestania=1"/>
    <d v="2019-03-20T00:00:00"/>
    <d v="2034-04-01T00:00:00"/>
    <s v="Fijo"/>
    <d v="2020-10-23T00:00:00"/>
    <s v="En fase de construcción"/>
    <s v="En fase de construcción"/>
    <n v="2031000"/>
    <n v="1"/>
  </r>
  <r>
    <s v="095_ATEP4"/>
    <s v="Aeropuerto El Tepual de Puerto Montt"/>
    <n v="4"/>
    <s v="Cuarta concesión Aeropuerto El Tepual de Puerto Montt"/>
    <s v="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_x000a__x000a_Se aumentará la capacidad para llegar a recibir 3 millones de pasajeros, pasando de cinco a seis puentes de embarque._x000a__x000a_Considera también facilitar el transporte de carga y pasajeros, integrando en mayor grado a la región y sus habitantes con el resto del país."/>
    <x v="1"/>
    <s v="Los Lagos"/>
    <s v="Sitio en construcción"/>
    <s v="Público"/>
    <s v=""/>
    <n v="810000"/>
    <s v="UF"/>
    <s v="https://concesiones.mop.gob.cl/project/cuarta-concesion-aeropuerto-el-tepual-de-puerto-montt/"/>
    <x v="2"/>
    <s v="Sólo licitación pública"/>
    <s v="Nivel de tarifa."/>
    <d v="2017-10-25T00:00:00"/>
    <d v="2018-01-26T00:00:00"/>
    <d v="2018-02-15T00:00:00"/>
    <d v="2018-03-01T00:00:00"/>
    <d v="2018-04-03T00:00:00"/>
    <s v="76866184-7"/>
    <s v="SOCIEDAD CONCESIONARIA AEROPUERTO DEL SUR S.A."/>
    <s v="https://www.cmfchile.cl/institucional/mercados/entidad.php?auth=&amp;send=&amp;mercado=O&amp;rut=76866184&amp;grupo=&amp;tipoentidad=RGEIN&amp;vig=VI&amp;row=AAAwy2ACTAAAAQiAAU&amp;control=svs&amp;pestania=1"/>
    <d v="2018-05-01T00:00:00"/>
    <d v="2026-11-01T00:00:00"/>
    <s v="Fijo"/>
    <d v="2021-08-13T00:00:00"/>
    <d v="2022-10-14T00:00:00"/>
    <d v="2024-08-17T00:00:00"/>
    <n v="1306596.7"/>
    <n v="1"/>
  </r>
  <r>
    <s v="024_SOPN1"/>
    <s v="Concesión Internacional Sistema Oriente - Poniente"/>
    <n v="1"/>
    <s v="Primera concesión Internacional Sistema Oriente - Poniente"/>
    <s v="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_x000a__x000a_La obra conecta once comunas de la Región Metropolitana, Lo Barnechea, Vitacura, Las Condes, Providencia, Santiago, Recoleta, Independencia, Quinta Normal, Cerro Navia, Renca y Pudahuel._x000a__x000a_La autopista permite además comunicar de manera rápida la ruta 68 y el Aeropuerto Internacional de Santiago, mejorando así la conectividad de la región._x000a__x000a_La autopista cuenta con sistema de telepeaje."/>
    <x v="2"/>
    <s v="Metropolitana de Santiago"/>
    <s v="Sitio en construcción"/>
    <s v="Público"/>
    <s v=""/>
    <n v="9482776"/>
    <s v="UF"/>
    <s v="https://concesiones.mop.gob.cl/project/concesion-sistema-oriente-poniente-costanera-norte/"/>
    <x v="2"/>
    <s v="Licitación pública con preselección"/>
    <s v="Subsidio; Pagos; Riesgo oferente."/>
    <d v="1999-07-02T00:00:00"/>
    <d v="1999-11-16T00:00:00"/>
    <d v="1999-12-06T00:00:00"/>
    <d v="2000-02-24T00:00:00"/>
    <d v="2000-04-19T00:00:00"/>
    <s v="76496130-7"/>
    <s v="SOCIEDAD CONCESIONARIA COSTANERA NORTE S A"/>
    <s v="https://www.cmfchile.cl/institucional/mercados/entidad.php?auth=&amp;send=&amp;mercado=V&amp;rut=76496130&amp;grupo=&amp;tipoentidad=RVEMI&amp;vig=VI&amp;row=AAAwy2ACTAAABy3AAA&amp;control=svs&amp;pestania=2"/>
    <d v="2003-07-01T00:00:00"/>
    <d v="2036-06-30T00:00:00"/>
    <s v="Variable"/>
    <s v="SD"/>
    <d v="2007-10-04T00:00:00"/>
    <d v="2008-06-08T00:00:00"/>
    <n v="30132097.319999997"/>
    <n v="1"/>
  </r>
  <r>
    <s v="087_ADAI4"/>
    <s v="Aeropuerto Diego Aracena de Iquique"/>
    <n v="4"/>
    <s v="Cuarta concesión Aeropuerto Diego Aracena de Iquique"/>
    <s v="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_x000a__x000a_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_x000a__x000a_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
    <x v="1"/>
    <s v="Tarapacá"/>
    <s v="Sitio en construcción"/>
    <s v="Público"/>
    <s v=""/>
    <n v="1420000"/>
    <s v="UF"/>
    <s v="https://concesiones.mop.gob.cl/project/cuarta-concesion-aeropuerto-diego-aracena-de-iquique/"/>
    <x v="2"/>
    <s v="Licitación pública con preselección"/>
    <s v="Ingresos totales de la concesión."/>
    <d v="2016-03-23T00:00:00"/>
    <d v="2017-04-18T00:00:00"/>
    <d v="2017-05-18T00:00:00"/>
    <d v="2017-07-24T00:00:00"/>
    <d v="2017-10-12T00:00:00"/>
    <s v="76822899-K"/>
    <s v="SOCIEDAD CONCESIONARIA AEROPUERTO DIEGO ARACENA S.A."/>
    <s v="https://www.cmfchile.cl/institucional/mercados/entidad.php?auth=&amp;send=&amp;mercado=O&amp;rut=76822899&amp;grupo=&amp;tipoentidad=RGEIN&amp;vig=VI&amp;row=AAAwy2ACTAAAB4CAAN&amp;control=svs&amp;pestania=1"/>
    <d v="2017-10-12T00:00:00"/>
    <d v="2042-10-11T00:00:00"/>
    <s v="Variable"/>
    <d v="2019-08-09T00:00:00"/>
    <d v="2024-08-26T00:00:00"/>
    <s v="Sin otorgar"/>
    <n v="2122435.1"/>
    <n v="1"/>
  </r>
  <r>
    <s v="026_EEBA1"/>
    <s v="Concesión Internacional Embalse Illapel"/>
    <n v="1"/>
    <s v="Primera concesión Internacional Embalse Illapel"/>
    <n v="0"/>
    <x v="3"/>
    <s v="Coquimbo"/>
    <s v="Sitio en construcción"/>
    <s v="Público"/>
    <s v=""/>
    <n v="1319600"/>
    <s v="UF"/>
    <s v="no hay disponible"/>
    <x v="0"/>
    <s v="Licitación pública con preselección"/>
    <s v="Plazo; Subsidio."/>
    <d v="1999-08-29T00:00:00"/>
    <d v="2001-03-29T00:00:00"/>
    <d v="2001-04-27T00:00:00"/>
    <d v="2001-07-09T00:00:00"/>
    <d v="2001-10-08T00:00:00"/>
    <s v="96971160-5"/>
    <s v="SOCIEDAD CONCESIONARIA EMBALSE ILLAPEL S.A."/>
    <s v="https://www.cmfchile.cl/institucional/mercados/entidad.php?auth=&amp;send=&amp;mercado=V&amp;rut=96971160&amp;grupo=&amp;tipoentidad=RVEMI&amp;vig=NV&amp;row=AAAwy2ACTAAABzAAAd&amp;control=svs&amp;pestania=2"/>
    <d v="2001-09-30T00:00:00"/>
    <d v="2005-12-13T00:00:00"/>
    <s v="Fijo"/>
    <s v="No aplica"/>
    <s v="No aplica"/>
    <s v="No aplica"/>
    <n v="232211.22"/>
    <n v="0"/>
  </r>
  <r>
    <s v="027_SNSS1"/>
    <s v="Sistema Norte - Sur"/>
    <n v="1"/>
    <s v="Primera concesión Sistema Norte - Sur"/>
    <s v="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_x000a__x000a_La ruta cuenta con obras adicionales como el enlace Balmaceda y el enlace General Velásquez._x000a__x000a_La Autopista Central fue inaugurada en diciembre de 2004, siendo la primera autopista urbana construida bajo el sistema de Concesiones._x000a__x000a_La autopista cuenta con sistema de telepeaje."/>
    <x v="2"/>
    <s v="Metropolitana de Santiago"/>
    <s v="Sitio en construcción"/>
    <s v="Público"/>
    <s v=""/>
    <n v="15190000"/>
    <s v="UF"/>
    <s v="https://concesiones.mop.gob.cl/project/concesion-sistema-norte-sur-autopista-central/"/>
    <x v="2"/>
    <s v="Licitación pública con preselección"/>
    <s v="Pagos; Riesgo oferente."/>
    <d v="1999-11-17T00:00:00"/>
    <d v="2000-07-31T00:00:00"/>
    <d v="2000-08-21T00:00:00"/>
    <d v="2000-09-14T00:00:00"/>
    <d v="2001-01-04T00:00:00"/>
    <s v="96945440-8"/>
    <s v="SOC CONCESIONARIA AUTOPISTA CENTRAL S A"/>
    <s v="https://www.cmfchile.cl/institucional/mercados/entidad.php?auth=&amp;send=&amp;mercado=V&amp;rut=96945440&amp;grupo=&amp;tipoentidad=RVEMI&amp;vig=VI&amp;row=AAAwy2ACTAAABy+AAF&amp;control=svs&amp;pestania=2"/>
    <d v="2001-07-03T00:00:00"/>
    <d v="2034-08-31T00:00:00"/>
    <s v="Variable"/>
    <s v="SD"/>
    <d v="2006-05-08T00:00:00"/>
    <d v="2007-04-11T00:00:00"/>
    <n v="31119620.699999999"/>
    <n v="1"/>
  </r>
  <r>
    <s v="028_RVLC1"/>
    <s v="Red Vial Litoral Central"/>
    <n v="1"/>
    <s v="Primera concesión Red Vial Litoral Central"/>
    <s v="Red vial de 77 km de longitud que se extiende por el litoral desde Cartagena hasta Algarrobo, en la Región de Valparaíso._x000a__x000a_La iniciativa considera conexión al camino Santiago-Valparaíso-Viña del Mar, en el sector de Casablanca, y al camino Santiago-San Antonio, en el sector de Aguas Buenas._x000a__x000a_La obra consiste en cuatro sectores: Nuevo camino Costero Cartagena-Algarrobo, Camino Algarrobo-Casablanca (Ruta F-90), Camino Costero Interior y Algarrobo-Mirasol._x000a__x000a_Esta obra beneficia a los habitantes de la región y turistas que cuentan con un mejoramiento vial que permite mejorar los flujos de tránsito, así como favorecer el comercio local."/>
    <x v="0"/>
    <s v="Valparaíso"/>
    <s v="Sitio en construcción"/>
    <s v="Público"/>
    <s v=""/>
    <n v="2383470"/>
    <s v="UF"/>
    <s v="https://concesiones.mop.gob.cl/project/concesion-red-vial-litoral-central/"/>
    <x v="2"/>
    <s v="Licitación pública con preselección"/>
    <s v="Nivel de tarifa; Subsidio."/>
    <d v="1999-12-06T00:00:00"/>
    <d v="2000-06-15T00:00:00"/>
    <d v="2000-06-30T00:00:00"/>
    <d v="2000-08-18T00:00:00"/>
    <d v="2000-11-11T00:00:00"/>
    <s v="96943620-5"/>
    <s v="SOC CONCESIONARIA LITORAL CENTRAL S A"/>
    <s v="https://www.cmfchile.cl/institucional/mercados/entidad.php?auth=&amp;send=&amp;mercado=O&amp;rut=96943620&amp;grupo=&amp;tipoentidad=RGEIN&amp;vig=VI&amp;row=AAAwy2ACTAAAByxAAF&amp;control=svs&amp;pestania=1"/>
    <d v="2001-11-16T00:00:00"/>
    <d v="2031-11-11T00:00:00"/>
    <s v="Fijo"/>
    <d v="2001-12-03T00:00:00"/>
    <d v="2004-02-18T00:00:00"/>
    <d v="2004-12-28T00:00:00"/>
    <n v="3715501.1199999996"/>
    <n v="1"/>
  </r>
  <r>
    <s v="029_AVES1"/>
    <s v="Sistema Américo Vespucio Sur, Ruta 78 - Av. Grecia"/>
    <n v="1"/>
    <s v="Primera concesión Sistema Américo Vespucio Sur, Ruta 78 - Av. Grecia"/>
    <s v="Autopista que corresponde al anillo sur de la Circunvalación Américo Vespucio, que constituye uno de los ejes estructurantes del Plan Regulador Metropolitano._x000a__x000a_Tiene una longitud de 23,5 km y se extiende desde la Ruta 78 “Autopista del Sol” a la Rotonda de Avenida Grecia. La ruta cruza nueve comunas: Macul, Peñalolén, La Florida, La Granja, San Ramón, La Cisterna, Lo Espejo, Cerrillos y Maipú._x000a__x000a_La obra consta de dobles calzadas de tres pistas por sentido y calles locales a los costados destinadas a la locomoción colectiva y particular. La autopista cuenta con sistema de telepeaje."/>
    <x v="2"/>
    <s v="Metropolitana de Santiago"/>
    <s v="Sitio en construcción"/>
    <s v="Privado"/>
    <s v=""/>
    <n v="10350000"/>
    <s v="UF"/>
    <s v="https://concesiones.mop.gob.cl/project/concesion-sistema-americo-vespucio-sur-ruta-78-av-grecia/"/>
    <x v="2"/>
    <s v="Licitación pública con preselección"/>
    <s v="Subsidio;  Pagos."/>
    <d v="2000-09-12T00:00:00"/>
    <d v="2001-06-28T00:00:00"/>
    <d v="2001-07-24T00:00:00"/>
    <d v="2001-08-20T00:00:00"/>
    <d v="2001-10-06T00:00:00"/>
    <s v="76052927-3"/>
    <s v="SOCIEDAD CONCESIONARIA AUTOPISTA NUEVA VESPUCIO SUR S.A."/>
    <s v="https://www.cmfchile.cl/institucional/mercados/entidad.php?auth=&amp;send=&amp;mercado=V&amp;rut=76052927&amp;grupo=&amp;tipoentidad=RVEMI&amp;vig=VI&amp;row=AAAwy2ACTAAABzPAAA&amp;control=svs&amp;pestania=2"/>
    <d v="2002-12-06T00:00:00"/>
    <d v="2032-12-05T00:00:00"/>
    <s v="Variable"/>
    <s v="SD"/>
    <d v="2006-04-27T00:00:00"/>
    <d v="2006-08-30T00:00:00"/>
    <n v="21176669.43"/>
    <n v="1"/>
  </r>
  <r>
    <s v="030_VAME1"/>
    <s v="Variante Melipilla"/>
    <n v="1"/>
    <s v="Primera concesión Variante Melipilla"/>
    <s v="Vía de 8,15 km para el tránsito de vehículos con dirección a Rapel o bien a la zona costera norte de la Región del Libertador General Bernardo O’Higgins desde la Ruta 78, que surge como alternativa para evitar cruzar el área urbana de la comuna de Melipilla._x000a__x000a_La variante se conecta con la Ruta 78 mediante el Enlace Rapel, a la altura del km 63 de la Ruta 78, y concluye en la Ruta G-60. En su trazado incluye un nuevo puente sobre el río Maipo._x000a__x000a_La obra permitió agilizar la circulación de vehículos en una zona con flujos elevados y ha mejorado el nivel de servicio en el sector formado por la Ruta G-60, Camino Melipilla-Crucero Las Arañas-Rapel, en el tramo Melipilla-Puente Ingeniero Marambio."/>
    <x v="0"/>
    <s v="Metropolitana de Santiago"/>
    <s v="Sitio en construcción"/>
    <s v="Privado"/>
    <s v=""/>
    <n v="669100"/>
    <s v="UF"/>
    <s v="https://concesiones.mop.gob.cl/project/concesion-variante-melipilla/"/>
    <x v="2"/>
    <s v="Sólo licitación pública"/>
    <s v="Subsidio."/>
    <d v="2000-12-14T00:00:00"/>
    <d v="2001-06-04T00:00:00"/>
    <d v="2001-06-26T00:00:00"/>
    <d v="2001-08-17T00:00:00"/>
    <d v="2001-10-29T00:00:00"/>
    <s v="96972220-8"/>
    <s v="SOC CONCESIONARIA MELIPILLA S A"/>
    <s v="https://www.cmfchile.cl/institucional/mercados/entidad.php?auth=&amp;send=&amp;mercado=V&amp;rut=96972220&amp;grupo=&amp;tipoentidad=RVEMI&amp;vig=VI&amp;row=AAAwy2ACTAAABywAAL&amp;control=svs&amp;pestania=2"/>
    <d v="2003-04-29T00:00:00"/>
    <d v="2033-04-28T00:00:00"/>
    <s v="Fijo"/>
    <s v="SD"/>
    <d v="2004-04-27T00:00:00"/>
    <d v="2005-12-23T00:00:00"/>
    <n v="907495.36"/>
    <n v="1"/>
  </r>
  <r>
    <s v="031_PP1G1"/>
    <s v="Programa de Concesiones de Infraestructura Penitenciaria, Grupo 1"/>
    <n v="1"/>
    <s v="Primera concesión Programa de Concesiones de Infraestructura Penitenciaria, Grupo 1"/>
    <s v="En La Serena se ubica el penal de mediana seguridad, mientras que en Alto Hospicio y Rancagua se emplazan los de alta seguridad que forman parte de este programa Penitenciario._x000a__x000a_Los recintos cuentan con medidas de seguridad, segmentación de la población penal así como servicios como alimentación, lavandería, entre otros._x000a__x000a_En el caso de La Serena tiene una capacidad para 2.318 detenidos, el Alto Hospicio de 2.351 y el de Rancagua de 2.365._x000a__x000a_Cuenta con un Programa de Reinserción Social cuyo foco está en modificar las conductas que lo motivaron a delinquir."/>
    <x v="4"/>
    <s v="Tarapacá; Coquimbo; Libertador General Bernardo O'Higgins"/>
    <s v="Sitio en construcción"/>
    <s v="Público"/>
    <s v=""/>
    <n v="2800000"/>
    <s v="UF"/>
    <s v="https://concesiones.mop.gob.cl/project/concesion-programa-penitenciario-grupo-1-iquique-la-serena-rancagua/"/>
    <x v="2"/>
    <s v="Licitación pública con preselección"/>
    <s v="Subsidio; Otros (iv)"/>
    <d v="2001-03-25T00:00:00"/>
    <d v="2001-10-17T00:00:00"/>
    <d v="2001-12-04T00:00:00"/>
    <d v="2002-03-28T00:00:00"/>
    <d v="2002-06-15T00:00:00"/>
    <s v="96994390-5"/>
    <s v="SOC CONCESIONARIA BAS S A"/>
    <s v="https://www.cmfchile.cl/institucional/mercados/entidad.php?auth=&amp;send=&amp;mercado=O&amp;rut=96994390&amp;grupo=&amp;tipoentidad=RGEIN&amp;vig=VI&amp;row=AAAwy2ACTAAAByxAAO&amp;control=svs&amp;pestania=1"/>
    <d v="2002-06-15T00:00:00"/>
    <d v="2027-12-31T00:00:00"/>
    <s v="Fijo"/>
    <s v="SD"/>
    <d v="2005-10-12T00:00:00"/>
    <d v="2006-01-24T00:00:00"/>
    <n v="5723554.5199999996"/>
    <n v="1"/>
  </r>
  <r>
    <s v="032_AVNP1"/>
    <s v="Sistema Américo Vespucio Nor-Poniente, Av. El Salto-Ruta 78"/>
    <n v="1"/>
    <s v="Primera concesión Sistema Américo Vespucio Nor-Poniente, Av. El Salto-Ruta 78"/>
    <s v="Autopista que corresponde al anillo norte de la Circunvalación Américo Vespucio, que constituye uno de los ejes estructurantes del Plan Regulador Metropolitano de Santiago._x000a__x000a_La autopista, que cuenta con telepeaje, se extiende entre Av. El Salto por el oriente, y la Ruta 78, por el poniente, cruzando las comunas de Huechuraba, Recoleta, Conchalí, Quilicura, Renca, Cerro Navia, Pudahuel y Maipú._x000a__x000a_La ruta interactúa con vías expresas de importancia, como Ruta 5 Norte, Ruta 57-CH, autopista Costanera Norte, Ruta 68, Ruta 78 y autopista Vespucio Sur._x000a__x000a_De igual forma se conecta con el centro de la capital a través del Túnel San Cristóbal, el cual se unirá con la Avenida Kennedy, el eje vial más importante del sector oriente de Santiago."/>
    <x v="2"/>
    <s v="Metropolitana de Santiago"/>
    <s v="Sitio en construcción"/>
    <s v="Privado"/>
    <s v=""/>
    <n v="10100000"/>
    <s v="UF"/>
    <s v="https://concesiones.mop.gob.cl/project/concesion-sistema-americo-vespucio-norponiente-av-el-salto-ruta-78/"/>
    <x v="2"/>
    <s v="Licitación pública con preselección"/>
    <s v="Pagos; Riesgo oferente."/>
    <d v="2001-07-05T00:00:00"/>
    <d v="2001-11-29T00:00:00"/>
    <d v="2001-12-21T00:00:00"/>
    <d v="2002-03-05T00:00:00"/>
    <d v="2002-05-23T00:00:00"/>
    <s v="96992030-1"/>
    <s v="SOC CONCESIONARIA VESPUCIO NORTE EXPRESS S A"/>
    <s v="https://www.cmfchile.cl/institucional/mercados/consulta_busqueda.php?entidad_web=G&amp;valor=96992030&amp;boton_busqueda="/>
    <d v="2003-04-23T00:00:00"/>
    <d v="2033-04-23T00:00:00"/>
    <s v="Variable"/>
    <s v="SD"/>
    <d v="2006-01-04T00:00:00"/>
    <d v="2016-08-22T00:00:00"/>
    <n v="21794859.77"/>
    <n v="1"/>
  </r>
  <r>
    <s v="033_RITP1"/>
    <s v="Ruta Interportuaria Talcahuano - Penco por Isla Rocuant"/>
    <n v="1"/>
    <s v="Primera concesión Ruta Interportuaria Talcahuano - Penco por Isla Rocuant"/>
    <s v="Autopista de calzada bidireccional de alto estándar, conformada por el Troncal Penco-Talcahuano, de 11,1 km, y el Ramal Alessandri, que se conecta al Troncal en enlace Rocuant, con longitud de 3,4 km. La extensión total de esta ruta es de 14,5 km._x000a__x000a_La vía implica una disminución considerable de los tiempos de viaje en el traslado de Penco a Talcahuano, favoreciendo el desarrollo turístico de la Región del Bío Bío al mejorar el acceso a los puertos de Lirquén, Penco, Talcahuano y San Vicente y al Aeropuerto Carriel Sur._x000a__x000a_Asimismo, promueve la conexión con el litoral costero desde Penco a Dichato y, por el interior, a todos los flujos que concentra la Autopista del Itata hacia la Ruta 5 Sur._x000a__x000a_Los impactos más relevantes para Concepción han sido la sustancial reducción del tránsito de camiones por sus calles y el mejoramiento de la vialidad de su área metropolitana."/>
    <x v="0"/>
    <s v="Biobío"/>
    <s v="Sitio en construcción"/>
    <s v="Privado"/>
    <s v=""/>
    <n v="648250"/>
    <s v="UF"/>
    <s v="https://concesiones.mop.gob.cl/project/concesion-ruta-interportuaria-talcahuano-penco/"/>
    <x v="2"/>
    <s v="Sólo licitación pública"/>
    <s v="Ingresos totales de la concesión; Subsidio; Otros (iii)"/>
    <d v="2001-08-17T00:00:00"/>
    <d v="2001-12-06T00:00:00"/>
    <d v="2001-12-28T00:00:00"/>
    <d v="2002-01-31T00:00:00"/>
    <d v="2002-04-20T00:00:00"/>
    <s v="96989050-K"/>
    <s v="SOC CONCESIONARIA AUTOPISTA INTERPORTUARIA S A"/>
    <s v="https://www.cmfchile.cl/institucional/mercados/entidad.php?auth=&amp;send=&amp;mercado=V&amp;rut=96989050&amp;grupo=&amp;tipoentidad=RVEMI&amp;vig=VI&amp;row=AAAwy2ACTAAABywAAd&amp;control=svs&amp;pestania=2"/>
    <d v="2002-04-20T00:00:00"/>
    <d v="2033-10-19T00:00:00"/>
    <s v="Fijo"/>
    <s v="SD"/>
    <d v="2005-05-27T00:00:00"/>
    <d v="2005-12-26T00:00:00"/>
    <n v="946633.08000000007"/>
    <n v="1"/>
  </r>
  <r>
    <s v="034_60RU1"/>
    <s v="Camino Internacional Ruta 60 Ch"/>
    <n v="1"/>
    <s v="Primera concesión Camino Internacional Ruta 60 Ch"/>
    <s v="La Ruta Internacional 60 Ch atraviesa transversalmente el territorio nacional, cruzando la Quinta Región de Valparaíso en sentido oriente-poniente._x000a__x000a_El proyecto se inicia antes del empalme de la Ruta 57 Ch con la actual Ruta 60, al oriente de la ciudad de Los Andes, a 6,5 Km. al poniente del Puente Las Vizcachas, y termina en el enlace Peñablanca, donde empalmará con el punto inicial del Troncal Sur._x000a__x000a_El proyecto tiene una longitud efectiva de 90,5 km y está dividido en dos sectores: Sector 1, Los Andes - Ruta 5 Norte, y Sector 2, Ruta 5 Norte - Enlace Peñablanca."/>
    <x v="0"/>
    <s v="Valparaíso"/>
    <s v="Sitio en construcción"/>
    <s v="Público"/>
    <s v=""/>
    <n v="6680000"/>
    <s v="UF"/>
    <s v="https://concesiones.mop.gob.cl/project/concesion-camino-internacional-ruta-60-ch/"/>
    <x v="2"/>
    <s v="Licitación pública con preselección"/>
    <s v="Subsidio; Pagos; Riesgo oferente."/>
    <d v="2001-09-07T00:00:00"/>
    <d v="2002-01-30T00:00:00"/>
    <d v="2002-03-12T00:00:00"/>
    <d v="2002-10-22T00:00:00"/>
    <d v="2003-01-27T00:00:00"/>
    <s v="99516880-4"/>
    <s v="SOC CONCESIONARIA AUTOPISTA DE LOS ANDES S A"/>
    <s v="https://www.cmfchile.cl/institucional/mercados/entidad.php?auth=&amp;send=&amp;mercado=O&amp;rut=99516880&amp;grupo=&amp;tipoentidad=RGEIN&amp;vig=VI&amp;row=AAAwy2ACTAAAByzAAI&amp;control=svs&amp;pestania=1"/>
    <d v="2003-01-27T00:00:00"/>
    <d v="2036-07-21T00:00:00"/>
    <s v="Fijo"/>
    <d v="2005-01-27T00:00:00"/>
    <d v="2019-01-24T00:00:00"/>
    <d v="2019-08-08T00:00:00"/>
    <n v="12335209.380517498"/>
    <n v="1"/>
  </r>
  <r>
    <s v="086_ACSU2"/>
    <s v="Aeropuerto Carriel Sur de Concepción"/>
    <n v="2"/>
    <s v="Segunda concesión Aeropuerto Carriel Sur de Concepción"/>
    <s v="Esta obra en operaciones consideró la ampliación y mejoramiento de diferentes instalaciones del Aeropuerto Carriel Sur que se ubica a 5 km al noroeste de la ciudad de Concepción._x000a__x000a_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_x000a__x000a_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
    <x v="1"/>
    <s v="Biobío"/>
    <s v="Sitio en construcción"/>
    <s v="Público"/>
    <s v=""/>
    <n v="770000"/>
    <s v="UF"/>
    <s v="https://concesiones.mop.gob.cl/project/segunda-concesion-aeropuerto-carriel-sur-de-concepcion/"/>
    <x v="2"/>
    <s v="Licitación pública con preselección"/>
    <s v="Otros (v)."/>
    <d v="2015-12-14T00:00:00"/>
    <d v="2016-04-28T00:00:00"/>
    <d v="2016-05-26T00:00:00"/>
    <d v="2016-07-01T00:00:00"/>
    <d v="2016-08-19T00:00:00"/>
    <s v="76592495-2"/>
    <s v="SOCIEDAD CONCESIONARIA AEROPUERTO CARRIEL SUR S.A."/>
    <s v="https://www.cmfchile.cl/institucional/mercados/entidad.php?auth=&amp;send=&amp;mercado=O&amp;rut=76592495&amp;grupo=&amp;tipoentidad=RGEIN&amp;vig=VI&amp;row=AAAwy2ACTAAABz/AAh&amp;control=svs&amp;pestania=1"/>
    <d v="2016-08-19T00:00:00"/>
    <d v="2031-08-24T00:00:00"/>
    <s v="Fijo"/>
    <s v="SD"/>
    <d v="2020-10-06T00:00:00"/>
    <d v="2022-12-26T00:00:00"/>
    <n v="1206656.6000000001"/>
    <n v="1"/>
  </r>
  <r>
    <s v="036_PP2G1"/>
    <s v="Programa de Concesiones de Infraestructura Penitenciaria, Grupo 2"/>
    <n v="1"/>
    <s v="Primera concesión Programa de Concesiones de Infraestructura Penitenciaria, Grupo 2"/>
    <s v="No hay disponible"/>
    <x v="4"/>
    <s v="Antofagasta; Biobío"/>
    <s v="Sitio en construcción"/>
    <s v="Público"/>
    <s v=""/>
    <n v="1800000"/>
    <s v="UF"/>
    <s v="no hay disponible"/>
    <x v="0"/>
    <s v="Licitación pública con preselección"/>
    <s v="Subsidio; Otros (iv)"/>
    <d v="2001-10-21T00:00:00"/>
    <d v="2002-06-18T00:00:00"/>
    <d v="2002-07-31T00:00:00"/>
    <d v="2002-12-06T00:00:00"/>
    <d v="2003-03-06T00:00:00"/>
    <s v="99520560-2"/>
    <s v="SOCIEDAD CONCESIONARIA BAS DOS S.A."/>
    <s v="https://www.cmfchile.cl/institucional/mercados/entidad.php?mercado=V&amp;rut=99520560&amp;grupo=&amp;tipoentidad=RVEMI&amp;row=AAAwy2ACTAAABzHAAp&amp;vig=NV&amp;control=svs&amp;pestania=2"/>
    <d v="2003-03-06T00:00:00"/>
    <d v="2006-08-31T00:00:00"/>
    <s v="Fijo"/>
    <s v="No aplica"/>
    <s v="No aplica"/>
    <s v="No aplica"/>
    <n v="1328957.22"/>
    <n v="0"/>
  </r>
  <r>
    <s v="037_ACNO1"/>
    <s v="Acceso Nor - Oriente a Santiago"/>
    <n v="1"/>
    <s v="Primera concesión Acceso Nor - Oriente a Santiago"/>
    <s v="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_x000a__x000a_La autopista está dividida en dos áreas el sector oriente que se extiende desde Enlace Centenario a Enlace Av. Del Valle y el sector poniente desde el Enlace Av. Del Valle a la Ruta 5 Norte._x000a__x000a_La autopista cuenta con sistema de telepeaje."/>
    <x v="2"/>
    <s v="Metropolitana de Santiago"/>
    <s v="Sitio en construcción"/>
    <s v="Privado"/>
    <s v=""/>
    <n v="5468000"/>
    <s v="UF"/>
    <s v="https://concesiones.mop.gob.cl/project/concesion-acceso-nororiente-a-santiago/"/>
    <x v="2"/>
    <s v="Sólo licitación pública"/>
    <s v="Ingresos totales de la concesión."/>
    <d v="2002-01-08T00:00:00"/>
    <d v="2003-08-07T00:00:00"/>
    <d v="2003-08-29T00:00:00"/>
    <d v="2003-10-30T00:00:00"/>
    <d v="2004-01-07T00:00:00"/>
    <s v="99548570-2"/>
    <s v="SOC CONCESIONARIA AUTOPISTA NORORIENTE S A"/>
    <s v="https://www.cmfchile.cl/institucional/mercados/entidad.php?auth=&amp;send=&amp;mercado=O&amp;rut=99548570&amp;grupo=&amp;tipoentidad=RGEIN&amp;vig=VI&amp;row=AAAwy2ACTAAABy0AAM&amp;control=svs&amp;pestania=1"/>
    <d v="2004-01-07T00:00:00"/>
    <d v="2044-11-07T00:00:00"/>
    <s v="Variable"/>
    <s v="SD"/>
    <d v="2008-02-06T00:00:00"/>
    <d v="2017-12-31T00:00:00"/>
    <n v="8769723.2791693248"/>
    <n v="1"/>
  </r>
  <r>
    <s v="038_PBCH1"/>
    <s v="Puente Bicentenario de Chiloé"/>
    <n v="1"/>
    <s v="Primera concesión Puente Bicentenario de Chiloé"/>
    <n v="0"/>
    <x v="0"/>
    <s v="Los Lagos"/>
    <s v="Sitio en construcción"/>
    <s v="Público"/>
    <s v=""/>
    <n v="14150000"/>
    <s v="UF"/>
    <s v="no hay disponible"/>
    <x v="0"/>
    <s v="Licitación pública con preselección"/>
    <s v="Otros (v)"/>
    <d v="2002-02-04T00:00:00"/>
    <d v="2004-12-22T00:00:00"/>
    <d v="2005-01-14T00:00:00"/>
    <d v="2005-04-27T00:00:00"/>
    <d v="2005-07-15T00:00:00"/>
    <s v="_x000a_76333190-3"/>
    <s v="SOCIEDAD CONCESIONARIA PUENTE CHILOE S.A."/>
    <s v="https://www.cmfchile.cl/institucional/mercados/entidad.php?mercado=V&amp;rut=76333190&amp;grupo=&amp;tipoentidad=RVEMI&amp;row=AAAwy2ACTAAABzJAAJ&amp;vig=NV&amp;control=svs&amp;pestania=50"/>
    <d v="2005-07-15T00:00:00"/>
    <d v="2007-01-24T00:00:00"/>
    <s v="Fijo"/>
    <s v="No aplica"/>
    <s v="No aplica"/>
    <s v="No aplica"/>
    <n v="344061.75"/>
    <n v="0"/>
  </r>
  <r>
    <s v="039_PP3G1"/>
    <s v="Programa de Concesiones de Infraestructura Penitenciaria, Grupo N° 3"/>
    <n v="1"/>
    <s v="Primera concesión Programa de Concesiones de Infraestructura Penitenciaria, Grupo N° 3"/>
    <s v="Recintos penitenciarios de mediana seguridad ubicados en Valdivia y Puerto Montt y de alta seguridad en Santiago que fueron diseñados, construidos y están en operación._x000a__x000a_Los nuevos recintos cuentan con sistema de separación de la población penal por grado de peligrosidad, sistema de vigilancia electrónica y de seguridad. También poseen nuevo equipamiento, servicios de alimentación, lavandería y atención de salud para la población detenida._x000a__x000a_El Establecimiento Penitenciario Valdivia tiene una capacidad de 1.747 internos, el de Puerto Montt de 1.743 internos y el de Santiago de 4.000 detenidos._x000a__x000a_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
    <x v="4"/>
    <s v="Metropolitana de Santiago; Los Ríos"/>
    <s v="Sitio en construcción"/>
    <s v="Público"/>
    <s v=""/>
    <n v="2750000"/>
    <s v="UF"/>
    <s v="https://concesiones.mop.gob.cl/project/concesion-programa-penitenciario-grupo-3-santiago-valdivia-puerto-montt/"/>
    <x v="2"/>
    <s v="Licitación pública con preselección"/>
    <s v="Subsidio; Otros (iv)"/>
    <d v="2003-01-11T00:00:00"/>
    <d v="2003-12-18T00:00:00"/>
    <d v="2003-12-30T00:00:00"/>
    <d v="2004-02-06T00:00:00"/>
    <d v="2004-04-02T00:00:00"/>
    <s v="99554510-1"/>
    <s v="SOC CONCESIONARIA INFRAESTRUCTURA PENITENCIARIA GRUPO TRES S A"/>
    <s v="https://www.cmfchile.cl/institucional/mercados/entidad.php?auth=&amp;send=&amp;mercado=O&amp;rut=99554510&amp;grupo=&amp;tipoentidad=RGEIN&amp;vig=VI&amp;row=AAAwy2ACTAAABy0AAW&amp;control=svs&amp;pestania=1"/>
    <d v="2004-04-02T00:00:00"/>
    <d v="2027-11-08T00:00:00"/>
    <s v="Fijo"/>
    <s v="SD"/>
    <s v="Santiago 20-01-2007; Valdivia 22-04-2007;Puerto Montt 27-05-2007"/>
    <d v="2007-11-08T00:00:00"/>
    <n v="4410508.8400000008"/>
    <n v="1"/>
  </r>
  <r>
    <s v="040_EIMQ1"/>
    <s v="Estación de Intercambio Modal Quinta Normal"/>
    <n v="1"/>
    <s v="Primera concesión Estación de Intercambio Modal Quinta Normal"/>
    <s v="Esta concesión consideraba el desarrollo de una estación de transferencia intermodal en Quinta Normal._x000a__x000a_La iniciativa sólo tuvo una fase de construcción preliminar y debido ajustes posteriores este finalmente no se materializó."/>
    <x v="5"/>
    <s v="Metropolitana de Santiago"/>
    <s v="Sitio en construcción"/>
    <s v="Público"/>
    <s v=""/>
    <n v="800000"/>
    <s v="UF"/>
    <s v="https://concesiones.mop.gob.cl/project/estacion-intermodal-quinta-normal/"/>
    <x v="0"/>
    <s v="Licitación pública con preselección"/>
    <s v="Nivel de tarifa; Pagos."/>
    <d v="2003-06-01T00:00:00"/>
    <d v="2003-12-31T00:00:00"/>
    <d v="2004-01-27T00:00:00"/>
    <d v="2004-03-26T00:00:00"/>
    <d v="2004-05-13T00:00:00"/>
    <s v="99561490-1"/>
    <s v="SOCIEDAD CONCESIONARIA INTERMODAL QUINTA NORMAL S.A. "/>
    <s v="https://www.cmfchile.cl/institucional/mercados/entidad.php?auth=&amp;send=&amp;mercado=V&amp;rut=99561490&amp;grupo=&amp;tipoentidad=RVEMI&amp;vig=NV&amp;row=AAAwy2ACTAAABzHAAh&amp;control=svs&amp;pestania=2"/>
    <d v="2004-05-13T00:00:00"/>
    <d v="2006-12-28T00:00:00"/>
    <s v="Fijo"/>
    <s v="SD"/>
    <d v="2007-05-26T00:00:00"/>
    <d v="2008-01-23T00:00:00"/>
    <n v="294554.44999999995"/>
    <n v="0"/>
  </r>
  <r>
    <s v="041_EIMC1"/>
    <s v="Estación de Intercambio Modal La Cisterna"/>
    <n v="1"/>
    <s v="Primera concesión Estación de Intercambio Modal La Cisterna"/>
    <s v="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_x000a__x000a_La Estación forma parte del Programa de Concesiones de Estaciones de Intercambio Modal, el cual se inserta dentro del Plan de Modernización del Transporte Público en Santiago, impulsado por el Gobierno de Chile._x000a__x000a_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_x000a__x000a_La Estación consta de 28 andenes subterráneos para la operación de buses urbanos, 16 andenes en superficie destinados a buses interurbanos. Se estima que beneficiará a más de 30 millones de pasajeros que utilizan cada año esta infraestructura."/>
    <x v="5"/>
    <s v="Metropolitana de Santiago"/>
    <s v="Sitio en construcción"/>
    <s v="Público"/>
    <s v=""/>
    <n v="1150000"/>
    <s v="UF"/>
    <s v="https://concesiones.mop.gob.cl/project/concesion-estacion-de-intercambio-modal-la-cisterna/"/>
    <x v="2"/>
    <s v="Licitación pública con preselección"/>
    <s v="Nivel de tarifa; Pagos."/>
    <d v="2003-06-01T00:00:00"/>
    <d v="2003-12-31T00:00:00"/>
    <d v="2004-01-29T00:00:00"/>
    <d v="2004-03-26T00:00:00"/>
    <d v="2004-05-31T00:00:00"/>
    <s v="99563430-9"/>
    <s v="SOC CONCESIONARIA INTERMODAL LA CISTERNA  S A"/>
    <s v="https://www.cmfchile.cl/institucional/mercados/entidad.php?auth=&amp;send=&amp;mercado=O&amp;rut=99563430&amp;grupo=&amp;tipoentidad=RGEIN&amp;vig=VI&amp;row=AAAwy2ACTAAABy0AAb&amp;control=svs&amp;pestania=1"/>
    <d v="2004-05-31T00:00:00"/>
    <d v="2027-05-25T00:00:00"/>
    <s v="Fijo"/>
    <s v="SD"/>
    <d v="2007-05-25T00:00:00"/>
    <d v="2008-01-23T00:00:00"/>
    <n v="2009130.69"/>
    <n v="1"/>
  </r>
  <r>
    <s v="082_AAMB2"/>
    <s v="Aeropuerto Internacional Arturo Merino Benítez de Santiago"/>
    <n v="2"/>
    <s v="Segunda concesión Aeropuerto Internacional Arturo Merino Benítez de Santiago"/>
    <s v="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_x000a__x000a_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_x000a__x000a_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_x000a__x000a_Con estas obras se espera atender a la creciente demanda de pasajeros y mejorar el estándar de la principal puerta de entrada al país."/>
    <x v="1"/>
    <s v="Metropolitana de Santiago"/>
    <s v="Sitio en construcción"/>
    <s v="Público"/>
    <s v=""/>
    <n v="14980000"/>
    <s v="UF"/>
    <s v="https://concesiones.mop.gob.cl/project/segunda-concesion-aeropuerto-arturo-merino-benitez/"/>
    <x v="2"/>
    <s v="Licitación pública con preselección"/>
    <s v="Otros (v)."/>
    <d v="2014-06-20T00:00:00"/>
    <d v="2014-12-30T00:00:00"/>
    <d v="2015-02-04T00:00:00"/>
    <d v="2015-03-12T00:00:00"/>
    <d v="2015-04-21T00:00:00"/>
    <s v="76466068-4"/>
    <s v="SOCIEDAD CONCESIONARIA NUEVO PUDAHUEL S.A."/>
    <s v="https://www.cmfchile.cl/institucional/mercados/entidad.php?auth=&amp;send=&amp;mercado=O&amp;rut=76466068&amp;grupo=&amp;tipoentidad=RGEIN&amp;vig=VI&amp;row=AAAwy2ACTAAABz1AAE&amp;control=svs&amp;pestania=1"/>
    <d v="2015-04-21T00:00:00"/>
    <d v="2035-10-01T00:00:00"/>
    <s v="Fijo"/>
    <d v="2016-11-04T00:00:00"/>
    <d v="2025-12-30T00:00:00"/>
    <s v="Sin otorgar"/>
    <n v="28944329.199999999"/>
    <n v="0.99839999999999995"/>
  </r>
  <r>
    <s v="043_CSJS1"/>
    <s v="Centro de Justicia de Santiago"/>
    <n v="1"/>
    <s v="Primera concesión Centro de Justicia de Santiago"/>
    <s v="Se trata de un conjunto de edificios ubicados en la comuna de Santiago, destinados al funcionamiento del Ministerio Público, la Defensoría Penal Pública, Juzgados de Garantía y Tribunales de Juicio Oral en lo Penal, construidos en el marco de la Reforma Procesal Penal._x000a__x000a_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_x000a__x000a_También considera una plaza central, que organiza la circulación interna del Centro de manera de facilitar la independencia de flujos de los peatones en los recintos."/>
    <x v="5"/>
    <s v="Metropolitana de Santiago"/>
    <s v="Sitio en construcción"/>
    <s v="Público"/>
    <s v=""/>
    <n v="2354000"/>
    <s v="UF"/>
    <s v="https://concesiones.mop.gob.cl/project/concesion-centro-de-justicia-de-santiago/"/>
    <x v="2"/>
    <s v="Licitación pública con preselección"/>
    <s v="Subsidio."/>
    <d v="2003-07-29T00:00:00"/>
    <d v="2004-03-04T00:00:00"/>
    <d v="2004-03-19T00:00:00"/>
    <d v="2004-03-26T00:00:00"/>
    <d v="2004-05-04T00:00:00"/>
    <s v="99557380-6"/>
    <s v="SOC CONCESIONARIA CENTRO DE JUSTICIA DE SANTIAGO S A"/>
    <s v="https://www.cmfchile.cl/institucional/mercados/entidad.php?auth=&amp;send=&amp;mercado=O&amp;rut=99557380&amp;grupo=&amp;tipoentidad=RGEIN&amp;vig=VI&amp;row=AAAwy2ACTAAAAWcAAN&amp;control=svs&amp;pestania=1"/>
    <d v="2004-05-04T00:00:00"/>
    <d v="2028-06-30T00:00:00"/>
    <s v="Fijo"/>
    <s v="SD"/>
    <d v="2007-06-21T00:00:00"/>
    <d v="2008-01-11T00:00:00"/>
    <n v="4551832.1300000008"/>
    <n v="1"/>
  </r>
  <r>
    <s v="044_PCIS1"/>
    <s v="Plaza de la Ciudadanía, Etapa I"/>
    <n v="1"/>
    <s v="Primera concesión Plaza de la Ciudadanía, Etapa I"/>
    <s v="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_x000a__x000a_La explanada tiene una extensión de 10.565 m², el estacionamiento de 17.440 m² distribuido en cuatro niveles y el Centro Cultural con 7.250 m², en 3 niveles._x000a__x000a_La obra busca generar un espacio continuo en el centro cívico, cuyo trayecto se inicia en la Plaza de la Constitución, atraviesa el Palacio de La Moneda, la Plaza de la Ciudadanía y finaliza en el Parque Almagro."/>
    <x v="5"/>
    <s v="Metropolitana de Santiago"/>
    <s v="Sitio en construcción"/>
    <s v="Público"/>
    <s v=""/>
    <n v="520628"/>
    <s v="UF"/>
    <s v="https://concesiones.mop.gob.cl/project/concesion-plaza-de-la-ciudadania-etapa-1/"/>
    <x v="2"/>
    <s v="Sólo licitación pública"/>
    <s v="Subsidio."/>
    <d v="2003-10-09T00:00:00"/>
    <d v="2004-03-02T00:00:00"/>
    <d v="2004-03-25T00:00:00"/>
    <d v="2004-04-19T00:00:00"/>
    <d v="2004-05-19T00:00:00"/>
    <s v="99561160-0"/>
    <s v="SOC CONCESIONARIA PLAZA DE LA CIUDADANIA S A"/>
    <s v="https://www.cmfchile.cl/institucional/mercados/entidad.php?auth=&amp;send=&amp;mercado=O&amp;rut=99561160&amp;grupo=&amp;tipoentidad=RGEIN&amp;vig=VI&amp;row=AAAwy2ACTAAAByxAAb&amp;control=svs&amp;pestania=1"/>
    <d v="2004-05-19T00:00:00"/>
    <d v="2034-05-18T00:00:00"/>
    <s v="Fijo"/>
    <s v="SD"/>
    <d v="2005-11-18T00:00:00"/>
    <d v="2005-12-27T00:00:00"/>
    <n v="591239.70000000007"/>
    <n v="1"/>
  </r>
  <r>
    <s v="045_ETPO1"/>
    <s v="Estadio Techado Parque O’Higgins"/>
    <n v="1"/>
    <s v="Primera concesión Estadio Techado Parque O’Higgins"/>
    <s v="Conocido como Arena Santiago o Movistar Arena, este Estadio Techado se encuentra emplazado en el Parque O’Higgins, entre la elipse y el Campo de Marte con una extensión de 44.000 m²._x000a__x000a_Los trabajos consideraron el desarrollo de la infraestructura y la provisión de la totalidad del equipamiento para la completa y adecuada habilitación y operación comercial del recinto._x000a__x000a_La arena central dispone de tribunas con una capacidad para 12.000 espectadores. Cuenta con cinco amplios salones, canchas y terraza de 900 m2, anfiteatro al aire libre con capacidad para 180 personas y dos canchas multipropósito."/>
    <x v="5"/>
    <s v="Metropolitana de Santiago"/>
    <s v="Sitio en construcción"/>
    <s v="Público"/>
    <s v=""/>
    <n v="245000"/>
    <s v="UF"/>
    <s v="https://concesiones.mop.gob.cl/project/concesion-estadio-techado-parque-ohiggins/"/>
    <x v="2"/>
    <s v="Sólo licitación pública"/>
    <s v="Subsidio; Pagos."/>
    <d v="2004-01-08T00:00:00"/>
    <d v="2004-05-19T00:00:00"/>
    <d v="2004-06-09T00:00:00"/>
    <d v="2004-07-09T00:00:00"/>
    <d v="2004-09-04T00:00:00"/>
    <s v="99573420-6"/>
    <s v="SOC CONCESIONARIA ARENA BICENTENARIO S A"/>
    <s v="https://www.cmfchile.cl/institucional/mercados/entidad.php?auth=&amp;send=&amp;mercado=O&amp;rut=99573420&amp;grupo=&amp;tipoentidad=RGEIN&amp;vig=VI&amp;row=AAAwy2ACTAAABy0AAc&amp;control=svs&amp;pestania=1"/>
    <d v="2004-09-04T00:00:00"/>
    <d v="2026-09-04T00:00:00"/>
    <s v="Fijo"/>
    <s v="SD"/>
    <d v="2006-03-06T00:00:00"/>
    <d v="2006-07-10T00:00:00"/>
    <n v="447674.44000000006"/>
    <n v="1"/>
  </r>
  <r>
    <s v="046_ECVI1"/>
    <s v="Embalse Convento Viejo II Etapa, VI Región"/>
    <n v="1"/>
    <s v="Primera concesión Embalse Convento Viejo II Etapa, VI Región"/>
    <s v="El Embalse Convento Viejo se ubica en la cuenta del Estero Chimbarongo, en las provincias de Colchagua y Cardenal Caro, en la región de O’Higgins, 160 kilómetros al sur de la Región Metropolitana._x000a__x000a_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_x000a__x000a_El embalse también cuenta con generación de energía eléctrica gracias a la instalación de una central hidroeléctrica de 16,4 MW conectada al Sistema Interconectado Central (SIC)._x000a__x000a_Entre los beneficios de la obra destaca que incrementa la seguridad de riego de las 38.000 há de los Valles de Chimbarongo, Las Toscas y Guirivilo."/>
    <x v="3"/>
    <s v="Libertador General Bernardo O'Higgins"/>
    <s v="Sitio en construcción"/>
    <s v="Público"/>
    <s v=""/>
    <n v="4200000"/>
    <s v="UF"/>
    <s v="https://concesiones.mop.gob.cl/project/concesion-embalse-convento-viejo-ii-etapa-vi-region/"/>
    <x v="2"/>
    <s v="Sólo licitación pública"/>
    <s v="Subsidio."/>
    <d v="2004-01-28T00:00:00"/>
    <d v="2004-11-12T00:00:00"/>
    <d v="2004-12-10T00:00:00"/>
    <d v="2005-04-27T00:00:00"/>
    <d v="2005-07-04T00:00:00"/>
    <s v="76338870-0"/>
    <s v="SOCIEDAD CONCESIONARIA EMBALSE CONVENTO VIEJO S A"/>
    <s v="https://www.cmfchile.cl/institucional/mercados/entidad.php?auth=&amp;send=&amp;mercado=O&amp;rut=76338870&amp;grupo=&amp;tipoentidad=RGEIN&amp;vig=VI&amp;row=AAAwy2ACTAAABy1AAU&amp;control=svs&amp;pestania=1"/>
    <d v="2005-07-04T00:00:00"/>
    <d v="2037-11-04T00:00:00"/>
    <s v="Fijo"/>
    <s v="SD"/>
    <d v="2019-11-11T00:00:00"/>
    <d v="2020-09-07T00:00:00"/>
    <n v="5931101.8199999994"/>
    <n v="1"/>
  </r>
  <r>
    <s v="047_PTLA1"/>
    <s v="Puerto Terrestre Los Andes"/>
    <n v="1"/>
    <s v="Primera concesión Puerto Terrestre Los Andes"/>
    <s v="Con una superficie aproximada de 24 hectáreas y emplazado en el sector El Sauce, en la comuna de Los Andes, Región de Valparaíso, este puerto terrestre tiene una capacidad anual estimada de 135.000 camiones que transportan cerca de dos millones y medio de toneladas al año._x000a__x000a_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_x000a__x000a_Tiene una capacidad de 498 plazas de aparcamiento, trece plazas para cargas peligrosas, 68 plazas para depósito aduanero y 48 de preandén. Este Puerto Terrestre favorece el intercambio comercial con naciones vecinas."/>
    <x v="5"/>
    <s v="Valparaíso"/>
    <s v="Sitio en construcción"/>
    <s v="Público"/>
    <s v=""/>
    <n v="390562"/>
    <s v="UF"/>
    <s v="https://concesiones.mop.gob.cl/project/concesion-puerto-terrestre-los-andes/"/>
    <x v="2"/>
    <s v="Sólo licitación pública"/>
    <s v="Nivel de tarifa."/>
    <d v="2004-03-09T00:00:00"/>
    <d v="2004-09-15T00:00:00"/>
    <d v="2004-10-14T00:00:00"/>
    <d v="2004-11-30T00:00:00"/>
    <d v="2005-02-23T00:00:00"/>
    <s v="99594180-5"/>
    <s v="PUERTO TERRESTRE LOS ANDESSOCIEDAD CONCESIONARIA S A"/>
    <s v="https://www.cmfchile.cl/institucional/mercados/entidad.php?auth=&amp;send=&amp;mercado=O&amp;rut=99594180&amp;grupo=&amp;tipoentidad=RGEIN&amp;vig=VI&amp;row=AAAwy2ACTAAABy1AAT&amp;control=svs&amp;pestania=1"/>
    <d v="2005-02-23T00:00:00"/>
    <d v="2028-08-31T00:00:00"/>
    <s v="Fijo"/>
    <s v="SD"/>
    <d v="2007-07-27T00:00:00"/>
    <d v="2007-11-29T00:00:00"/>
    <n v="1404626.9200000002"/>
    <n v="1"/>
  </r>
  <r>
    <s v="048_VVSK1"/>
    <s v="Variante Vespucio El Salto - Kennedy"/>
    <n v="1"/>
    <s v="Primera concesión Variante Vespucio El Salto - Kennedy"/>
    <s v="Corresponde a los dos túneles paralelos que se ubican bajo el cerro San Cristóbal el sector de El Salto, comuna de Huechuraba, que con 4,1 km de extensión conectan Avenida El Cerro y Avenida Kennedy, Providencia y Vitacura respectivamente._x000a__x000a_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_x000a__x000a_Estos túneles mejoran el nivel de servicio y capacidad de flujos que presenta Américo Vespucio en el sector de La Pirámide, otorgando elementos de seguridad vial, que permiten una conducción más expedita, disminuyendo los tiempos de viaje de los habitantes del Gran Santiago._x000a__x000a_La autopista cuenta con sistema de telepeaje."/>
    <x v="2"/>
    <s v="Metropolitana de Santiago"/>
    <s v="Sitio en construcción"/>
    <s v="Privado"/>
    <d v="1998-11-20T00:00:00"/>
    <n v="2500000"/>
    <s v="UF"/>
    <s v="https://concesiones.mop.gob.cl/project/concesion-variante-vespucio-el-salto-kennedy-tunel-san-cristobal/"/>
    <x v="2"/>
    <s v="Sólo licitación pública"/>
    <s v="Nivel de tarifa; Pagos"/>
    <d v="2004-04-14T00:00:00"/>
    <d v="2004-08-18T00:00:00"/>
    <d v="2004-09-09T00:00:00"/>
    <d v="2004-11-26T00:00:00"/>
    <d v="2005-02-21T00:00:00"/>
    <s v="99588750-9"/>
    <s v="SOCIEDAD CONCESIONARIA TUNEL SAN CRISTOBAL S.A."/>
    <s v="https://www.cmfchile.cl/institucional/mercados/entidad.php?auth=&amp;send=&amp;mercado=O&amp;rut=99594180&amp;grupo=&amp;tipoentidad=RGEIN&amp;vig=VI&amp;row=AAAwy2ACTAAABy1AAT&amp;control=svs&amp;pestania=1"/>
    <d v="2005-02-21T00:00:00"/>
    <d v="2037-08-20T00:00:00"/>
    <s v="Variable"/>
    <s v="SD"/>
    <d v="2008-07-03T00:00:00"/>
    <d v="2009-06-03T00:00:00"/>
    <n v="4102180.9400000004"/>
    <n v="1"/>
  </r>
  <r>
    <s v="049_CVSR1"/>
    <s v="Conexión Vial Av. Suiza - Las Rejas"/>
    <n v="1"/>
    <s v="Primera concesión Conexión Vial Av. Suiza - Las Rejas"/>
    <s v="Esta concesión finalizó en noviembre de 2020 y consideró la construcción y operación de un conjunto de obras viales y estructurales, que conectan las avenidas Suiza con Las Rejas en los límites de las comunas de Estación Central y Cerrillos, en la Región Metropolitana._x000a__x000a_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_x000a__x000a_La obra permite unir el anillo intermedio de circunvalación al interior de Santiago, con un estándar de vía urbana que permite el desplazamiento de los nuevos buses de transporte público, logrando así, disminuir los tiempos de viaje._x000a__x000a_Con el desarrollo de esta obra se buscó mejorar los estándares de estructuras utilizadas para el transporte público."/>
    <x v="5"/>
    <s v="Metropolitana de Santiago"/>
    <s v="Sitio en construcción"/>
    <s v="Público"/>
    <s v=""/>
    <n v="770000"/>
    <s v="UF"/>
    <s v="https://concesiones.mop.gob.cl/project/concesion-conexion-vial-suiza-las-rejas/"/>
    <x v="0"/>
    <s v="Licitación pública con preselección"/>
    <s v="Ingresos totales de la concesión."/>
    <d v="2004-09-25T00:00:00"/>
    <d v="2005-01-28T00:00:00"/>
    <d v="2005-02-22T00:00:00"/>
    <d v="2005-03-22T00:00:00"/>
    <d v="2005-06-02T00:00:00"/>
    <s v="76296350-7"/>
    <s v="SOCIEDAD CONCESIONARIA CONEXION LAS REJAS S.A."/>
    <s v="https://www.cmfchile.cl/institucional/mercados/entidad.php?auth=&amp;send=&amp;mercado=O&amp;rut=76296350&amp;grupo=&amp;tipoentidad=RGEIN&amp;vig=NV&amp;row=AAAwy2ACTAAABy0AAC&amp;control=svs&amp;pestania=1"/>
    <d v="2005-06-02T00:00:00"/>
    <d v="2020-11-30T00:00:00"/>
    <s v="Variable"/>
    <s v="SD"/>
    <d v="2006-12-01T00:00:00"/>
    <d v="2007-12-14T00:00:00"/>
    <n v="846695.53999999992"/>
    <n v="1"/>
  </r>
  <r>
    <s v="050_ETTT1"/>
    <s v="Estaciones de Transbordo para Transantiago"/>
    <n v="1"/>
    <s v="Primera concesión Estaciones de Transbordo para Transantiago"/>
    <s v="Esta concesión finalizó en abril de 2021 y consideró la construcción y mantención de 35 Estaciones de Transbordo de Pasajeros, cuyas capacidades oscilan entre 1.000 y 18.000 viajeros por hora._x000a__x000a_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_x000a__x000a_Cada una de estas cuenta como un sistema integrado de andenes para pasajeros, que facilitan la integración entre líneas de buses, otros medios de transportes y el desplazamiento de los peatones, cumpliendo con los requisitos mínimos en términos de capacidad y nivel de servicio._x000a__x000a_Con el desarrollo de esta obra se buscó mejorar los estándares de estructuras utilizadas para el transporte público."/>
    <x v="5"/>
    <s v="Metropolitana de Santiago"/>
    <s v="Sitio en construcción"/>
    <s v="Público"/>
    <s v=""/>
    <n v="989500"/>
    <s v="UF"/>
    <s v="https://concesiones.mop.gob.cl/project/concesion-estaciones-de-transbordo-para-transporte-publico/"/>
    <x v="0"/>
    <s v="Licitación pública con preselección"/>
    <s v="Ingresos totales de la concesión."/>
    <d v="2005-06-18T00:00:00"/>
    <d v="2005-12-09T00:00:00"/>
    <d v="2006-01-03T00:00:00"/>
    <d v="2006-01-26T00:00:00"/>
    <d v="2006-04-13T00:00:00"/>
    <s v="76522250-8"/>
    <s v="SOCIEDAD CONCESIONARIA CONCESIONES URBANAS S.A."/>
    <s v="https://www.cmfchile.cl/institucional/mercados/entidad.php?auth=&amp;send=&amp;mercado=O&amp;rut=76522250&amp;grupo=&amp;tipoentidad=RGEIN&amp;vig=NV&amp;row=AAAwy2ACTAAAAWdAAC&amp;control=svs&amp;pestania=1"/>
    <d v="2006-04-13T00:00:00"/>
    <d v="2021-04-12T00:00:00"/>
    <s v="Fijo"/>
    <s v="SD"/>
    <d v="2007-05-30T00:00:00"/>
    <d v="2008-02-05T00:00:00"/>
    <n v="1584805.25"/>
    <n v="1"/>
  </r>
  <r>
    <s v="051_CTSR1"/>
    <s v="Habilitación Corredor de Transporte Público Av. Santa Rosa, Sector Alameda - A. Vespucio"/>
    <n v="1"/>
    <s v="Primera concesión Habilitación Corredor de Transporte Público Av. Santa Rosa, Sector Alameda - A. Vespucio"/>
    <s v="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_x000a__x000a_Este Corredor vial atraviesa las comunas de Santiago, San Joaquín, San Miguel, La Granja y San Ramón, con una longitud aproximada de 10,78 km por Av. Santa Rosa y 3,9 km por San Francisco."/>
    <x v="5"/>
    <s v="Metropolitana de Santiago"/>
    <s v="Sitio en construcción"/>
    <s v="Público"/>
    <s v=""/>
    <n v="2261000"/>
    <s v="UF"/>
    <s v="https://concesiones.mop.gob.cl/project/concesion-corredor-de-transporte-publico-av-santa-rosa/"/>
    <x v="0"/>
    <s v="Licitación pública con preselección"/>
    <s v="Ingresos totales de la concesión."/>
    <d v="2005-06-25T00:00:00"/>
    <d v="2005-11-30T00:00:00"/>
    <d v="2005-12-22T00:00:00"/>
    <d v="2006-01-17T00:00:00"/>
    <d v="2006-04-13T00:00:00"/>
    <s v="76518910-1"/>
    <s v="SOCIEDAD CONCESIONARIA VIA SANTA ROSA S.A."/>
    <s v="https://www.cmfchile.cl/institucional/mercados/entidad.php?auth=&amp;send=&amp;mercado=O&amp;rut=76518910&amp;grupo=&amp;tipoentidad=RGEIN&amp;vig=VI&amp;row=AAAwy2ACTAAAByxAAY&amp;control=svs&amp;pestania=1"/>
    <d v="2006-04-13T00:00:00"/>
    <d v="2022-03-01T00:00:00"/>
    <s v="Variable"/>
    <s v="SD"/>
    <d v="2008-03-13T00:00:00"/>
    <d v="2008-10-02T00:00:00"/>
    <n v="3111969.2500000005"/>
    <n v="1"/>
  </r>
  <r>
    <s v="052_160R1"/>
    <s v="Ruta 160, Tramo Tres Pinos - Acceso Norte a Coronel"/>
    <n v="1"/>
    <s v="Primera concesión Ruta 160, Tramo Tres Pinos - Acceso Norte a Coronel"/>
    <s v="Autopista de 89 km de longitud que se ubica desde el acceso norte a la ciudad de Coronel y la localidad de Cerro Alto, cruzando las comunas de Coronel, Lota, Arauco, Curanilahue, y Los Álamos._x000a__x000a_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_x000a__x000a_El principal beneficio de la vía es mejorar la conectividad de la región, favoreciendo de esta forma el intercambio comercial."/>
    <x v="0"/>
    <s v="Biobío"/>
    <s v="Sitio en construcción"/>
    <s v="Público"/>
    <s v=""/>
    <n v="7700000"/>
    <s v="UF"/>
    <s v="https://concesiones.mop.gob.cl/proyectos/Paginas/detalleExplotacion.aspx?item=7"/>
    <x v="2"/>
    <s v="Sólo licitación pública"/>
    <s v="Subsidio; Ingresos totales de la concesión."/>
    <d v="2007-01-05T00:00:00"/>
    <d v="2008-03-04T00:00:00"/>
    <d v="2008-04-04T00:00:00"/>
    <d v="2008-06-27T00:00:00"/>
    <d v="2008-09-13T00:00:00"/>
    <s v="76039865-9"/>
    <s v="SOCIEDAD CONCESIONARIA AUTOPISTA COSTA ARAUCO S.A."/>
    <s v="https://www.cmfchile.cl/institucional/mercados/entidad.php?auth=&amp;send=&amp;mercado=O&amp;rut=76039865&amp;grupo=&amp;tipoentidad=RGEIN&amp;vig=VI&amp;row=AAAwy2ACTAAAByzAAP&amp;control=svs&amp;pestania=1"/>
    <d v="2008-09-13T00:00:00"/>
    <d v="2048-09-12T00:00:00"/>
    <s v="Variable"/>
    <d v="2011-01-09T00:00:00"/>
    <d v="2016-09-29T00:00:00"/>
    <d v="2017-05-31T00:00:00"/>
    <n v="8391266.1999999993"/>
    <n v="1"/>
  </r>
  <r>
    <s v="079_ATEP3"/>
    <s v="Aeropuerto El Tepual de Puerto Montt, X Región de Los Lagos"/>
    <n v="3"/>
    <s v="Tercera concesión Aeropuerto El Tepual de Puerto Montt, X Región de Los Lagos"/>
    <s v="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_x000a__x000a_La obra fue relicitada y en la actualidad está vigente la cuarta concesión."/>
    <x v="1"/>
    <s v="Los Lagos"/>
    <s v="Sitio en construcción"/>
    <s v="Público"/>
    <s v=""/>
    <n v="92000"/>
    <s v="UF"/>
    <s v="https://concesiones.mop.gob.cl/project/tercera-concesion-aeropuerto-el-tepual-de-puerto-montt/"/>
    <x v="0"/>
    <s v="Licitación pública con preselección"/>
    <s v="Pagos; Ingresos totales de la concesión."/>
    <d v="2013-08-30T00:00:00"/>
    <d v="2013-12-05T00:00:00"/>
    <d v="2013-12-27T00:00:00"/>
    <d v="2014-02-11T00:00:00"/>
    <d v="2014-03-28T00:00:00"/>
    <s v="76365734-5"/>
    <s v="SOCIEDAD CONCESIONARIA AEROPUERTO EL TEPUAL S.A."/>
    <s v="https://www.cmfchile.cl/institucional/mercados/entidad.php?auth=&amp;send=&amp;mercado=O&amp;rut=76365734&amp;grupo=&amp;tipoentidad=RGEIN&amp;vig=NV&amp;row=AAAwy2ACTAAABzUAAA&amp;control=svs&amp;pestania=1"/>
    <d v="2014-03-28T00:00:00"/>
    <d v="2018-04-30T00:00:00"/>
    <s v="Fijo"/>
    <d v="2014-10-16T00:00:00"/>
    <d v="2016-02-15T00:00:00"/>
    <d v="2014-10-30T00:00:00"/>
    <n v="99685.88"/>
    <n v="1"/>
  </r>
  <r>
    <s v="074_ALFS2"/>
    <s v="Aeródromo La Florida de La Serena, IV Región de Coquimbo"/>
    <n v="2"/>
    <s v="Segunda concesión Aeródromo La Florida de La Serena, IV Región de Coquimbo"/>
    <s v="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_x000a__x000a_Asimismo se amplió la cabina de la torre de control, la plataforma del recinto y las áreas de servicios como baños públicos, cafetería y cocina, entre otros._x000a__x000a_El proyecto tuvo por objetivo mejorar los estándares de las instalaciones aeroportuarias para entregar un mayor confort a los usuarios._x000a__x000a_La obra fue licitada nuevamente y en la actualidad está vigente la tercera concesión."/>
    <x v="1"/>
    <s v="Coquimbo"/>
    <s v="Sitio en construcción"/>
    <s v="Público"/>
    <s v=""/>
    <n v="174000"/>
    <s v="UF"/>
    <s v="https://concesiones.mop.gob.cl/project/segunda-concesion-aerodromo-la-florida-de-la-serena/"/>
    <x v="0"/>
    <s v="Licitación pública con preselección"/>
    <s v="Ingresos totales de la concesión."/>
    <d v="2011-12-29T00:00:00"/>
    <d v="2012-06-28T00:00:00"/>
    <d v="2012-07-19T00:00:00"/>
    <d v="2012-09-21T00:00:00"/>
    <d v="2012-12-12T00:00:00"/>
    <s v="76256545-5"/>
    <s v="CONSORCIO AEROPORTUARIO DE LA SERENA S.A. SOCIEDAD CONCESIONARIA"/>
    <s v="https://www.cmfchile.cl/institucional/mercados/entidad.php?auth=&amp;send=&amp;mercado=O&amp;rut=76256545&amp;grupo=&amp;tipoentidad=RGEIN&amp;vig=VI&amp;row=AAAwy2ACTAAABzTAAR&amp;control=svs&amp;pestania=1"/>
    <d v="2012-12-12T00:00:00"/>
    <d v="2021-10-31T00:00:00"/>
    <s v="Fijo"/>
    <s v="SD"/>
    <d v="2015-05-12T00:00:00"/>
    <d v="2016-02-23T00:00:00"/>
    <n v="411624.01999999996"/>
    <n v="1"/>
  </r>
  <r>
    <s v="055_60GR1"/>
    <s v="Conexión Vial Melipilla - Camino de la Fruta"/>
    <n v="1"/>
    <s v="Primera concesión Conexión Vial Melipilla - Camino de la Fruta"/>
    <n v="0"/>
    <x v="0"/>
    <s v="Metropolitana de Santiago"/>
    <s v="Sitio en construcción"/>
    <s v="Privado"/>
    <d v="2004-01-20T00:00:00"/>
    <n v="880000"/>
    <s v="UF"/>
    <s v="no hay disponible"/>
    <x v="0"/>
    <s v="Sólo licitación pública"/>
    <s v="Subsidio; Ingresos totales de la concesión."/>
    <d v="2007-12-29T00:00:00"/>
    <d v="2008-07-31T00:00:00"/>
    <d v="2008-08-28T00:00:00"/>
    <d v="2008-11-28T00:00:00"/>
    <d v="2009-01-29T00:00:00"/>
    <s v="76051174-9"/>
    <s v="SOCIEDAD CONCESIONARIA RUTA G-60 S.A."/>
    <s v="https://www.cmfchile.cl/institucional/mercados/entidad.php?auth=&amp;send=&amp;mercado=O&amp;rut=76051174&amp;grupo=&amp;tipoentidad=RGEIN&amp;vig=VI&amp;row=AAAwy2ACTAAABy0AAU&amp;control=svs&amp;pestania=2"/>
    <d v="2009-01-29T00:00:00"/>
    <d v="2014-05-14T00:00:00"/>
    <s v="Variable"/>
    <s v="No aplica"/>
    <s v="No aplica"/>
    <s v="No aplica"/>
    <n v="308326.59999999998"/>
    <n v="0"/>
  </r>
  <r>
    <s v="056_VCAL1"/>
    <s v="Concesión Ruta 5 Norte. Tramo: Vallenar - Caldera"/>
    <n v="1"/>
    <s v="Primera concesión Ruta 5 Norte. Tramo: Vallenar - Caldera"/>
    <s v="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_x000a__x000a_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
    <x v="0"/>
    <s v="Atacama"/>
    <s v="Sitio en construcción"/>
    <s v="Público"/>
    <s v=""/>
    <n v="7230000"/>
    <s v="UF"/>
    <s v="https://concesiones.mop.gob.cl/project/concesion-ruta-160-tramo-tres-pinos-acceso-norte-a-coronel/"/>
    <x v="2"/>
    <s v="Sólo licitación pública"/>
    <s v="Nivel de tarifa; Subsidio; Ingresos totales de la concesión."/>
    <d v="2007-12-29T00:00:00"/>
    <d v="2008-09-16T00:00:00"/>
    <d v="2008-10-17T00:00:00"/>
    <d v="2009-01-08T00:00:00"/>
    <d v="2009-03-04T00:00:00"/>
    <s v="76054764-6"/>
    <s v="SOCIEDAD CONCESIONARIA VALLES DEL DESIERTO S.A."/>
    <s v="https://www.cmfchile.cl/institucional/mercados/entidad.php?auth=&amp;send=&amp;mercado=O&amp;rut=76054764&amp;grupo=&amp;tipoentidad=RGEIN&amp;vig=VI&amp;row=AAAwy2ACTAAABy0AAJ&amp;control=svs&amp;pestania=1"/>
    <d v="2009-03-04T00:00:00"/>
    <d v="2044-03-03T00:00:00"/>
    <s v="Variable"/>
    <d v="2011-01-09T00:00:00"/>
    <d v="2011-11-03T00:00:00"/>
    <d v="2012-05-04T00:00:00"/>
    <n v="6465494.1300000008"/>
    <n v="1"/>
  </r>
  <r>
    <s v="057_CMVR1"/>
    <s v="Centro Metropolitano de Vehículos Retirados de Circulación"/>
    <n v="1"/>
    <s v="Primera concesión Centro Metropolitano de Vehículos Retirados de Circulación"/>
    <s v="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_x000a__x000a_El recinto se ubica en el km 2,7 del Camino Lo Echevers (Ruta G-16), comuna de Quilicura y el terreno total es de aproximadamente 26,5 hectáreas, de las cuales 24 están habilitadas para custodiar 12.000 vehículos aproximadamente._x000a__x000a_Cuenta instalaciones, equipamientos y sistemas de seguridad e informáticos, necesarios para resguardar autos previa inscripción del municipio._x000a__x000a_En lugar también se realizan remates de vehículos abandonados."/>
    <x v="5"/>
    <s v="Metropolitana de Santiago"/>
    <s v="Sitio en construcción"/>
    <s v="Privado"/>
    <d v="2002-03-22T00:00:00"/>
    <n v="482000"/>
    <s v="UF"/>
    <s v="https://concesiones.mop.gob.cl/project/concesion-centro-metropolitano-de-vehiculos-retirados-de-circulacion/"/>
    <x v="2"/>
    <s v="Sólo licitación pública"/>
    <s v="Nivel de tarifa."/>
    <d v="2008-01-04T00:00:00"/>
    <d v="2009-11-04T00:00:00"/>
    <d v="2009-12-02T00:00:00"/>
    <d v="2010-02-15T00:00:00"/>
    <d v="2010-05-05T00:00:00"/>
    <s v="76101714-4"/>
    <s v="SOCIEDAD CONCESIONARIA CENTRO METROPOLITANO DE VEHICULOS RETIRADOS DE CIRCULACIO"/>
    <s v="https://www.cmfchile.cl/institucional/mercados/entidad.php?auth=&amp;send=&amp;mercado=O&amp;rut=76101714&amp;grupo=&amp;tipoentidad=RGEIN&amp;vig=VI&amp;row=AAAwy2ACTAAABzLAAW&amp;control=svs&amp;pestania=1"/>
    <d v="2010-05-05T00:00:00"/>
    <d v="2039-08-05T00:00:00"/>
    <s v="Fijo"/>
    <d v="2013-01-07T00:00:00"/>
    <d v="2014-08-05T00:00:00"/>
    <d v="2015-01-30T00:00:00"/>
    <n v="449094"/>
    <n v="1"/>
  </r>
  <r>
    <s v="058_AVAM2"/>
    <s v="Acceso Vial Aeropuerto Arturo Merino Benítez"/>
    <n v="2"/>
    <s v="Segunda concesión Acceso Vial Aeropuerto Arturo Merino Benítez"/>
    <s v="Este proyecto ubicado en la comuna de Pudahuel contempla el mejoramiento y operación del acceso existente al Aeropuerto de Santiago que se ubica en la zona sur (Tramo A) y la implementación de un nuevo acceso por el norte del terminal (Tramo B)._x000a__x000a_El tramo A se encuentra habilitado y en servicio desde 2012. Mientras que el tramo B fue dividido en cuatro subtramos (B1, B2, B3 Y B4) y de ellos el B1 se encuentra en etapa de construcción, correspondiendo al mejoramiento de 3 km aproximadamente._x000a__x000a_Con esta obra se mejora sustancialmente el acceso al principal terminal aéreo del país."/>
    <x v="2"/>
    <s v="Metropolitana de Santiago"/>
    <s v="Sitio en construcción"/>
    <s v="Público"/>
    <s v=""/>
    <n v="1500000"/>
    <s v="UF"/>
    <s v="https://concesiones.mop.gob.cl/project/segunda-concesion-acceso-vial-aeropuerto-arturo-merino-benitez/"/>
    <x v="2"/>
    <s v="Licitación pública con preselección"/>
    <s v="Ingresos totales de la concesión."/>
    <d v="2008-01-05T00:00:00"/>
    <d v="2008-06-10T00:00:00"/>
    <d v="2008-07-04T00:00:00"/>
    <d v="2008-07-21T00:00:00"/>
    <d v="2008-09-12T00:00:00"/>
    <s v="76033448-0"/>
    <s v="SOCIEDAD CONCESIONARIA AMB S.A."/>
    <s v="https://www.cmfchile.cl/institucional/mercados/entidad.php?auth=&amp;send=&amp;mercado=O&amp;rut=76033448&amp;grupo=&amp;tipoentidad=RGEIN&amp;vig=VI&amp;row=AAAwy2ACTAAABy0AAT&amp;control=svs&amp;pestania=1"/>
    <d v="2008-09-12T00:00:00"/>
    <d v="2048-09-11T00:00:00"/>
    <s v="Variable"/>
    <d v="2021-06-17T00:00:00"/>
    <d v="2023-07-14T00:00:00"/>
    <s v="Sin otorgar"/>
    <n v="1795538.8"/>
    <n v="1"/>
  </r>
  <r>
    <s v="059_HSMF1"/>
    <s v="Programa de Concesiones de Infraestructura Hospitalaria"/>
    <n v="1"/>
    <s v="Concesión de Hospital de Maipú y Hospital de La Florida"/>
    <s v="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_x000a__x000a_El diseño, provisión, montaje y mantenimiento del equipamiento clínico, así como los servicios clínicos mismos, son de responsabilidad del Ministerio de Salud, mandante en esta obra._x000a__x000a_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_x000a__x000a_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
    <x v="6"/>
    <s v="Metropolitana de Santiago"/>
    <s v="Sitio en construcción"/>
    <s v="Público"/>
    <s v=""/>
    <n v="6568000"/>
    <s v="UF"/>
    <s v="https://concesiones.mop.gob.cl/project/concesion-hospital-de-maipu-y-la-florida/"/>
    <x v="2"/>
    <s v="Licitación pública con preselección"/>
    <s v="Subsidio."/>
    <d v="2008-05-24T00:00:00"/>
    <d v="2009-05-18T00:00:00"/>
    <d v="2009-06-12T00:00:00"/>
    <d v="2009-08-11T00:00:00"/>
    <d v="2009-11-05T00:00:00"/>
    <s v="76082113-6"/>
    <s v="SOCIEDAD CONCESIONARIA SAN JOSE-TECNOCONTROL S.A."/>
    <s v="https://www.cmfchile.cl/institucional/mercados/entidad.php?auth=&amp;send=&amp;mercado=O&amp;rut=76082113&amp;grupo=&amp;tipoentidad=RGEIN&amp;vig=VI&amp;row=AAAwy2ACTAAABzLAAQ&amp;control=svs&amp;pestania=1"/>
    <d v="2009-11-05T00:00:00"/>
    <d v="2030-02-14T00:00:00"/>
    <s v="Fijo"/>
    <s v="SD"/>
    <d v="2013-12-10T00:00:00"/>
    <d v="2015-02-13T00:00:00"/>
    <n v="6244764.4299999997"/>
    <n v="1"/>
  </r>
  <r>
    <s v="060_66RF1"/>
    <s v="Ruta 66 - Camino de la Fruta"/>
    <n v="1"/>
    <s v="Primera concesión Ruta 66 - Camino de la Fruta"/>
    <n v="0"/>
    <x v="0"/>
    <s v="Valparaíso; Metropolitana de Santiago; Libertador General Bernardo O'Higgins"/>
    <s v="Sitio en construcción"/>
    <s v="Público"/>
    <s v=""/>
    <n v="8653000"/>
    <s v="UF"/>
    <s v="no hay disponible"/>
    <x v="0"/>
    <s v="Sólo licitación pública"/>
    <s v="Subsidio; Ingresos totales de la concesión."/>
    <d v="2008-11-29T00:00:00"/>
    <d v="2009-12-22T00:00:00"/>
    <d v="2010-01-19T00:00:00"/>
    <d v="2010-02-10T00:00:00"/>
    <d v="2010-04-17T00:00:00"/>
    <s v="76099522-3"/>
    <s v="SOCIEDAD CONCESIONARIA LA FRUTA S.A."/>
    <s v="https://www.cmfchile.cl/institucional/mercados/entidad.php?auth=&amp;send=&amp;mercado=O&amp;rut=76099522&amp;grupo=&amp;tipoentidad=RGEIN&amp;vig=NV&amp;row=AAAwy2ACTAAABzLAAV&amp;control=svs&amp;pestania=1"/>
    <d v="2010-04-17T00:00:00"/>
    <d v="2014-01-29T00:00:00"/>
    <s v="Variable"/>
    <s v="No aplica"/>
    <s v="No aplica"/>
    <s v="No aplica"/>
    <n v="1639583.19"/>
    <n v="0"/>
  </r>
  <r>
    <s v="061_PMPA1"/>
    <s v="Concesión Ruta 5, Tramo Puerto Montt - Pargua"/>
    <n v="1"/>
    <s v="Primera concesión Ruta 5, Tramo Puerto Montt - Pargua"/>
    <s v="Autopista de doble calzada de 55 km de longitud que corresponde al tramo Puerto Montt-Pargua de la Ruta 5 Sur que cruza la Región de Los Lagos._x000a__x000a_Considera nuevos enlaces e intersecciones viales, obras de saneamiento y drenaje, señalización y seguridad vial, iluminación, paraderos y calles de servicio."/>
    <x v="0"/>
    <s v="Los Lagos"/>
    <s v="Sitio en construcción"/>
    <s v="Privado"/>
    <d v="2005-03-16T00:00:00"/>
    <n v="4125000"/>
    <s v="UF"/>
    <s v="https://concesiones.mop.gob.cl/project/concesion-ruta-5-tramo-puerto-montt-pargua/"/>
    <x v="2"/>
    <s v="Sólo licitación pública"/>
    <s v="Subsidio; Ingresos totales de la concesión."/>
    <d v="2008-11-29T00:00:00"/>
    <d v="2009-10-29T00:00:00"/>
    <d v="2009-11-25T00:00:00"/>
    <d v="2010-02-10T00:00:00"/>
    <d v="2010-05-04T00:00:00"/>
    <s v="76100845-5"/>
    <s v="SOCIEDAD CONCESIONARIA RUTA DEL CANAL S.A."/>
    <s v="https://www.cmfchile.cl/institucional/mercados/entidad.php?auth=&amp;send=&amp;mercado=O&amp;rut=76100845&amp;grupo=&amp;tipoentidad=RGEIN&amp;vig=VI&amp;row=AAAwy2ACTAAABzNAAS&amp;control=svs&amp;pestania=1"/>
    <d v="2010-05-04T00:00:00"/>
    <d v="2050-11-04T00:00:00"/>
    <s v="Variable"/>
    <s v="SD"/>
    <d v="2014-06-20T00:00:00"/>
    <d v="2014-11-11T00:00:00"/>
    <n v="5248461.3500000006"/>
    <n v="1"/>
  </r>
  <r>
    <s v="073_ADAI3"/>
    <s v="Aeropuerto Diego Aracena de Iquique, I Región de Tarapacá"/>
    <n v="3"/>
    <s v="Tercera concesión Aeropuerto Diego Aracena de Iquique, I Región de Tarapacá"/>
    <s v="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
    <x v="1"/>
    <s v="Tarapacá"/>
    <s v="Sitio en construcción"/>
    <s v="Público"/>
    <s v=""/>
    <n v="109000"/>
    <s v="UF"/>
    <s v="https://concesiones.mop.gob.cl/project/tercera-concesion-aeropuerto-diego-aracena-de-iquique/"/>
    <x v="0"/>
    <s v="Licitación pública con preselección"/>
    <s v="Pagos; Ingresos totales de la concesión."/>
    <d v="2011-12-29T00:00:00"/>
    <d v="2012-05-25T00:00:00"/>
    <d v="2012-06-15T00:00:00"/>
    <d v="2012-07-26T00:00:00"/>
    <d v="2012-10-22T00:00:00"/>
    <s v="76247635-5"/>
    <s v="SOCIEDAD CONCESIONARIA AEROPUERTO DE IQUIQUE S.A."/>
    <s v="https://www.cmfchile.cl/institucional/mercados/entidad.php?mercado=O&amp;rut=76247635&amp;grupo=&amp;tipoentidad=RGEIN&amp;row=AAAwy2ACTAAABzPAAE&amp;vig=NV&amp;control=svs&amp;pestania=50"/>
    <d v="2012-10-22T00:00:00"/>
    <d v="2018-03-31T00:00:00"/>
    <s v="Fijo"/>
    <s v="SD"/>
    <d v="2014-12-16T00:00:00"/>
    <d v="2015-11-11T00:00:00"/>
    <n v="203418.64000000004"/>
    <n v="1"/>
  </r>
  <r>
    <s v="069_ACMA2"/>
    <s v="Aeropuerto Cerro Moreno de Antofagasta"/>
    <n v="2"/>
    <s v="Segunda concesión Aeropuerto Cerro Moreno de Antofagasta"/>
    <s v="Remodelación y ampliación del terminal de pasajeros ubicado a 28 km al norte de la ciudad de Antofagasta en la Ruta CH–1._x000a__x000a_Considera el mantenimiento de todas las obras preexistentes que se extienden por 7.000 m2 y nuevas que se ejecutaron que suman 2.900 m2, que incluye entre otras el nuevo cuartel de seguridad, salvamento y extinción de incendios (SEI)._x000a__x000a_Incluye áreas comerciales, hall público para llegada y salida de pasajeros, superficies para procesos aeroportuarios, oficinas de líneas aéreas, equipamiento electromecánico y aeroportuario, mobiliario, señalética, y comunicaciones, además de todos los servicios básicos._x000a__x000a_El Aeropuerto es clave en potenciar la industria regional y mejorar la conectividad nacional."/>
    <x v="1"/>
    <s v="Antofagasta"/>
    <s v="Sitio en construcción"/>
    <s v="Público"/>
    <s v=""/>
    <n v="665000"/>
    <s v="UF"/>
    <s v="https://concesiones.mop.gob.cl/project/segunda-concesion-aeropuerto-andres-sabella-ex-cerro-moreno-de-antofagasta/"/>
    <x v="0"/>
    <s v="Licitación pública con preselección"/>
    <s v="Ingresos totales de la concesión."/>
    <d v="2010-12-31T00:00:00"/>
    <d v="2011-07-28T00:00:00"/>
    <d v="2011-08-25T00:00:00"/>
    <d v="2011-10-14T00:00:00"/>
    <d v="2011-11-18T00:00:00"/>
    <s v="76179538-4"/>
    <s v="SOCIEDAD CONCESIONARIA AEROPUERTO DE ANTOFAGASTA S.A"/>
    <s v="https://www.cmfchile.cl/institucional/mercados/entidad.php?auth=&amp;send=&amp;mercado=O&amp;rut=76179538&amp;grupo=&amp;tipoentidad=RGEIN&amp;vig=VI&amp;row=AAAwy2ACTAAABzOAAL&amp;control=svs&amp;pestania=1"/>
    <d v="2011-11-18T00:00:00"/>
    <d v="2026-02-28T00:00:00"/>
    <s v="Fijo"/>
    <s v="SD"/>
    <d v="2011-12-15T00:00:00"/>
    <d v="2015-06-20T00:00:00"/>
    <n v="824926.70000000007"/>
    <n v="1"/>
  </r>
  <r>
    <s v="064_PP2G2"/>
    <s v="Programa de Concesiones de Infraestructura Penitenciaria Grupo 2"/>
    <n v="2"/>
    <s v="Segunda concesión Programa de Concesiones de Infraestructura Penitenciaria Grupo 2"/>
    <s v="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
    <x v="4"/>
    <s v="Antofagasta; Biobío"/>
    <s v="Sitio en construcción"/>
    <s v="Público"/>
    <s v=""/>
    <n v="400000"/>
    <s v="UF"/>
    <s v="https://concesiones.mop.gob.cl/project/segunda-concesion-programa-penitenciario-grupo-2-antofagasta-y-concepcion/"/>
    <x v="2"/>
    <s v="Licitación pública con preselección"/>
    <s v="Subsidio."/>
    <d v="2009-04-06T00:00:00"/>
    <d v="2009-12-23T00:00:00"/>
    <d v="2010-01-14T00:00:00"/>
    <d v="2010-02-02T00:00:00"/>
    <d v="2010-04-17T00:00:00"/>
    <s v="76098841-3"/>
    <s v="SOCIEDAD CONCESIONARIA  GRUPO DOS S.A."/>
    <s v="https://www.cmfchile.cl/institucional/mercados/entidad.php?auth=&amp;send=&amp;mercado=O&amp;rut=76098841&amp;grupo=&amp;tipoentidad=RGEIN&amp;vig=VI&amp;row=AAAwy2ACTAAABzHAAA&amp;control=svs&amp;pestania=1"/>
    <d v="2010-04-17T00:00:00"/>
    <d v="2028-08-14T00:00:00"/>
    <s v="Fijo"/>
    <s v="SD"/>
    <s v="Conceoción: 10-12-2010: Antofagatsa: 06-03-2012"/>
    <d v="2013-08-14T00:00:00"/>
    <n v="478814.1"/>
    <n v="1"/>
  </r>
  <r>
    <s v="065_AURA1"/>
    <s v="Concesión Vial Autopistas de la Región de Antofagasta"/>
    <n v="1"/>
    <s v="Primera concesión Vial Autopistas de la Región de Antofagasta"/>
    <s v="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_x000a__x000a_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_x000a__x000a_Estos mejoramientos de rutas contribuyen a mejorar la conectividad vial de la zona, favoreciendo el desarrollo industrial y productivo de la Región de Antofagasta."/>
    <x v="0"/>
    <s v="Antofagasta"/>
    <s v="Sitio en construcción"/>
    <s v="Privado"/>
    <d v="2005-09-08T00:00:00"/>
    <n v="7750000"/>
    <s v="UF"/>
    <s v="https://concesiones.mop.gob.cl/project/concesion-autopista-de-la-region-de-antofagasta/"/>
    <x v="2"/>
    <s v="Sólo licitación pública"/>
    <s v="Plazo; Subsidio."/>
    <d v="2009-07-24T00:00:00"/>
    <d v="2009-12-31T00:00:00"/>
    <d v="2010-01-26T00:00:00"/>
    <d v="2010-02-15T00:00:00"/>
    <d v="2010-04-07T00:00:00"/>
    <s v="76099978-4"/>
    <s v="SOCIEDAD CONCESIONARIA AUTOPISTAS DE ANTOFAGASTA S.A."/>
    <s v="https://www.cmfchile.cl/institucional/mercados/entidad.php?auth=&amp;send=&amp;mercado=O&amp;rut=76099978&amp;grupo=&amp;tipoentidad=RGEIN&amp;vig=VI&amp;row=AAAwy2ACTAAABzLAAT&amp;control=svs&amp;pestania=1"/>
    <d v="2010-04-07T00:00:00"/>
    <d v="2030-09-07T00:00:00"/>
    <s v="Fijo"/>
    <s v="SD"/>
    <d v="2014-04-01T00:00:00"/>
    <d v="2014-12-31T00:00:00"/>
    <n v="7635989.3900000006"/>
    <n v="1"/>
  </r>
  <r>
    <s v="066_ALOA2"/>
    <s v="Aeropuerto El Loa de Calama"/>
    <n v="2"/>
    <s v="Segunda concesión Aeropuerto El Loa de Calama"/>
    <s v="Remodelación del Aeropuerto de El Loa ubicado a 6 km al sur este de la ciudad de Calama en la Región de Antofagasta._x000a__x000a_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_x000a__x000a_Los principales trabajos fueron la ampliación de la plataforma de estacionamiento de aeronaves en 8.100 m2, la construcción de rodaje perpendicular._x000a__x000a_El Aeropuerto es clave en potenciar la industria regional y mejorar la conectividad nacional."/>
    <x v="1"/>
    <s v="Antofagasta"/>
    <s v="Sitio en construcción"/>
    <s v="Público"/>
    <s v=""/>
    <n v="880000"/>
    <s v="UF"/>
    <s v="https://concesiones.mop.gob.cl/project/segunda-concesion-aeropuerto-el-loa-de-calama/"/>
    <x v="0"/>
    <s v="Licitación pública con preselección"/>
    <s v="Subsidio; Ingresos totales de la concesión."/>
    <d v="2010-01-08T00:00:00"/>
    <d v="2010-10-14T00:00:00"/>
    <d v="2010-11-11T00:00:00"/>
    <d v="2011-01-21T00:00:00"/>
    <d v="2011-03-17T00:00:00"/>
    <s v="76139803-2"/>
    <s v="CONSORCIO AEROPORTUARIO DE CALAMA S.A. SOCIEDAD CONCESIONARIA"/>
    <s v="https://www.cmfchile.cl/institucional/mercados/entidad.php?auth=&amp;send=&amp;mercado=O&amp;rut=76139803&amp;grupo=&amp;tipoentidad=RGEIN&amp;vig=VI&amp;row=AAAwy2ACTAAABzNAAY&amp;control=svs&amp;pestania=1"/>
    <d v="2011-03-17T00:00:00"/>
    <d v="2023-09-30T00:00:00"/>
    <s v="Fijo"/>
    <d v="2012-10-28T00:00:00"/>
    <d v="2014-09-15T00:00:00"/>
    <d v="2015-05-05T00:00:00"/>
    <n v="1214481.3400000001"/>
    <n v="1"/>
  </r>
  <r>
    <s v="067_ACIQ1"/>
    <s v="Alternativas de Acceso a Iquique"/>
    <n v="1"/>
    <s v="Primera concesión Alternativas de Acceso a Iquique"/>
    <s v="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_x000a__x000a_La segunda, es un tramo de la Ruta 1, desde el km 1.200 al sur del acceso al Aeropuerto Diego Aracena, hasta el sector denominado Bajo Molle, con una longitud total de 31 km._x000a__x000a_Además cuenta con dos variantes, una en el sector del aeropuerto y otra en el sector denominado “Los Verdes”, que permite alejar la ruta de la costa evitando así el deterioro por la acción abrasiva del mar."/>
    <x v="0"/>
    <s v="Tarapacá"/>
    <s v="Sitio en construcción"/>
    <s v="Privado"/>
    <s v=""/>
    <n v="5040000"/>
    <s v="UF"/>
    <s v="https://concesiones.mop.gob.cl/project/concesion-alternativas-de-acceso-a-iquique/"/>
    <x v="2"/>
    <s v="Sólo licitación pública"/>
    <s v="Nivel de tarifa; Subsidio; Ingresos totales de la concesión."/>
    <d v="2010-01-08T00:00:00"/>
    <d v="2010-12-29T00:00:00"/>
    <d v="2011-01-19T00:00:00"/>
    <d v="2011-06-06T00:00:00"/>
    <d v="2011-09-03T00:00:00"/>
    <s v="76172397-9"/>
    <s v="SOCIEDAD CONCESIONARIA RUTAS DEL DESIERTO S.A"/>
    <s v="https://www.cmfchile.cl/institucional/mercados/entidad.php?auth=&amp;send=&amp;mercado=O&amp;rut=76172397&amp;grupo=&amp;tipoentidad=RGEIN&amp;vig=VI&amp;row=AAAwy2ACTAAABzOAAP&amp;control=svs&amp;pestania=1"/>
    <d v="2011-09-03T00:00:00"/>
    <d v="2043-09-01T00:00:00"/>
    <s v="Variable"/>
    <s v="SD"/>
    <d v="2014-11-03T00:00:00"/>
    <d v="2016-12-27T00:00:00"/>
    <n v="4411657.9000000004"/>
    <n v="1"/>
  </r>
  <r>
    <s v="068_COCA1"/>
    <s v="Concesión Autopista Concepción - Cabrero "/>
    <n v="1"/>
    <s v="Primera concesión Autopista Concepción - Cabrero "/>
    <s v="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_x000a__x000a_La ruta cuenta con una ampliación a doble calzada en el tramo de la Ruta 148 y la Ruta O-50, segregación de la carretera, emplazamiento de enlaces desnivelados en los principales cruces y mejoramiento del estado de las calzadas, entre otros._x000a__x000a_El principal beneficio de la obra es mejorar la conectividad de la región, favoreciendo de esta forma el intercambio comercial."/>
    <x v="0"/>
    <s v="Ñuble; Biobío"/>
    <s v="Sitio en construcción"/>
    <s v="Privado"/>
    <d v="2005-10-21T00:00:00"/>
    <n v="8400000"/>
    <s v="UF"/>
    <s v="https://concesiones.mop.gob.cl/project/concesion-autopista-concepcion-cabrero/"/>
    <x v="2"/>
    <s v="Sólo licitación pública"/>
    <s v="Subsidio; Ingresos totales de la concesión."/>
    <d v="2010-01-08T00:00:00"/>
    <d v="2010-12-27T00:00:00"/>
    <d v="2011-01-17T00:00:00"/>
    <d v="2011-06-07T00:00:00"/>
    <d v="2011-09-03T00:00:00"/>
    <s v="76172387-1"/>
    <s v="SOCIEDAD CONCESIONARIA VALLES DEL BIO BIO S.A"/>
    <s v="https://www.cmfchile.cl/institucional/mercados/entidad.php?auth=&amp;send=&amp;mercado=O&amp;rut=76172387&amp;grupo=&amp;tipoentidad=RGEIN&amp;vig=VI&amp;row=AAAwy2ACTAAABzOAAG&amp;control=svs&amp;pestania=1"/>
    <d v="2011-09-03T00:00:00"/>
    <d v="2048-07-02T00:00:00"/>
    <s v="Variable"/>
    <d v="2012-06-26T00:00:00"/>
    <d v="2016-08-18T00:00:00"/>
    <d v="2018-08-08T00:00:00"/>
    <n v="9125338.2400000002"/>
    <n v="1"/>
  </r>
  <r>
    <s v="063_ACIP2"/>
    <s v="Aeropuerto Presidente Carlos Ibáñez del Campo de Punta Arenas"/>
    <n v="2"/>
    <s v="Segunda concesión Aeropuerto Presidente Carlos Ibáñez del Campo de Punta Arenas"/>
    <s v="Esta concesión finalizó en marzo de 2021 y consideró la remodelación del Aeropuerto Carlos Ibáñez del Campo ubicado a 20 km al norte de la ciudad de Punta Arenas en el costado oriente de la Ruta 9, que une Punta Arenas con Puerto Natales, próximo al Estrecho de Magallanes._x000a__x000a_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_x000a__x000a_Con el desarrollo de esta obra se buscó mejorar los estándares de la infraestructura aeroportuaria en la región._x000a__x000a_La obra fue relicitada y en la actualidad está vigente la tercera concesión."/>
    <x v="1"/>
    <s v="Magallanes y de la Antártica Chilena"/>
    <s v="Sitio en construcción"/>
    <s v="Público"/>
    <s v=""/>
    <n v="314115"/>
    <s v="UF"/>
    <s v="https://concesiones.mop.gob.cl/project/segunda-concesion-aeropuerto-carlos-ibanez-del-campo-de-punta-arenas/"/>
    <x v="0"/>
    <s v="Licitación pública con preselección"/>
    <s v="Ingresos totales de la concesión."/>
    <d v="2009-01-05T00:00:00"/>
    <d v="2009-07-23T00:00:00"/>
    <d v="2009-08-14T00:00:00"/>
    <d v="2009-11-10T00:00:00"/>
    <d v="2010-01-13T00:00:00"/>
    <s v="76087702-6"/>
    <s v="CONSORCIO AEROPORTUARIO DE MAGALLANES S.A. SOCIEDAD CONCESIONARIA"/>
    <s v="https://www.cmfchile.cl/institucional/mercados/entidad.php?auth=&amp;send=&amp;mercado=O&amp;rut=76087702&amp;grupo=&amp;tipoentidad=RGEIN&amp;vig=VI&amp;row=AAAwy2ACTAAABzNAAI&amp;control=svs&amp;pestania=1"/>
    <d v="2010-01-13T00:00:00"/>
    <d v="2021-03-31T00:00:00"/>
    <s v="Fijo"/>
    <s v="SD"/>
    <d v="2012-01-26T00:00:00"/>
    <d v="2012-09-03T00:00:00"/>
    <n v="339463.12000000005"/>
    <n v="1"/>
  </r>
  <r>
    <s v="070_43RU1"/>
    <s v="Concesión para el Mejoramiento y Conservación de la Ruta 43 de la Región de Coquimbo"/>
    <n v="1"/>
    <s v="Primera concesión para el Mejoramiento y Conservación de la Ruta 43 de la Región de Coquimbo"/>
    <s v="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_x000a__x000a_Entre los beneficios del Proyecto se encuentra el aumento en la seguridad vial, ahorros en tiempos de viajes y costos operacionales."/>
    <x v="0"/>
    <s v="Coquimbo"/>
    <s v="Sitio en construcción"/>
    <s v="Público"/>
    <s v=""/>
    <n v="5100000"/>
    <s v="UF"/>
    <s v="https://concesiones.mop.gob.cl/project/concesion-mejoramiento-y-conservacion-de-la-ruta-43-de-la-region-de-coquimbo/"/>
    <x v="2"/>
    <s v="Licitación pública con preselección"/>
    <s v="Subsidio; Ingresos totales de la concesión."/>
    <d v="2011-11-11T00:00:00"/>
    <d v="2012-10-19T00:00:00"/>
    <d v="2012-10-26T00:00:00"/>
    <d v="2013-03-06T00:00:00"/>
    <d v="2013-05-31T00:00:00"/>
    <s v="76307944-9"/>
    <s v="SOCIEDAD CONCESIONARIA RUTA DEL LIMARI S.A."/>
    <s v="https://www.cmfchile.cl/institucional/mercados/entidad.php?auth=&amp;send=&amp;mercado=O&amp;rut=76307944&amp;grupo=&amp;tipoentidad=RGEIN&amp;vig=VI&amp;row=AAAwy2ACTAAABzVAAW&amp;control=svs&amp;pestania=1"/>
    <d v="2013-05-31T00:00:00"/>
    <d v="2063-05-31T00:00:00"/>
    <s v="Variable"/>
    <d v="2014-07-24T00:00:00"/>
    <d v="2018-07-08T00:00:00"/>
    <d v="2019-01-04T00:00:00"/>
    <n v="5612046.0600000005"/>
    <n v="1"/>
  </r>
  <r>
    <s v="071_VALS1"/>
    <s v="Concesión Ruta 5 Norte. Tramo: La Serena - Vallenar"/>
    <n v="1"/>
    <s v="Primera concesión Ruta 5 Norte. Tramo: La Serena - Vallenar"/>
    <s v="Autopista de doble calzada de 187 km de extensión, que tiene como propósito continuar con el mejoramiento de la Ruta 5 Norte. El tramo comienza en el sector urbano de La Serena al norte del cruce de Francisco de Aguirre, hasta el acceso a la localidad de Domeyko._x000a__x000a_Considera mejoramiento de la doble calzada, retornos a nivel ubicados cada 8 a 10 km, calles de servicios, áreas especiales de estacionamiento para camiones y red de asistencia con citófonos de emergencia, grúas y vehículos de atención en caso de urgencias._x000a__x000a_Adicionalmente consta de un nuevo puente, que atraviesa el ferrocarril y el río Elqui, y una solución desnivelada para el sector de Las Compañías junto con otras soluciones similares en los poblados que atraviesa la Ruta 5."/>
    <x v="0"/>
    <s v="Atacama; Coquimbo"/>
    <s v="Sitio en construcción"/>
    <s v="Público"/>
    <s v=""/>
    <n v="7900000"/>
    <s v="UF"/>
    <s v="https://concesiones.mop.gob.cl/project/concesion-ruta-5-tramo-la-serena-vallenar/"/>
    <x v="2"/>
    <s v="Licitación pública con preselección"/>
    <s v="Subsidio; Ingresos totales de la concesión."/>
    <d v="2011-11-18T00:00:00"/>
    <d v="2011-12-13T00:00:00"/>
    <d v="2011-12-20T00:00:00"/>
    <d v="2012-01-26T00:00:00"/>
    <d v="2012-04-03T00:00:00"/>
    <s v="76213076-9"/>
    <s v="SOCIEDAD CONCESIONARIA RUTA DEL ALGARROBO SA"/>
    <s v="https://www.cmfchile.cl/institucional/mercados/entidad.php?auth=&amp;send=&amp;mercado=O&amp;rut=76213076&amp;grupo=&amp;tipoentidad=RGEIN&amp;vig=VI&amp;row=AAAwy2ACTAAABzQAAc&amp;control=svs&amp;pestania=1"/>
    <d v="2012-04-03T00:00:00"/>
    <d v="2047-04-02T00:00:00"/>
    <s v="Variable"/>
    <s v="SD"/>
    <d v="2016-05-09T00:00:00"/>
    <d v="2017-03-01T00:00:00"/>
    <n v="8977038.0899999999"/>
    <n v="1"/>
  </r>
  <r>
    <s v="072_RLOA1"/>
    <s v="Concesión Vial Rutas del Loa"/>
    <n v="1"/>
    <s v="Primera concesión Vial Rutas del Loa"/>
    <s v="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_x000a__x000a_La obra fue relicitada y en la actualidad se encuentra vigente la segunda concesión."/>
    <x v="0"/>
    <s v="Antofagasta"/>
    <s v="Sitio en construcción"/>
    <s v="Privado"/>
    <d v="2007-07-18T00:00:00"/>
    <n v="6560000"/>
    <s v="UF"/>
    <s v="no hay disponible"/>
    <x v="0"/>
    <s v="Sólo licitación pública"/>
    <s v="Subsidio; Ingresos totales de la concesión."/>
    <d v="2011-12-26T00:00:00"/>
    <d v="2012-12-06T00:00:00"/>
    <d v="2012-12-21T00:00:00"/>
    <d v="2013-08-27T00:00:00"/>
    <d v="2014-04-28T00:00:00"/>
    <s v="76380242-6"/>
    <s v="Sociedad Concesionaria San José Rutas del Loa SA"/>
    <s v="SIN"/>
    <d v="2014-04-28T00:00:00"/>
    <d v="2015-11-17T00:00:00"/>
    <s v="Variable"/>
    <s v="No aplica"/>
    <s v="No aplica"/>
    <s v="No aplica"/>
    <n v="7780.25"/>
    <n v="0"/>
  </r>
  <r>
    <s v="062_NARA1"/>
    <s v="Nuevo Aeropuerto de la Región de La Araucanía"/>
    <n v="1"/>
    <s v="Primera concesión Nuevo Aeropuerto de la Región de La Araucanía"/>
    <s v="Nuevo aeropuerto ubicado a 20 km. al sur poniente de la ciudad de Temuco en la Región de la Araucanía que surge en reemplazo al recinto de Manquehue de Temuco._x000a__x000a_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_x000a__x000a_Incluye la vialidad para llegar al recinto mediante un camino que se conecta, mediante un enlace, con la Ruta 5 Sur."/>
    <x v="1"/>
    <s v="La Araucanía"/>
    <s v="Sitio en construcción"/>
    <s v="Público"/>
    <s v=""/>
    <n v="2681000"/>
    <s v="UF"/>
    <s v="https://concesiones.mop.gob.cl/project/concesion-nuevo-aeropuerto-region-de-la-araucania/"/>
    <x v="0"/>
    <s v="Licitación pública con preselección"/>
    <s v="Subsidio."/>
    <d v="2008-12-18T00:00:00"/>
    <d v="2009-10-09T00:00:00"/>
    <d v="2009-11-30T00:00:00"/>
    <d v="2010-02-02T00:00:00"/>
    <d v="2010-04-17T00:00:00"/>
    <s v="76101037-9"/>
    <s v="SOCIEDAD CONCESIONARIA AEROPUERTO ARAUCANIA S.A."/>
    <s v="https://www.cmfchile.cl/institucional/mercados/entidad.php?auth=&amp;send=&amp;mercado=O&amp;rut=76101037&amp;grupo=&amp;tipoentidad=RGEIN&amp;vig=VI&amp;row=AAAwy2ACTAAABzLAAU&amp;control=svs&amp;pestania=1"/>
    <d v="2010-04-17T00:00:00"/>
    <d v="2025-08-31T00:00:00"/>
    <s v="Fijo"/>
    <d v="2012-04-17T00:00:00"/>
    <d v="2014-05-20T00:00:00"/>
    <d v="2015-01-21T00:00:00"/>
    <n v="2623962.17"/>
    <n v="1"/>
  </r>
  <r>
    <s v="054_ATEP2"/>
    <s v="Aeropuerto El Tepual de Puerto Montt, X Región"/>
    <n v="2"/>
    <s v="Segunda concesión Aeropuerto El Tepual de Puerto Montt, X Región"/>
    <s v="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_x000a__x000a_Con el desarrollo de esta obra se buscó mejorar los estándares de las instalaciones aeroportuarias, acordes a las de un aeropuerto regional con carácter internacional._x000a__x000a_La obra fue relicitada y en la actualidad está vigente la cuarta concesión."/>
    <x v="1"/>
    <s v="Los Lagos"/>
    <s v="Sitio en construcción"/>
    <s v="Público"/>
    <s v=""/>
    <n v="441300"/>
    <s v="UF"/>
    <s v="https://concesiones.mop.gob.cl/project/segunda-concesion-aeropuerto-el-tepual-de-puerto-montt/"/>
    <x v="0"/>
    <s v="Licitación pública con preselección"/>
    <s v="Ingresos totales de la concesión."/>
    <d v="2007-05-06T00:00:00"/>
    <d v="2007-09-25T00:00:00"/>
    <d v="2007-10-18T00:00:00"/>
    <d v="2007-11-07T00:00:00"/>
    <d v="2008-01-28T00:00:00"/>
    <s v="76009779-9"/>
    <s v="SOCIEDAD CONCESIONARIA AEROPUERTO PUERTO MONTT S.A."/>
    <s v="https://www.cmfchile.cl/institucional/mercados/entidad.php?mercado=O&amp;rut=76009779&amp;grupo=&amp;tipoentidad=RGEIN&amp;row=AAAwy2ACTAAABy0AAQ&amp;vig=NV&amp;control=svs&amp;pestania=50"/>
    <d v="2008-01-28T00:00:00"/>
    <d v="2014-04-30T00:00:00"/>
    <s v="Variable"/>
    <s v="SD"/>
    <d v="2010-03-23T00:00:00"/>
    <d v="2010-11-10T00:00:00"/>
    <n v="594173.75"/>
    <n v="1"/>
  </r>
  <r>
    <s v="075_HSAN1"/>
    <s v="Hospital de Antofagasta"/>
    <n v="1"/>
    <s v="Primera concesión Hospital de Antofagasta"/>
    <s v="Ubicado en la Región de Antofagasta, el proyecto consiste en la construcción, mantenimiento y explotación de servicios no clínicos de apoyo. Además, la concesión contempla la provisión, reposición y mantenimiento del equipamiento médico._x000a__x000a_La superficie construida será de 114.000 m2, y considera la inclusión de 45 boxes de consulta, 24 boxes de urgencia, 16 boxes dentales, 18 pabellones y 671 camas Indiferenciadas._x000a__x000a_Esta obra pública se financiará mediante aportes del Estado, a través de subsidios tanto para la construcción como la operación del recinto y el equipamiento médico._x000a__x000a_El proyecto beneficiará a una población proyectada de 260 mil personas, al que se agrega la demanda de alta complejidad desde Arica a Copiapó._x000a__x000a_Entre los beneficios del Proyecto se encuentra el aumento de la disponibilidad de camas en la región, con infraestructura hospitalaria y equipamiento médico de alto nivel y alta complejidad."/>
    <x v="6"/>
    <s v="Antofagasta"/>
    <s v="Sitio en construcción"/>
    <s v="Público"/>
    <s v=""/>
    <n v="5300000"/>
    <s v="UF"/>
    <s v="https://concesiones.mop.gob.cl/project/concesion-hospital-de-antofagasta/"/>
    <x v="2"/>
    <s v="Licitación pública con preselección"/>
    <s v="Subsidio."/>
    <d v="2011-12-31T00:00:00"/>
    <d v="2012-10-01T00:00:00"/>
    <d v="2012-10-19T00:00:00"/>
    <d v="2013-02-26T00:00:00"/>
    <d v="2013-06-21T00:00:00"/>
    <s v="76317736-K"/>
    <s v="SOCIEDAD CONCESIONARIA SALUD SIGLO XXI S.A."/>
    <s v="https://www.cmfchile.cl/institucional/mercados/entidad.php?auth=&amp;send=&amp;mercado=O&amp;rut=76317736&amp;grupo=&amp;tipoentidad=RGEIN&amp;vig=VI&amp;row=AAAwy2ACTAAABzTAAk&amp;control=svs&amp;pestania=1"/>
    <d v="2013-06-21T00:00:00"/>
    <d v="2032-12-23T00:00:00"/>
    <s v="Fijo"/>
    <s v="SD"/>
    <d v="2017-10-16T00:00:00"/>
    <d v="2018-12-28T00:00:00"/>
    <n v="6438587.2999999998"/>
    <n v="1"/>
  </r>
  <r>
    <s v="076_NPIB1"/>
    <s v="Concesión Vial Puente Industrial"/>
    <n v="1"/>
    <s v="Primera concesión Vial Puente Industrial"/>
    <s v="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_x000a__x000a_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_x000a__x000a_El proyecto prevé la reducción significativa en los tiempos de viaje y mejoramiento de la conectividad entre ambas riberas del río Bío Bío."/>
    <x v="2"/>
    <s v="Biobío"/>
    <s v="Sitio en construcción"/>
    <s v="Público"/>
    <s v=""/>
    <n v="4420000"/>
    <s v="UF"/>
    <s v="https://concesiones.mop.gob.cl/project/concesion-vial-puente-industrial/"/>
    <x v="1"/>
    <s v="Sólo licitación pública"/>
    <s v="Subsidio; Ingresos totales de la concesión."/>
    <d v="2012-12-28T00:00:00"/>
    <d v="2013-11-15T00:00:00"/>
    <d v="2013-12-13T00:00:00"/>
    <d v="2014-07-08T00:00:00"/>
    <d v="2014-12-02T00:00:00"/>
    <s v="76427516-0"/>
    <s v="SOCIEDAD CONCESIONARIA PUENTE INDUSTRIAL S.A"/>
    <s v="https://www.cmfchile.cl/institucional/mercados/entidad.php?auth=&amp;send=&amp;mercado=O&amp;rut=76427516&amp;grupo=&amp;tipoentidad=RGEIN&amp;vig=VI&amp;row=AAAwy2ACTAAABz3AAK&amp;control=svs&amp;pestania=1"/>
    <d v="2014-12-02T00:00:00"/>
    <d v="2054-12-02T00:00:00"/>
    <s v="Variable"/>
    <d v="2021-07-01T00:00:00"/>
    <d v="2025-11-24T00:00:00"/>
    <s v="Sin otorgar"/>
    <n v="6057865.2999999998"/>
    <n v="0.93169999999999997"/>
  </r>
  <r>
    <s v="077_CFLL1"/>
    <s v="Nuevo Complejo Fronterizo Los Libertadores"/>
    <n v="1"/>
    <s v="Primera concesión Nuevo Complejo Fronterizo Los Libertadores"/>
    <s v="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_x000a__x000a_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_x000a__x000a_Otras obras complementarias: muro deflector de avalanchas, contención de taludes, cierros, drenajes, saneamiento, circulación peatonal, demolición de construcciones existentes, señalética, entre otras._x000a__x000a_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
    <x v="5"/>
    <s v="Valparaíso"/>
    <s v="Sitio en construcción"/>
    <s v="Público"/>
    <s v=""/>
    <n v="1924500"/>
    <s v="UF"/>
    <s v="https://concesiones.mop.gob.cl/project/concesion-complejo-fronterizo-los-libertadores/"/>
    <x v="2"/>
    <s v="Sólo licitación pública"/>
    <s v="Subsidio."/>
    <d v="2012-12-31T00:00:00"/>
    <d v="2014-11-26T00:00:00"/>
    <d v="2014-12-19T00:00:00"/>
    <d v="2015-03-19T00:00:00"/>
    <d v="2015-05-18T00:00:00"/>
    <s v="76475888-9"/>
    <s v="SOCIEDAD CONCESIONARIA NUEVO COMPLEJO FRONTERIZO LOS LIBERTADORES S.A."/>
    <s v="https://www.cmfchile.cl/institucional/mercados/entidad.php?auth=&amp;send=&amp;mercado=O&amp;rut=76475888&amp;grupo=&amp;tipoentidad=RGEIN&amp;vig=VI&amp;row=AAAwy2ACTAAABz5AAL&amp;control=svs&amp;pestania=1"/>
    <d v="2015-05-18T00:00:00"/>
    <d v="2030-11-17T00:00:00"/>
    <s v="Fijo"/>
    <d v="2017-01-13T00:00:00"/>
    <d v="2019-07-23T00:00:00"/>
    <d v="2019-11-24T00:00:00"/>
    <n v="2032422.63"/>
    <n v="1"/>
  </r>
  <r>
    <s v="078_1AVO1"/>
    <s v="Concesión Américo Vespucio Oriente, Tramo Av. El Salto - Príncipe de Gales"/>
    <n v="1"/>
    <s v="Primera concesión Américo Vespucio Oriente, Tramo Av. El Salto - Príncipe de Gales"/>
    <s v="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_x000a__x000a_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_x000a__x000a_La autopista consideró también el mejoramiento de áreas verdes como el Parque Vespucio, el desarrollo de ciclopaseos y permitirá el tránsito del transporte público._x000a__x000a_Se estima que la obra permitirá reducir significativamente los tiempos de traslado y beneficiará a una población estimada de 750 mil habitantes."/>
    <x v="2"/>
    <s v="Metropolitana de Santiago"/>
    <s v="Sitio en construcción"/>
    <s v="Público"/>
    <s v=""/>
    <n v="21900000"/>
    <s v="UF"/>
    <s v="https://concesiones.mop.gob.cl/project/concesion-americo-vespucio-oriente-tramo-el-salto-principe-de-gales/"/>
    <x v="2"/>
    <s v="Licitación pública con preselección"/>
    <s v="Subsidio; Ingresos totales de la concesión."/>
    <d v="2013-07-30T00:00:00"/>
    <d v="2014-01-16T00:00:00"/>
    <d v="2014-01-28T00:00:00"/>
    <d v="2014-01-31T00:00:00"/>
    <d v="2014-03-13T00:00:00"/>
    <s v="76376061-8"/>
    <s v="SOCIEDAD CONCESIONARIA VESPUCIO ORIENTE S.A."/>
    <s v="https://www.cmfchile.cl/institucional/mercados/entidad.php?auth=&amp;send=&amp;mercado=O&amp;rut=76376061&amp;grupo=&amp;tipoentidad=RGEIN&amp;vig=VI&amp;row=AAAwy2ACTAAABzVAAM&amp;control=svs&amp;pestania=1"/>
    <d v="2014-03-13T00:00:00"/>
    <d v="2059-03-12T00:00:00"/>
    <s v="Variable"/>
    <d v="2017-11-10T00:00:00"/>
    <d v="2022-07-28T00:00:00"/>
    <d v="2023-05-29T00:00:00"/>
    <n v="28379077.100000001"/>
    <n v="1"/>
  </r>
  <r>
    <s v="053_ADAI2"/>
    <s v="Aeropuerto Diego Aracena de Iquique, I Región"/>
    <n v="2"/>
    <s v="Segunda concesión Aeropuerto Diego Aracena de Iquique, I Región"/>
    <s v="Esta concesión finalizó en 2012 y consideró la ampliación del Edificio Terminal de Pasajeros, de 4.700 m2 a 8.200 m2, y la remodelación de instalaciones existentes._x000a__x000a_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_x000a__x000a_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
    <x v="1"/>
    <s v="Tarapacá"/>
    <s v="Sitio en construcción"/>
    <s v="Público"/>
    <s v=""/>
    <n v="371200"/>
    <s v="UF"/>
    <s v="https://concesiones.mop.gob.cl/project/segunda-concesion-aeropuerto-diego-aracena-de-iquique/"/>
    <x v="0"/>
    <s v="Licitación pública con preselección"/>
    <s v="Ingresos totales de la concesión."/>
    <d v="2007-04-15T00:00:00"/>
    <d v="2007-09-10T00:00:00"/>
    <d v="2007-09-26T00:00:00"/>
    <d v="2007-10-08T00:00:00"/>
    <d v="2007-11-27T00:00:00"/>
    <s v="76006807-1"/>
    <s v="SOCIEDAD CONCESIONARIA AEROTAS S.A."/>
    <s v="https://www.cmfchile.cl/institucional/mercados/entidad.php?mercado=O&amp;rut=76006807&amp;grupo=&amp;tipoentidad=RGEIN&amp;row=AAAwy2ACTAAABy1AAD&amp;vig=NV&amp;control=svs&amp;pestania=50"/>
    <d v="2007-11-27T00:00:00"/>
    <d v="2012-12-31T00:00:00"/>
    <s v="Variable"/>
    <s v="SD"/>
    <d v="2010-05-13T00:00:00"/>
    <d v="2011-11-27T00:00:00"/>
    <n v="389830.19999999995"/>
    <n v="1"/>
  </r>
  <r>
    <s v="080_HSSG1"/>
    <s v="Hospital del Salvador e Instituto Nacional de Geriatría"/>
    <n v="1"/>
    <s v="Primera concesión Hospital del Salvador e Instituto Nacional de Geriatría"/>
    <s v="Ubicado en la Región Metropolitana, el proyecto consiste en la construcción, mantenimiento y explotación de servicios no clínicos de apoyo de los hospitales del Salvador e Instituto Nacional de Geriatría._x000a__x000a_Además, la concesión contempla la provisión, reposición y mantenimiento del equipamiento médico. La capacidad del recinto se estima en 650 camas._x000a__x000a_Entre los beneficios del Proyecto se encuentra el aumento de la oferta de infraestructura hospitalaria del país con altos estándares técnicos y de servicio al usuario."/>
    <x v="6"/>
    <s v="Metropolitana de Santiago"/>
    <s v="Sitio en construcción"/>
    <s v="Público"/>
    <s v=""/>
    <n v="6714000"/>
    <s v="UF"/>
    <s v="https://concesiones.mop.gob.cl/project/concesion-hospital-del-salvador-geriatrico/"/>
    <x v="3"/>
    <s v="Licitación pública con preselección"/>
    <s v="Subsidio."/>
    <d v="2013-10-15T00:00:00"/>
    <d v="2014-01-20T00:00:00"/>
    <d v="2014-01-29T00:00:00"/>
    <d v="2014-02-11T00:00:00"/>
    <d v="2014-05-28T00:00:00"/>
    <s v="76388163-6"/>
    <s v="CONSORCIO DE SALUD SANTIAGO ORIENTE S.A. SOCIEDAD CONCESIONARIA"/>
    <s v="https://www.cmfchile.cl/institucional/mercados/entidad.php?auth=&amp;send=&amp;mercado=O&amp;rut=76388163&amp;grupo=&amp;tipoentidad=RGEIN&amp;vig=VI&amp;row=AAAwy2ACTAAABzcAAF&amp;control=svs&amp;pestania=1"/>
    <d v="2014-05-28T00:00:00"/>
    <d v="2041-07-21T00:00:00"/>
    <s v="Variable"/>
    <d v="2018-11-27T00:00:00"/>
    <s v="En fase de construcción"/>
    <s v="En fase de construcción"/>
    <n v="9755462.5999999996"/>
    <n v="0.92200000000000004"/>
  </r>
  <r>
    <s v="081_HSFB1"/>
    <s v="Hospital Félix Bulnes"/>
    <n v="1"/>
    <s v="Primera concesión Hospital Félix Bulnes"/>
    <s v="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_x000a__x000a_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_x000a__x000a_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_x000a__x000a_El recinto beneficia a una población estimada en cerca de un millón de personas, provenientes de las comunas de Pudahuel, Cerro Navia, Renca, Quinta Normal y Lo Prado."/>
    <x v="6"/>
    <s v="Metropolitana de Santiago"/>
    <s v="Sitio en construcción"/>
    <s v="Público"/>
    <s v=""/>
    <n v="5300000"/>
    <s v="UF"/>
    <s v="https://concesiones.mop.gob.cl/project/concesion-hospital-felix-bulnes/"/>
    <x v="2"/>
    <s v="Licitación pública con preselección"/>
    <s v="Subsidio."/>
    <d v="2013-11-14T00:00:00"/>
    <d v="2014-01-30T00:00:00"/>
    <d v="2014-02-12T00:00:00"/>
    <d v="2014-02-27T00:00:00"/>
    <d v="2014-06-06T00:00:00"/>
    <s v="76383236-8"/>
    <s v="SOCIEDAD CONCESIONARIA METROPOLITANA DE SALUD S.A."/>
    <s v="https://www.cmfchile.cl/institucional/mercados/entidad.php?auth=&amp;send=&amp;mercado=O&amp;rut=76383236&amp;grupo=&amp;tipoentidad=RGEIN&amp;vig=VI&amp;row=AAAwy2ACTAAABz3AAE&amp;control=svs&amp;pestania=1"/>
    <d v="2014-06-06T00:00:00"/>
    <d v="2035-11-18T00:00:00"/>
    <s v="Fijo"/>
    <d v="2014-10-22T00:00:00"/>
    <d v="2020-03-24T00:00:00"/>
    <d v="2021-11-19T00:00:00"/>
    <n v="5718390.9000000004"/>
    <n v="1"/>
  </r>
  <r>
    <s v="042_ACHA1"/>
    <s v="Aeropuerto Chacalluta de Arica, I Región"/>
    <n v="1"/>
    <s v="Primera concesión Aeropuerto Chacalluta de Arica, I Región"/>
    <s v="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_x000a__x000a_El proyecto, que tuvo por objetivo mejorar los estándares de servicio, también incluyó una nueva área de estacionamiento para vehículos. La obra fue relicitada y en la actualidad está vigente la segunda concesión."/>
    <x v="1"/>
    <s v="Arica y Parinacota"/>
    <s v="Sitio en construcción"/>
    <s v="Público"/>
    <s v=""/>
    <n v="327809"/>
    <s v="UF"/>
    <s v="https://concesiones.mop.gob.cl/project/primera-concesion-del-aeropuerto-chacalluta-de-arica/"/>
    <x v="0"/>
    <s v="Licitación pública con preselección"/>
    <s v="Nivel de tarifa."/>
    <d v="2003-06-29T00:00:00"/>
    <d v="2003-11-13T00:00:00"/>
    <d v="2003-12-16T00:00:00"/>
    <d v="2004-02-06T00:00:00"/>
    <d v="2004-04-19T00:00:00"/>
    <s v="99563730-8"/>
    <s v="    AEROPUERTO CHACALLUTA SOCIEDAD CONCESIONARIA S.A."/>
    <s v="https://www.cmfchile.cl/institucional/mercados/entidad.php?mercado=O&amp;rut=99563730&amp;grupo=&amp;tipoentidad=RGEIN&amp;row=AAAwy2ACTAAAByzAAb&amp;vig=VI&amp;control=svs&amp;pestania=3"/>
    <d v="2004-04-19T00:00:00"/>
    <d v="2019-04-18T00:00:00"/>
    <s v="Fijo"/>
    <s v="SD"/>
    <d v="2006-08-07T00:00:00"/>
    <d v="2007-02-05T00:00:00"/>
    <n v="471611.79000000004"/>
    <n v="1"/>
  </r>
  <r>
    <s v="083_EPUN1"/>
    <s v="Concesión de la Obra Pública Embalse La Punilla"/>
    <n v="1"/>
    <s v="Primera concesión de la Obra Pública Embalse La Punilla"/>
    <s v="Esta concesión comenzó en marzo de 2016 y finalizó el 9 de octubre de 2021, a través de un Convenio de Extinción de contrato por mutuo acuerdo._x000a__x000a_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_x000a__x000a_Con algunas modificaciones, se plantea llamar a licitación el proyecto Concesión Embalse Nueva La Punilla durante el cuarto trimestre de 2021."/>
    <x v="3"/>
    <s v="Ñuble"/>
    <s v="Sitio en construcción"/>
    <s v="Público"/>
    <s v=""/>
    <n v="9410000"/>
    <s v="UF"/>
    <s v="https://concesiones.mop.gob.cl/project/concesion-embalse-la-punilla/"/>
    <x v="0"/>
    <s v="Licitación pública con preselección"/>
    <s v="Plazo; Subsidio."/>
    <d v="2015-03-30T00:00:00"/>
    <d v="2015-12-17T00:00:00"/>
    <d v="2016-01-14T00:00:00"/>
    <d v="2016-03-21T00:00:00"/>
    <d v="2016-06-22T00:00:00"/>
    <s v="76590271-1"/>
    <s v="SOCIEDAD CONCESIONARIA AGUAS DE PUNILLA S.A"/>
    <s v="https://www.cmfchile.cl/institucional/mercados/entidad.php?auth=&amp;send=&amp;mercado=O&amp;rut=76590271&amp;grupo=&amp;tipoentidad=RGEIN&amp;vig=NV&amp;row=AAAwy2ACTAAABz+AAX&amp;control=svs&amp;pestania=1"/>
    <d v="2016-06-22T00:00:00"/>
    <d v="2021-10-09T00:00:00"/>
    <s v="Fijo"/>
    <s v="No aplica"/>
    <s v="No aplica"/>
    <s v="No aplica"/>
    <n v="512516"/>
    <n v="0"/>
  </r>
  <r>
    <s v="084_TEME2"/>
    <s v="Relicitación Concesión Túnel El Melón"/>
    <n v="2"/>
    <s v="Segunda concesión Túnel El Melón"/>
    <s v="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_x000a__x000a_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_x000a__x000a_Respecto de la necesidad de aumentar su capacidad vial, para este proceso se consideró la Construcción de un nuevo túnel –aledaño al actual-, con sus respectivos accesos. Además se añadirán galerías de conexión tanto vehicular como peatonal entre ambos túneles._x000a__x000a_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_x000a__x000a_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_x000a__x000a_Este túnel corresponde a la primera obra concesionada del país, y su puesta en servicio se realizó el miércoles 13 de septiembre de 1995, en una ceremonia encabezada por el presidente Eduardo Frei Ruiz-Tagle."/>
    <x v="0"/>
    <s v="Valparaíso"/>
    <s v="Sitio en construcción"/>
    <s v="Público"/>
    <s v=""/>
    <n v="3026000"/>
    <s v="UF"/>
    <s v="https://concesiones.mop.gob.cl/project/segunda-concesion-tunel-el-melon/"/>
    <x v="0"/>
    <s v="Sólo licitación pública"/>
    <s v="Ingresos totales de la concesión."/>
    <d v="2015-10-14T00:00:00"/>
    <d v="2016-02-17T00:00:00"/>
    <d v="2016-03-07T00:00:00"/>
    <d v="2016-04-04T00:00:00"/>
    <d v="2016-06-07T00:00:00"/>
    <s v="76574787-2"/>
    <s v="SOCIEDAD CONCESIONARIA TUNEL EL MELON II S.A"/>
    <s v="https://www.cmfchile.cl/institucional/mercados/entidad.php?auth=&amp;send=&amp;mercado=O&amp;rut=76574787&amp;grupo=&amp;tipoentidad=RGEIN&amp;vig=VI&amp;row=AAAwy2ACTAAABz9AAH&amp;control=svs&amp;pestania=1"/>
    <d v="2016-06-07T00:00:00"/>
    <d v="2025-06-30T00:00:00"/>
    <s v="Variable"/>
    <d v="2018-10-12T00:00:00"/>
    <d v="2022-10-21T00:00:00"/>
    <d v="2023-07-31T00:00:00"/>
    <n v="2592310.0499999998"/>
    <n v="1"/>
  </r>
  <r>
    <s v="085_CNPU2"/>
    <s v="Relicitación Concesión Camino Nogales - Puchuncaví "/>
    <n v="2"/>
    <s v="Segunda concesión Camino Nogales - Puchuncaví "/>
    <s v="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_x000a__x000a_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_x000a__x000a_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
    <x v="0"/>
    <s v="Valparaíso"/>
    <s v="Sitio en construcción"/>
    <s v="Público"/>
    <s v=""/>
    <n v="5250000"/>
    <s v="UF"/>
    <s v="https://concesiones.mop.gob.cl/project/segunda-concesion-camino-nogales-puchuncavi/"/>
    <x v="1"/>
    <s v="Sólo licitación pública"/>
    <s v="Subsidio; Ingresos totales de la concesión."/>
    <d v="2015-11-27T00:00:00"/>
    <d v="2016-03-29T00:00:00"/>
    <d v="2016-04-22T00:00:00"/>
    <d v="2016-06-07T00:00:00"/>
    <d v="2016-08-23T00:00:00"/>
    <s v="76449868-2"/>
    <s v="SOCIEDAD CONCESIONARIA NUEVO CAMINO NOGALES- PUCHUNCAVI S.A."/>
    <s v="https://www.cmfchile.cl/institucional/mercados/entidad.php?auth=&amp;send=&amp;mercado=O&amp;rut=76449868&amp;grupo=&amp;tipoentidad=RGEIN&amp;vig=VI&amp;row=AAAwy2ACTAAABzaAAD&amp;control=svs&amp;pestania=1"/>
    <d v="2016-08-23T00:00:00"/>
    <d v="2045-08-23T00:00:00"/>
    <s v="Variable"/>
    <d v="2020-06-24T00:00:00"/>
    <s v="En fase de construcción"/>
    <s v="En fase de construcción"/>
    <n v="5250000"/>
    <s v="Sector 1: 86,19% _x000a_Sector 2: 97,76% "/>
  </r>
  <r>
    <s v="035_ARAT1"/>
    <s v="Nuevo Aeropuerto Regional de Atacama, III Región"/>
    <n v="1"/>
    <s v="Primera concesión Nuevo Aeropuerto Regional de Atacama, III Región"/>
    <s v="El Nuevo Aeropuerto Regional de Atacama, está ubicado a 52 km al noroeste de la ciudad de Copiapó y a 23 km al sur este de Caldera, en la Ruta 5 norte km 860._x000a__x000a_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_x000a__x000a_Para los pasajeros cuenta con estacionamiento para automóviles, servicios para facilitar el desplazamiento como ascensores y escaleras mecánicas, además de wifi._x000a__x000a_El Aeropuerto es clave para potenciar la demanda del sector turismo y la industria local, así como mejorar la conectividad nacional."/>
    <x v="1"/>
    <s v="Atacama"/>
    <s v="Sitio en construcción"/>
    <s v="Público"/>
    <s v=""/>
    <n v="1000574"/>
    <s v="UF"/>
    <s v="https://concesiones.mop.gob.cl/project/concesion-nuevo-aeropuerto-regional-de-atacama/"/>
    <x v="0"/>
    <s v="Licitación pública con preselección"/>
    <s v="Subsidio."/>
    <d v="2001-10-09T00:00:00"/>
    <d v="2002-04-30T00:00:00"/>
    <d v="2002-05-31T00:00:00"/>
    <d v="2002-07-23T00:00:00"/>
    <d v="2002-10-03T00:00:00"/>
    <s v="99505010-2"/>
    <s v="SOC CONCESIONARIA AEROPUERTO REGIONAL DE ATACAMA S A"/>
    <s v="https://www.cmfchile.cl/institucional/mercados/entidad.php?auth=&amp;send=&amp;mercado=O&amp;rut=99505010&amp;grupo=&amp;tipoentidad=RGEIN&amp;vig=VI&amp;row=AAAwy2ACTAAAAWdAAK&amp;control=svs&amp;pestania=1"/>
    <d v="2002-10-03T00:00:00"/>
    <d v="2025-01-23T00:00:00"/>
    <s v="Fijo"/>
    <s v="SD"/>
    <d v="2005-01-28T00:00:00"/>
    <d v="2005-09-27T00:00:00"/>
    <n v="919407.34"/>
    <n v="1"/>
  </r>
  <r>
    <s v="025_ACIP1"/>
    <s v="Terminal de Pasajeros Aeropuerto Presidente Carlos Ibáñez del Campo de Punta Arenas"/>
    <n v="1"/>
    <s v="Primera concesión Terminal de Pasajeros Aeropuerto Presidente Carlos Ibáñez del Campo de Punta Arenas"/>
    <s v="Esta concesión finalizó en enero de 2010 y consideró la construcción de un nuevo edificio terminal de pasajeros de aproximadamente 6.060 m2, con dos cintas transportadoras de equipaje y tres puentes de embarque, para atender a 500 mil pasajeros al año._x000a__x000a__x000a_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_x000a__x000a__x000a_La obra fue relicitada y en la actualidad está vigente la segunda concesión."/>
    <x v="1"/>
    <s v="Magallanes y de la Antártica Chilena"/>
    <s v="Sitio en construcción"/>
    <s v="Público"/>
    <s v=""/>
    <n v="320573"/>
    <s v="UF"/>
    <s v="https://concesiones.mop.gob.cl/project/primera-concesion-aeropuerto-carlos-ibanez-del-campo-de-punta-arenas/"/>
    <x v="0"/>
    <s v="Sólo licitación pública"/>
    <s v="Plazo."/>
    <d v="1999-07-29T00:00:00"/>
    <d v="1999-10-14T00:00:00"/>
    <d v="1999-11-23T00:00:00"/>
    <d v="2000-02-08T00:00:00"/>
    <d v="2000-04-24T00:00:00"/>
    <s v="96921070-3"/>
    <s v="AUSTRAL SOCIEDAD CONCESIONARIA S.A."/>
    <s v="https://www.cmfchile.cl/institucional/mercados/entidad.php?auth=&amp;send=&amp;mercado=O&amp;rut=96921070&amp;grupo=&amp;tipoentidad=RGEIN&amp;vig=NV&amp;row=AAAwy2ACTAAAAWbAAT&amp;control=svs&amp;pestania=2"/>
    <d v="2000-04-24T00:00:00"/>
    <d v="2010-03-23T00:00:00"/>
    <s v="Fijo"/>
    <s v="SD"/>
    <d v="2002-12-16T00:00:00"/>
    <s v="SD"/>
    <n v="324423.18"/>
    <n v="1"/>
  </r>
  <r>
    <s v="088_2AVO1"/>
    <s v="Concesión Américo Vespucio Oriente, Tramo Av. Príncipe de Gales - Los Presidentes"/>
    <n v="1"/>
    <s v="Primera concesión Américo Vespucio Oriente, Tramo Av. Príncipe de Gales - Los Presidentes"/>
    <s v="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_x000a__x000a_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_x000a__x000a_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
    <x v="2"/>
    <s v="Metropolitana de Santiago"/>
    <s v="Sitio en construcción"/>
    <s v="Público"/>
    <s v=""/>
    <n v="19670000"/>
    <s v="UF"/>
    <s v="https://concesiones.mop.gob.cl/project/concesion-americo-vespucio-oriente-principe-de-gales-los-presidentes/"/>
    <x v="3"/>
    <s v="Licitación pública con preselección"/>
    <s v="Subsidio; Ingresos totales de la concesión."/>
    <d v="2016-08-12T00:00:00"/>
    <d v="2017-05-30T00:00:00"/>
    <d v="2018-07-28T00:00:00"/>
    <d v="2017-11-15T00:00:00"/>
    <d v="2018-04-05T00:00:00"/>
    <s v="76870948-3"/>
    <s v="SOCIEDAD CONCESIONARIA AMERICO VESPUCIO ORIENTE II S.A."/>
    <s v="https://www.cmfchile.cl/institucional/mercados/entidad.php?auth=&amp;send=&amp;mercado=O&amp;rut=76870948&amp;grupo=&amp;tipoentidad=RGEIN&amp;vig=VI&amp;row=AAAwy2ACTAAAAQnAAM&amp;control=svs&amp;pestania=1"/>
    <d v="2018-04-05T00:00:00"/>
    <d v="2063-04-04T00:00:00"/>
    <s v="Variable"/>
    <d v="2023-12-28T00:00:00"/>
    <s v="En fase de construcción"/>
    <s v="En fase de construcción"/>
    <n v="19670000"/>
    <n v="0.2641"/>
  </r>
  <r>
    <s v="089_RNAH1"/>
    <s v="Mejoramiento Ruta Nahuelbuta"/>
    <n v="1"/>
    <s v="Primera concesión Mejoramiento Ruta Nahuelbuta"/>
    <s v="El proyecto de la Ruta Nahuelbuta (Ruta 180), permite la conectividad directa entre las Comunas de Negrete, y Los Ángeles de la Región del Biobío, y las Comunas de Angol y Renaico de la Región de La Araucanía._x000a__x000a_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_x000a__x000a_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
    <x v="0"/>
    <s v="Biobío; La Araucanía"/>
    <s v="Sitio en construcción"/>
    <s v="Privado"/>
    <d v="2005-11-14T00:00:00"/>
    <n v="6125000"/>
    <s v="UF"/>
    <s v="https://concesiones.mop.gob.cl/project/concesion-mejoramiento-ruta-nahuelbuta/"/>
    <x v="1"/>
    <s v="Sólo licitación pública"/>
    <s v="Subsidio; Ingresos totales de la concesión."/>
    <d v="2016-11-16T00:00:00"/>
    <d v="2017-08-17T00:00:00"/>
    <d v="2017-09-14T00:00:00"/>
    <d v="2017-12-11T00:00:00"/>
    <d v="2018-04-10T00:00:00"/>
    <s v="76882345-6"/>
    <s v="SOCIEDAD CONCESIONARIA RUTA NAHUELBUTA S.A."/>
    <s v="https://www.cmfchile.cl/institucional/mercados/entidad.php?auth=&amp;send=&amp;mercado=O&amp;rut=76882345&amp;grupo=&amp;tipoentidad=RGEIN&amp;vig=VI&amp;row=AAAwy2ACTAAAAQiAAE&amp;control=svs&amp;pestania=1"/>
    <d v="2018-04-10T00:00:00"/>
    <d v="2053-04-09T00:00:00"/>
    <s v="Variable"/>
    <d v="2020-10-20T00:00:00"/>
    <s v="En fase de construcción"/>
    <s v="En fase de construcción"/>
    <n v="6658686.9000000004"/>
    <s v="Sector A: 94,98%;  sector B:100% _x000a_"/>
  </r>
  <r>
    <s v="090_RLOA2"/>
    <s v="Concesión Vial Rutas del Loa"/>
    <n v="2"/>
    <s v="Segunda concesión Vial Rutas del Loa"/>
    <s v="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_x000a__x000a_El trazado respeta sectores sensibles correspondientes a antiguas instalaciones salitreras declaradas monumentos históricos._x000a__x000a_La obra beneficiará a los habitantes de Sierra Gorda y Calama, pero también a quienes desarrollen actividades comerciales y productivas en la zona."/>
    <x v="0"/>
    <s v="Antofagasta"/>
    <s v="Sitio en construcción"/>
    <s v="Público"/>
    <m/>
    <n v="7330000"/>
    <s v="UF"/>
    <s v="https://concesiones.mop.gob.cl/project/segunda-concesion-rutas-del-loa/"/>
    <x v="1"/>
    <s v="Sólo licitación pública"/>
    <s v="Ingresos totales de la concesión."/>
    <d v="2017-04-07T00:00:00"/>
    <d v="2017-10-19T00:00:00"/>
    <d v="2017-11-16T00:00:00"/>
    <d v="2017-12-27T00:00:00"/>
    <d v="2018-04-10T00:00:00"/>
    <s v="76876635-5"/>
    <s v="RUTA DEL LOA SOCIEDAD CONCESIONARIA S.A."/>
    <s v="https://www.cmfchile.cl/institucional/mercados/entidad.php?auth=&amp;send=&amp;mercado=O&amp;rut=76876635&amp;grupo=&amp;tipoentidad=RGEIN&amp;vig=VI&amp;row=AAAwy2ACTAAAAQnAAN&amp;control=svs&amp;pestania=1"/>
    <d v="2018-04-10T00:00:00"/>
    <d v="2058-04-10T00:00:00"/>
    <s v="Variable"/>
    <d v="2020-08-17T00:00:00"/>
    <s v="En fase de construcción"/>
    <s v="En fase de construcción"/>
    <n v="7330000"/>
    <s v="Sector A: 100,0%_x000a_Sector B: 100,0% _x000a_"/>
  </r>
  <r>
    <s v="091_TELB1"/>
    <s v="Concesión Teleférico Bicentenario"/>
    <n v="1"/>
    <s v="Primera concesión Teleférico Bicentenario"/>
    <s v="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_x000a__x000a_La infraestructura constará de cabinas para 10 personas, montadas sobre cables que tendrán una frecuencia cada 12 segundos y con una estimación de 3.000 pasajeros/hora por sentido._x000a__x000a_El proyecto se sustenta en la necesidad de complementar el transporte de personas no contaminante en un sector complejo de vialidad y tránsito peatonal."/>
    <x v="5"/>
    <s v="Metropolitana de Santiago"/>
    <s v="Sitio en construcción"/>
    <s v="Privado"/>
    <d v="2011-11-18T00:00:00"/>
    <n v="1948603"/>
    <s v="UF"/>
    <s v="https://concesiones.mop.gob.cl/project/concesion-teleferico-bicentenario/"/>
    <x v="3"/>
    <s v="Sólo licitación pública"/>
    <s v="Ingresos totales de la concesión."/>
    <d v="2017-07-11T00:00:00"/>
    <d v="2017-12-15T00:00:00"/>
    <d v="2018-01-12T00:00:00"/>
    <d v="2018-03-27T00:00:00"/>
    <d v="2018-05-19T00:00:00"/>
    <s v="76896837-3"/>
    <s v="SOCIEDAD CONCESIONARIA TELEFERICO BICENTENARIO S.A."/>
    <s v="https://www.cmfchile.cl/institucional/mercados/entidad.php?auth=&amp;send=&amp;mercado=O&amp;rut=76896837&amp;grupo=&amp;tipoentidad=RGEIN&amp;vig=VI&amp;row=AAAwy2ACTAAAAQkAAK&amp;control=svs&amp;pestania=1"/>
    <d v="2018-05-19T00:00:00"/>
    <d v="2054-12-10T00:00:00"/>
    <s v="Variable"/>
    <d v="2023-12-20T00:00:00"/>
    <s v="En fase de construcción"/>
    <s v="En fase de construcción"/>
    <n v="1948603"/>
    <n v="0.57709999999999995"/>
  </r>
  <r>
    <s v="092_ELPA1"/>
    <s v="Concesión Embalse Las Palmas"/>
    <n v="1"/>
    <s v="Primera concesión Embalse Las Palmas"/>
    <s v="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_x000a__x000a_Esta obra mejorará las condiciones de riego en el valle de Petorca, de aproximadamente 2.859 hectáreas, pertenecientes a las comunas de Petorca, Cabildo, La Ligua y Papudo._x000a__x000a_Además, el embalse asegurará la disponibilidad de recursos hídricos para consumo humano a comunidades rurales, al suplir los déficits de agua en épocas de sequía."/>
    <x v="3"/>
    <s v="Valparaíso"/>
    <s v="Sitio en construcción"/>
    <s v="Público"/>
    <s v=""/>
    <n v="3880000"/>
    <s v="UF"/>
    <s v="https://concesiones.mop.gob.cl/project/concesion-embalse-las-palmas/"/>
    <x v="3"/>
    <s v="Sólo licitación pública"/>
    <s v="Subsidio."/>
    <d v="2017-07-28T00:00:00"/>
    <d v="2017-12-20T00:00:00"/>
    <d v="2018-01-18T00:00:00"/>
    <d v="2018-03-06T00:00:00"/>
    <d v="2018-05-04T00:00:00"/>
    <s v="76882491-6"/>
    <s v="SOCIEDAD CONCESIONARIA CHEC EMBALSE LAS PALMAS S.A."/>
    <s v="https://www.cmfchile.cl/institucional/mercados/entidad.php?auth=&amp;send=&amp;mercado=O&amp;rut=76882491&amp;grupo=&amp;tipoentidad=RGEIN&amp;vig=VI&amp;row=AAAwy2ACTAAACuDAAA&amp;control=svs&amp;pestania=1"/>
    <d v="2018-05-04T00:00:00"/>
    <d v="2037-08-04T00:00:00"/>
    <s v="Fijo"/>
    <d v="2019-09-23T00:00:00"/>
    <s v="En fase de construcción"/>
    <s v="En fase de construcción"/>
    <n v="3880000"/>
    <n v="0.21240000000000001"/>
  </r>
  <r>
    <s v="093_67CV1"/>
    <s v="Conexión Vial Ruta 78 hasta Ruta 68"/>
    <n v="1"/>
    <s v="Primera concesión Conexión Vial Ruta 78 hasta Ruta 68"/>
    <s v="La obra considera el desarrollo de una nueva autopista de aproximadamente 9 km de extensión que se desarrolla en el sector poniente de Santiago, entre las comunas de Pudahuel y Maipú, próximo al río Mapocho, entre la Ruta 68 y la Ruta 78._x000a__x000a_El trazado de esta vía expresa será de dos pistas por sentido, ampliable a tres y con enlaces a desnivel en las conexiones con la Ruta 68, Callejón Los Perros y la Ruta 78._x000a__x000a_La obra tiene importancia al dotar a la región Metropolitana de un segundo anillo vial fuera de Américo Vespucio. Además se transforma en una alternativa para conectar el sector oriente de la capital con el surponiente de Santiago."/>
    <x v="2"/>
    <s v="Metropolitana de Santiago"/>
    <s v="Sitio en construcción"/>
    <s v="Privado"/>
    <d v="2009-01-13T00:00:00"/>
    <n v="6100000"/>
    <s v="UF"/>
    <s v="https://concesiones.mop.gob.cl/project/concesion-conexion-vial-ruta-78-hasta-ruta-68/"/>
    <x v="3"/>
    <s v="Sólo licitación pública"/>
    <s v="Ingresos totales de la concesión."/>
    <d v="2017-09-12T00:00:00"/>
    <d v="2018-01-11T00:00:00"/>
    <d v="2018-02-01T00:00:00"/>
    <d v="2018-03-05T00:00:00"/>
    <d v="2018-04-21T00:00:00"/>
    <s v="76877147-2"/>
    <s v="SOCIEDAD CONCESIONARIA CONEXION VIAL RUTA 78 - 68 S.A."/>
    <s v="https://www.cmfchile.cl/institucional/mercados/entidad.php?auth=&amp;send=&amp;mercado=O&amp;rut=76877147&amp;grupo=&amp;tipoentidad=RGEIN&amp;vig=VI&amp;row=AAAwy2ACTAAAAQnAAE&amp;control=svs&amp;pestania=1"/>
    <d v="2018-04-21T00:00:00"/>
    <d v="2063-04-20T00:00:00"/>
    <s v="Variable"/>
    <d v="2025-11-11T00:00:00"/>
    <s v="En fase de construcción"/>
    <s v="En fase de construcción"/>
    <n v="6100000"/>
    <n v="2.8500000000000001E-2"/>
  </r>
  <r>
    <s v="094_66RF2"/>
    <s v="Ruta 66, Camino de La Fruta"/>
    <n v="2"/>
    <s v="Segunda concesión Ruta 66, Camino de La Fruta"/>
    <s v="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_x000a__x000a_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_x000a__x000a_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
    <x v="0"/>
    <s v="Valparaíso; Metropolitana de Santiago; Libertador General Bernardo O'Higgins"/>
    <s v="Sitio en construcción"/>
    <s v="Público"/>
    <s v=""/>
    <n v="13425000"/>
    <s v="UF"/>
    <s v="https://concesiones.mop.gob.cl/project/segunda-concesion-ruta-66-camino-de-la-fruta/"/>
    <x v="1"/>
    <s v="Sólo licitación pública"/>
    <s v="Subsidio; Ingresos totales de la concesión."/>
    <d v="2017-10-12T00:00:00"/>
    <d v="2019-05-31T00:00:00"/>
    <d v="2019-06-26T00:00:00"/>
    <d v="2019-08-20T00:00:00"/>
    <d v="2019-11-09T00:00:00"/>
    <s v="77102137-9"/>
    <s v="SOCIEDAD CONCESIONARIA RUTA DE LA FRUTA S.A."/>
    <s v="https://www.cmfchile.cl/institucional/mercados/entidad.php?auth=&amp;send=&amp;mercado=O&amp;rut=77102137&amp;grupo=&amp;tipoentidad=RGEIN&amp;vig=VI&amp;row=AAAwy2ACTAAACuDAAC&amp;control=svs&amp;pestania=1"/>
    <d v="2019-11-09T00:00:00"/>
    <d v="2064-11-08T00:00:00"/>
    <s v="Variable"/>
    <d v="2021-08-31T00:00:00"/>
    <s v="En fase de construcción"/>
    <s v="En fase de construcción"/>
    <n v="13425000"/>
    <s v="subsector B3 100,0%;_x000a_subsector B4 100,0%; subsector B5 45,14%"/>
  </r>
  <r>
    <s v="023_ACMA1"/>
    <s v="Terminal de Pasajeros Aeropuerto Cerro Moreno de Antofagasta"/>
    <n v="1"/>
    <s v="Primera concesión Terminal de Pasajeros Aeropuerto Cerro Moreno de Antofagasta"/>
    <s v="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_x000a__x000a_Con el desarrollo de esta obra se buscó mejorar los estándares de las instalaciones aeroportuarias._x000a__x000a_La obra fue relicitada y en la actualidad está vigente la segunda concesión."/>
    <x v="1"/>
    <s v="Antofagasta"/>
    <s v="Sitio en construcción"/>
    <s v="Privado"/>
    <s v=""/>
    <n v="250000"/>
    <s v="UF"/>
    <s v="https://concesiones.mop.gob.cl/project/primera-concesion-aeropuerto-cerro-moreno-de-antofagasta/"/>
    <x v="0"/>
    <s v="Sólo licitación pública"/>
    <s v="Nivel de tarifa; Plazo; Pagos."/>
    <d v="1999-04-21T00:00:00"/>
    <d v="1999-07-15T00:00:00"/>
    <d v="1999-08-17T00:00:00"/>
    <d v="1999-10-29T00:00:00"/>
    <d v="2000-01-20T00:00:00"/>
    <s v="96912990-6"/>
    <s v="AEROPUERTO CERRO MORENO SOCIEDAD CONCESIONARIA S.A."/>
    <s v="https://www.cmfchile.cl/institucional/mercados/entidad.php?mercado=O&amp;rut=96912990&amp;grupo=&amp;tipoentidad=RGEIN&amp;row=AAAwy2ACTAAAByxAAR&amp;vig=NV&amp;control=svs&amp;pestania=6"/>
    <d v="2000-01-20T00:00:00"/>
    <d v="2011-12-13T00:00:00"/>
    <s v="Fijo"/>
    <s v="SD"/>
    <d v="2001-01-14T00:00:00"/>
    <d v="2002-05-01T00:00:00"/>
    <n v="268749.30999999994"/>
    <n v="1"/>
  </r>
  <r>
    <s v="097_21RG1"/>
    <s v="Concesión Vial Mejoramiento Ruta G-21"/>
    <n v="1"/>
    <s v="Primera concesión Vial Mejoramiento Ruta G-21"/>
    <s v="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_x000a_Adicionalmente, mejoraría el trazado y rehabilitaría pavimentos existente en aproximadamente 1 km de la Ruta G-245 en dirección hacia la Minera Los Bronces."/>
    <x v="2"/>
    <s v="Metropolitana de Santiago"/>
    <s v="Sitio en construcción"/>
    <s v="Privado"/>
    <d v="2005-02-02T00:00:00"/>
    <n v="2308000"/>
    <s v="UF"/>
    <s v="https://concesiones.mop.gob.cl/project/concesion-mejoramiento-ruta-g-21/"/>
    <x v="0"/>
    <s v="Sólo licitación pública"/>
    <s v="Nivel de tarifa; Ingresos totales de la concesión."/>
    <d v="2018-04-05T00:00:00"/>
    <d v="2018-10-25T00:00:00"/>
    <d v="2018-11-16T00:00:00"/>
    <d v="2019-01-22T00:00:00"/>
    <d v="2019-04-02T00:00:00"/>
    <s v="77015092-2"/>
    <s v="SOCIEDAD CONCESIONARIA RUTA G-21 S.A."/>
    <s v="https://www.cmfchile.cl/institucional/mercados/entidad.php?auth=&amp;send=&amp;mercado=O&amp;rut=77015092&amp;grupo=&amp;tipoentidad=RGEIN&amp;vig=VI&amp;row=AAAwy2ACTAAACuAAAT&amp;control=svs&amp;pestania=1"/>
    <d v="2019-04-02T00:00:00"/>
    <d v="2023-08-07T00:00:00"/>
    <s v="Variable"/>
    <s v="No aplica"/>
    <s v="No aplica"/>
    <s v="No aplica"/>
    <n v="825000"/>
    <n v="0"/>
  </r>
  <r>
    <s v="098_LVLS2"/>
    <s v="Concesión Ruta 5 Tramo Los Vilos – La Serena"/>
    <n v="2"/>
    <s v="Segunda concesión Ruta 5 Tramo Los Vilos – La Serena"/>
    <s v="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_x000a__x000a_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_x000a__x000a_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
    <x v="0"/>
    <s v="Coquimbo"/>
    <s v="Sitio en construcción"/>
    <s v="Público"/>
    <s v=""/>
    <n v="12155000"/>
    <s v="UF"/>
    <s v="https://concesiones.mop.gob.cl/project/segunda-concesion-ruta-5-tramo-los-vilos-la-serena-conurbacion/"/>
    <x v="1"/>
    <s v="Sólo licitación pública"/>
    <s v="Ingresos totales de la concesión."/>
    <d v="2018-05-12T00:00:00"/>
    <d v="2018-11-30T00:00:00"/>
    <d v="2018-12-26T00:00:00"/>
    <d v="2019-04-30T00:00:00"/>
    <d v="2019-10-28T00:00:00"/>
    <s v="77102042-9"/>
    <s v="SOCIEDAD CONCESIONARIA RUTA DEL ELQUI S.A."/>
    <s v="https://www.cmfchile.cl/institucional/mercados/entidad.php?auth=&amp;send=&amp;mercado=O&amp;rut=77102042&amp;grupo=&amp;tipoentidad=RGEIN&amp;vig=VI&amp;row=AAAwy2ACTAAACuBAAG&amp;control=svs&amp;pestania=1"/>
    <d v="2019-10-28T00:00:00"/>
    <d v="2049-10-27T00:00:00"/>
    <s v="Variable"/>
    <d v="2025-05-20T00:00:00"/>
    <s v="En fase de construcción"/>
    <s v="En fase de construcción"/>
    <n v="12155000"/>
    <s v="Tramo Interurbamo : 43,21%"/>
  </r>
  <r>
    <s v="022_ACSU1"/>
    <s v="Terminal de Pasajeros Aeropuerto Carriel Sur de Concepción"/>
    <n v="1"/>
    <s v="Primera concesión Terminal de Pasajeros Aeropuerto Carriel Sur de Concepción"/>
    <s v="Esta concesión finalizó en agosto de 2016 y consideró la construcción de un nuevo edificio Terminal de dos niveles y con cuatro mangas de embarque, con una capacidad para recibir un millón de pasajeros al año._x000a__x000a_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_x000a__x000a_La obra fue relicitada y en la actualidad está vigente la segunda concesión."/>
    <x v="1"/>
    <s v="Biobío"/>
    <s v="Sitio en construcción"/>
    <s v="Privado"/>
    <s v=""/>
    <n v="629300"/>
    <s v="UF"/>
    <s v="https://concesiones.mop.gob.cl/project/primera-concesion-aeropuerto-carriel-sur-de-concepcion/"/>
    <x v="0"/>
    <s v="Sólo licitación pública"/>
    <s v="Nivel de tarifa; Plazo; Pagos."/>
    <d v="1998-08-05T00:00:00"/>
    <d v="1998-10-15T00:00:00"/>
    <d v="1998-11-10T00:00:00"/>
    <d v="1999-01-20T00:00:00"/>
    <d v="1999-04-28T00:00:00"/>
    <s v="96888630-4"/>
    <s v="SOCIEDAD CONCESIONARIA AEROSUR S.A"/>
    <s v="https://www.cmfchile.cl/institucional/mercados/entidad.php?auth=&amp;send=&amp;mercado=O&amp;rut=96888630&amp;grupo=&amp;tipoentidad=RGEIN&amp;vig=NV&amp;row=AAAwy2ACTAAAAWcAAA&amp;control=svs&amp;pestania=1"/>
    <d v="1999-01-24T00:00:00"/>
    <d v="2016-08-23T00:00:00"/>
    <s v="Fijo"/>
    <s v="SD"/>
    <d v="2000-12-15T00:00:00"/>
    <d v="2001-07-12T00:00:00"/>
    <n v="945229.47"/>
    <n v="1"/>
  </r>
  <r>
    <s v="019_AAMB1"/>
    <s v="Aeropuerto Internacional Arturo Merino Benítez de Santiago"/>
    <n v="1"/>
    <s v="Primera concesión Aeropuerto Internacional Arturo Merino Benítez de Santiago"/>
    <s v="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
    <x v="1"/>
    <s v="Metropolitana de Santiago"/>
    <s v="Sitio en construcción"/>
    <s v="Público"/>
    <s v=""/>
    <n v="4600000"/>
    <s v="UF"/>
    <s v="https://concesiones.mop.gob.cl/project/primera-concesion-aeropuerto-internacional-arturo-merino-benitez/"/>
    <x v="0"/>
    <s v="Licitación pública con preselección"/>
    <s v="Nivel de tarifa; Plazo; Otros (ii)"/>
    <d v="1997-06-17T00:00:00"/>
    <d v="1997-10-15T00:00:00"/>
    <d v="1997-11-18T00:00:00"/>
    <d v="1997-12-05T00:00:00"/>
    <d v="1998-02-20T00:00:00"/>
    <s v="96850960-8"/>
    <s v="SCL TERMINAL AEREO SANTIAGO S.A. SOCIEDAD CONCESIONARIA "/>
    <s v="https://www.cmfchile.cl/institucional/mercados/entidad.php?auth=&amp;send=&amp;mercado=O&amp;rut=96850960&amp;grupo=&amp;tipoentidad=RGEIN&amp;vig=NV&amp;row=AAAwy2ACTAAABy7AAj&amp;control=svs&amp;pestania=2"/>
    <d v="1998-07-07T00:00:00"/>
    <d v="2015-09-30T00:00:00"/>
    <s v="Variable"/>
    <s v="SD"/>
    <s v="SD"/>
    <s v="SD"/>
    <n v="8543190.5899999999"/>
    <n v="1"/>
  </r>
  <r>
    <s v="101_TACH2"/>
    <s v="Segunda Concesión Ruta 5 Tramo Talca Chillán"/>
    <n v="2"/>
    <s v="Segunda concesión Ruta 5 Tramo Talca Chillán"/>
    <s v="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_x000a__x000a_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_x000a__x000a_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
    <x v="0"/>
    <s v="Maule; Ñuble"/>
    <s v="Sitio en construcción"/>
    <s v="Público"/>
    <s v=""/>
    <n v="19180000"/>
    <s v="UF"/>
    <s v="https://concesiones.mop.gob.cl/project/segunda-concesion-ruta-5-tramo-talca-chillan/"/>
    <x v="1"/>
    <s v="Sólo licitación pública"/>
    <s v="Ingresos totales de la concesión."/>
    <d v="2019-10-19T00:00:00"/>
    <d v="2020-10-30T00:00:00"/>
    <d v="2020-11-27T00:00:00"/>
    <d v="2021-01-07T00:00:00"/>
    <d v="2021-03-13T00:00:00"/>
    <s v="77337752-9"/>
    <s v="SOCIEDAD CONCESIONARIA RUTA 5 TALCA-CHILLAN S.A."/>
    <s v="https://www.cmfchile.cl/institucional/mercados/entidad.php?auth=&amp;send=&amp;mercado=O&amp;rut=77337752&amp;grupo=&amp;tipoentidad=RGEIN&amp;vig=VI&amp;row=AAAwy2ACTAAACuCAAi&amp;control=svs&amp;pestania=1"/>
    <d v="2021-03-13T00:00:00"/>
    <d v="2053-03-13T00:00:00"/>
    <s v="Variable"/>
    <s v="sin inicio"/>
    <s v="En fase de construcción"/>
    <s v="En fase de construcción"/>
    <n v="19180000"/>
    <n v="0"/>
  </r>
  <r>
    <s v="017_ALOA1"/>
    <s v="Terminal de Pasajeros Aeropuerto El Loa de Calama"/>
    <n v="1"/>
    <s v="Primera concesión Terminal de Pasajeros Aeropuerto El Loa de Calama"/>
    <s v="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_x000a__x000a_La obra fue relicitada y en la actualidad está vigente la segunda concesión."/>
    <x v="1"/>
    <s v="Antofagasta"/>
    <s v="Sitio en construcción"/>
    <s v="Privado"/>
    <s v=""/>
    <n v="70800"/>
    <s v="UF"/>
    <s v="https://concesiones.mop.gob.cl/project/primera-concesion-aeropuerto-el-loa-de-calama/"/>
    <x v="0"/>
    <s v="Sólo licitación pública"/>
    <s v="Nivel de tarifa; Plazo; Pagos."/>
    <d v="1997-02-24T00:00:00"/>
    <d v="1997-07-24T00:00:00"/>
    <d v="1997-08-22T00:00:00"/>
    <d v="1997-10-14T00:00:00"/>
    <d v="1998-04-15T00:00:00"/>
    <s v="96858110-4"/>
    <s v="CONCESION AEROPUERTO EL LOA S.A."/>
    <s v="https://www.cmfchile.cl/institucional/mercados/entidad.php?mercado=V&amp;rut=96858110&amp;grupo=&amp;tipoentidad=RVEMI&amp;row=AAAwy2ACTAAAAWcAAJ&amp;vig=NV&amp;control=svs&amp;pestania=6"/>
    <d v="1998-06-12T00:00:00"/>
    <d v="2011-04-11T00:00:00"/>
    <s v="Fijo"/>
    <s v="SD"/>
    <d v="1999-10-21T00:00:00"/>
    <d v="2000-05-02T00:00:00"/>
    <n v="127418.93"/>
    <n v="1"/>
  </r>
  <r>
    <s v="103_HRMA1"/>
    <s v="Concesión Red Maule:  Hospital Cauquenes, Hospital de Constitución y Hospital de Parral"/>
    <n v="1"/>
    <s v="Primera concesión Red Maule:  Hospital Cauquenes, Hospital de Constitución y Hospital de Parral"/>
    <s v="Corresponde a la construcción y posterior operación de tres recintos médicos de mediana complejidad que estarán ubicados en las comunas de Cauquenes, Constitución y Parral y los que totalizan una superficie estimada de 157 mil m2._x000a__x000a_La concesión aportará al sistema de salud 368 camas, de las cuales 136 camas corresponden al Hospital de Cauquenes, 11 camas al Hospital de Constitución y 121 camas al Hospital de Parral. Con ello se espera beneficiar a una población estimada de 59 mil personas._x000a__x000a_Considera también la mantención de la infraestructura a desarrollar y la adquisición, mantención y reposición de equipamiento médico y mobiliario clínico, y mobiliario no clínico. El proyecto no considera servicios como alimentación, ambulancia y aseo, entre otros."/>
    <x v="6"/>
    <s v="Maule"/>
    <s v="Sitio en construcción"/>
    <s v="Público"/>
    <s v=""/>
    <n v="6634394"/>
    <s v="UF"/>
    <s v="https://concesiones.mop.gob.cl/project/concesion-red-maule/"/>
    <x v="3"/>
    <s v="Licitación pública con preselección"/>
    <s v="Subsidio."/>
    <d v="2019-12-19T00:00:00"/>
    <d v="2020-08-07T00:00:00"/>
    <d v="2020-08-27T00:00:00"/>
    <d v="2020-12-01T00:00:00"/>
    <d v="2021-03-27T00:00:00"/>
    <s v="  77363431-9"/>
    <s v=" SOCIEDAD CONCESIONARIA RED MAULE S.A. "/>
    <s v="https://www.cmfchile.cl/institucional/mercados/entidad.php?auth=&amp;send=&amp;mercado=O&amp;rut=77363431&amp;grupo=&amp;tipoentidad=RGEIN&amp;vig=VI&amp;row=AAAwy2ACTAAACuEAAO&amp;control=svs&amp;pestania=1"/>
    <d v="2021-03-27T00:00:00"/>
    <d v="2040-11-20T00:00:00"/>
    <s v="Variable"/>
    <d v="2023-02-03T00:00:00"/>
    <s v="En fase de construcción"/>
    <s v="En fase de construcción"/>
    <n v="6634394"/>
    <s v="Hospital de Cauquenes.92,18%_x000a_Hospital de Constitución 83,85%_x000a_Hospital de Parral: 90,84%"/>
  </r>
  <r>
    <s v="104_HBUP1"/>
    <s v="Concesión Hospital de Buin Paine"/>
    <n v="1"/>
    <s v="Primera concesión Hospital de Buin Paine"/>
    <s v="Corresponde a la construcción y posterior operación de un recinto médico de mediana y alta complejidad para las ciudades de Buin-Paine._x000a__x000a_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_x000a__x000a_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_x000a__x000a_El proyecto no considera servicios como alimentación, ambulancia y aseo, entre otros."/>
    <x v="6"/>
    <s v="Metropolitana de Santiago"/>
    <s v="Sitio en construcción"/>
    <s v="Público"/>
    <s v=""/>
    <n v="2944034"/>
    <s v="UF"/>
    <s v="https://concesiones.mop.gob.cl/project/hospital-de-buin-paine/"/>
    <x v="3"/>
    <s v="Licitación pública con preselección"/>
    <s v="Subsidio."/>
    <d v="2020-04-30T00:00:00"/>
    <d v="2020-10-19T00:00:00"/>
    <d v="2020-11-10T00:00:00"/>
    <d v="2020-12-29T00:00:00"/>
    <d v="2021-03-27T00:00:00"/>
    <s v="77379404-9"/>
    <s v="SOCIEDAD CONCESIONARIA HOSPITAL BUIN PAINE S.A"/>
    <s v="https://www.cmfchile.cl/institucional/mercados/entidad.php?auth=&amp;send=&amp;mercado=O&amp;rut=77379404&amp;grupo=&amp;tipoentidad=RGEIN&amp;vig=VI&amp;row=AAAwy2ACTAAAGDyAA2&amp;control=svs&amp;pestania=1"/>
    <d v="2021-03-27T00:00:00"/>
    <d v="2041-05-13T00:00:00"/>
    <s v="Variable"/>
    <d v="2023-03-01T00:00:00"/>
    <s v="En fase de construcción"/>
    <s v="En fase de construcción"/>
    <n v="2944034"/>
    <n v="0.82579999999999998"/>
  </r>
  <r>
    <s v="105_HRBB1"/>
    <s v="Concesión Red Biobío: Hospital Santa Bárbara, Hospital de Nacimiento, Hospital de Coronel y Hospital de Lota"/>
    <n v="1"/>
    <s v="Primera concesión Red Biobío: Hospital Santa Bárbara, Hospital de Nacimiento, Hospital de Coronel y Hospital de Lota"/>
    <s v="La concesión considera la mantención de la infraestructura a desarrollar y la adquisición, mantención y reposición de equipamiento médico y mobiliario clínico, y mobiliario no clínico, excluyendo los servicios de alimentación, ambulancia y aseo, entre otros._x000a__x000a_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_x000a__x000a_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_x000a__x000a_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_x000a__x000a_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
    <x v="6"/>
    <s v="Biobío"/>
    <s v="Sitio en construcción"/>
    <s v="Público"/>
    <s v=""/>
    <n v="7754848"/>
    <s v="UF"/>
    <s v="https://concesiones.mop.gob.cl/project/concesion-red-biobio/"/>
    <x v="3"/>
    <s v="Licitación pública con preselección"/>
    <s v="Subsidio."/>
    <d v="2020-08-21T00:00:00"/>
    <d v="2021-05-14T00:00:00"/>
    <d v="2021-06-03T00:00:00"/>
    <d v="2021-09-15T00:00:00"/>
    <d v="2021-12-07T00:00:00"/>
    <s v="  77521154-7"/>
    <s v="  SOCIEDAD CONCESIONARIA HOSPITALES RED BIOBÍO S.A. "/>
    <s v="https://www.cmfchile.cl/institucional/mercados/entidad.php?auth=&amp;send=&amp;mercado=O&amp;rut=77521154&amp;grupo=&amp;tipoentidad=RGEIN&amp;vig=VI&amp;row=AAAwy2ACTAAACuCAAo&amp;control=svs&amp;pestania=1"/>
    <d v="2021-12-07T00:00:00"/>
    <d v="2061-12-07T00:00:00"/>
    <s v="Variable"/>
    <d v="2023-03-25T00:00:00"/>
    <s v="En fase de construcción"/>
    <s v="En fase de construcción"/>
    <n v="7754848"/>
    <s v="Santa Barbará: 14,3%; Nacimiento: 14,1%; Coronel:4,6%; Lota: 3,1%"/>
  </r>
  <r>
    <s v="106_HRRL1"/>
    <s v="Concesión de hospitales Red Los Ríos-Los Lagos"/>
    <n v="1"/>
    <s v="Primera concesión de hospitales Red Los Ríos-Los Lagos"/>
    <s v="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_x000a__x000a_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_x000a__x000a_El proyecto no considera servicios como alimentación, ambulancia y aseo, entre otros."/>
    <x v="6"/>
    <s v="Los Ríos; Los Lagos"/>
    <s v="Sitio en construcción"/>
    <s v="Público"/>
    <s v=""/>
    <n v="7092812"/>
    <s v="UF"/>
    <s v="https://concesiones.mop.gob.cl/project/concesion-red-los-rios-los-lagos/"/>
    <x v="3"/>
    <s v="Licitación pública con preselección"/>
    <s v="Subsidio."/>
    <d v="2020-12-12T00:00:00"/>
    <d v="2021-09-13T00:00:00"/>
    <d v="2021-10-04T00:00:00"/>
    <d v="2022-01-13T00:00:00"/>
    <d v="2022-03-11T00:00:00"/>
    <s v="77579938-2"/>
    <s v="SOCIEDAD CONCESIONARIA REGIÓN SUR S.A."/>
    <s v="https://www.cmfchile.cl/institucional/mercados/entidad.php?auth=&amp;send=&amp;mercado=O&amp;rut=77579938&amp;grupo=&amp;tipoentidad=RGEIN&amp;vig=VI&amp;row=AAAwy2ACTAAAGD3AAG&amp;control=svs&amp;pestania=1"/>
    <d v="2022-03-11T00:00:00"/>
    <d v="2044-05-12T00:00:00"/>
    <s v="Variable"/>
    <d v="2023-12-04T00:00:00"/>
    <s v="En fase de construcción"/>
    <s v="En fase de construcción"/>
    <n v="7092812"/>
    <s v="Hospital Los Lagos 35,79%;_x000a_Hospital La Unión 0%;_x000a_Hospital Río Bueno: 31,36%; _x000a_Hospital de Puerto Varas: 25,56%"/>
  </r>
  <r>
    <s v="107_SASA2"/>
    <s v="Segunda Concesión Autopista Santiago – San Antonio, Ruta 78"/>
    <n v="2"/>
    <s v="Segunda concesión Autopista Santiago – San Antonio, Ruta 78"/>
    <s v="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_x000a__x000a_La ruta, que tiene una extensión de 132,8 km, constituye un eje fundamental para el transporte de carga entre Santiago y el Puerto de San Antonio, como también para la conexión de áreas urbanas desarrolladas en las cercanías de su trazado._x000a__x000a_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_x000a__x000a_El proyecto considera también el reemplazo del Puente Manuel Rodriguez, nuevos enlaces; atraviesos; retornos; nuevas calles de servicio y el mejoramiento de las existentes, entre otras obras._x000a__x000a_Se prevé que esta obra beneficiará a una población cercana a 1.760.000 de personas al año."/>
    <x v="0"/>
    <s v="Valparaíso; Metropolitana de Santiago"/>
    <s v="Sitio en construcción"/>
    <s v="Público"/>
    <s v=""/>
    <n v="21287000"/>
    <s v="UF"/>
    <s v="https://concesiones.mop.gob.cl/project/segunda-concesion-autopista-santiago-san-antonio-ruta-78/"/>
    <x v="1"/>
    <s v="Sólo licitación pública"/>
    <s v="Ingresos totales de la concesión."/>
    <d v="2021-03-06T00:00:00"/>
    <d v="2021-10-29T00:00:00"/>
    <d v="2021-11-26T00:00:00"/>
    <d v="2022-02-13T00:00:00"/>
    <d v="2022-03-11T00:00:00"/>
    <s v="77546207-8"/>
    <s v="SOCIEDAD CONCESIONARIA AUTOPISTA SAN ANTONIO-SANTIAGO S.A."/>
    <s v="https://www.cmfchile.cl/institucional/mercados/entidad.php?auth=&amp;send=&amp;mercado=O&amp;rut=77546207&amp;grupo=&amp;tipoentidad=RGEIN&amp;vig=VI&amp;row=AAAwy2ACTAAACuFAAl&amp;control=svs&amp;pestania=1"/>
    <d v="2022-03-11T00:00:00"/>
    <d v="2054-03-11T00:00:00"/>
    <s v="Variable"/>
    <d v="2025-10-01T00:00:00"/>
    <s v="En fase de construcción"/>
    <s v="En fase de construcción"/>
    <n v="21287000"/>
    <n v="0"/>
  </r>
  <r>
    <s v="108_HRQS1"/>
    <s v="Concesión  de Hospital de La Serena"/>
    <n v="1"/>
    <s v="Primera concesión  de Hospital de La Serena"/>
    <s v="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_x000a__x000a_A ello se sumarán 15 pabellones, 85 boxes de consultas médicas, dentales y no médicas, 6 salas de atención integral del parto y un servicio de urgencia._x000a__x000a_La obra beneficiará a cerca de 723 mil personas que residen en las comunas de La Serena, La Higuera, Vicuña y Paihuano._x000a__x000a_Considera también la mantención de la infraestructura a desarrollar y la adquisición, mantención y reposición de equipamiento médico y mobiliario clínico, y mobiliario no clínico._x000a__x000a_El proyecto no considera servicios como alimentación, ambulancia y aseo, entre otros."/>
    <x v="6"/>
    <s v="Coquimbo"/>
    <s v="Sitio en construcción"/>
    <s v="Público"/>
    <s v=""/>
    <n v="6146350"/>
    <s v="UF"/>
    <s v="https://concesiones.mop.gob.cl/project/concesion-hospital-de-la-serena/"/>
    <x v="3"/>
    <s v="Licitación pública con preselección"/>
    <s v="Subsidio."/>
    <d v="2021-03-27T00:00:00"/>
    <d v="2021-10-15T00:00:00"/>
    <d v="2021-11-05T00:00:00"/>
    <d v="2022-01-05T00:00:00"/>
    <d v="2022-02-17T00:00:00"/>
    <s v="77558338-K"/>
    <s v="SOCIEDAD CONCESIONARIA HOSPITALES LA SERENA S.A."/>
    <s v="https://www.cmfchile.cl/institucional/mercados/entidad.php?mercado=O&amp;rut=77558338&amp;grupo=&amp;tipoentidad=RGEIN&amp;row=AAAwy2ACTAAACuCAA0&amp;vig=VI&amp;control=svs&amp;pestania=2"/>
    <d v="2022-02-17T00:00:00"/>
    <d v="2042-06-18T00:00:00"/>
    <s v="Variable"/>
    <d v="2025-02-21T00:00:00"/>
    <s v="En fase de construcción"/>
    <s v="En fase de construcción"/>
    <n v="6146350"/>
    <n v="0.14749999999999999"/>
  </r>
  <r>
    <s v="109_AVAM3"/>
    <s v="Concesión Acceso Vial Aeropuerto Arturo Merino Benítez"/>
    <n v="3"/>
    <s v="Tercera Concesión Acceso Vial Aeropuerto Arturo Merino Benítez"/>
    <s v="El incremento en los flujos de pasajeros y carga aérea han generado una demanda derivada por el acceso al terminal, la que esta tercera licitación busca satisfacer incrementando sus puntos de acceso._x000a__x000a_El proyecto considera la conservación, operación y explotación de todas las obras preexistentes, desde la extinción de la actual concesión de Acceso Vial Aeropuerto Arturo Merino. Ello representa una longitud de 5,6 km._x000a__x000a_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_x000a__x000a_Los ingresos de la concesión provienen del cobro de tarifa a los usuarios. El proyecto no considera ingresos mínimos garantizados ni subsidios a la construcción o a la explotación._x000a_"/>
    <x v="2"/>
    <s v="Metropolitana"/>
    <s v="Sitio en construcción"/>
    <s v="Público"/>
    <s v=""/>
    <n v="843000"/>
    <s v="UF"/>
    <s v="https://concesiones.mop.gob.cl/project/tercera-concesion-acceso-vial-amb/"/>
    <x v="3"/>
    <s v="Sólo licitación pública"/>
    <s v="Ingresos totales de la concesión."/>
    <d v="2021-05-19T00:00:00"/>
    <d v="2022-12-09T00:00:00"/>
    <d v="2023-01-06T00:00:00"/>
    <d v="2023-06-08T00:00:00"/>
    <d v="2023-09-16T00:00:00"/>
    <s v="76706496-9"/>
    <s v="SOCIEDAD CONCESIONARIA ACCESO VIAL AEROPUERTO ARTURO MERINO BENITEZ S.A."/>
    <s v="https://www.cmfchile.cl/institucional/mercados/entidad.php?auth=&amp;send=&amp;mercado=O&amp;rut=76706496&amp;grupo=&amp;tipoentidad=RGEIN&amp;vig=VI&amp;row=AAAwy2ACTAAAGD1AAW&amp;control=svs&amp;pestania=1"/>
    <d v="2023-09-16T00:00:00"/>
    <d v="2036-05-15T00:00:00"/>
    <s v="Variable"/>
    <d v="2024-09-13T00:00:00"/>
    <s v="En fase de construcción"/>
    <s v="En fase de construcción"/>
    <n v="843000"/>
    <n v="0.55930000000000002"/>
  </r>
  <r>
    <s v="110_HRQQ1"/>
    <s v="Hospital Coquimbo"/>
    <n v="1"/>
    <s v="Primera concesión Hospital Coquimbo"/>
    <s v="Corresponde a la construcción de un recinto médico en la ciudad de Coquimbo con capacidad para 605 camas.Este recinto hospitalario será un referente regional en las especialidades de traumatología, neurocirugía, cuidados críticos pediátricos y procuramiento de órganos._x000a_Considera también la mantención de la infraestructura a desarrollar y la adquisición, mantención y reposición de equipamiento médico y mobiliario clínico, y mobiliario no clínico._x000a_El proyecto no considera servicios como alimentación, ambulancia y aseo, entre otros."/>
    <x v="6"/>
    <s v="Coquimbo"/>
    <s v="Sitio en construcción"/>
    <s v="Público"/>
    <s v=""/>
    <n v="6528211"/>
    <s v="UF"/>
    <s v="https://concesiones.mop.gob.cl/project/concesion-hospital-de-coquimbo/"/>
    <x v="3"/>
    <s v="Licitación pública con preselección"/>
    <s v="Subsidio."/>
    <d v="2021-05-22T00:00:00"/>
    <d v="2022-01-10T00:00:00"/>
    <d v="2022-01-31T00:00:00"/>
    <d v="2022-05-02T00:00:00"/>
    <d v="2022-09-09T00:00:00"/>
    <s v="77645861 - 9"/>
    <s v="SOCIEDAD CONCESIONARIA HOSPITAL COQUIMBO S.A."/>
    <s v="https://www.cmfchile.cl/institucional/mercados/entidad.php?auth=&amp;send=&amp;mercado=O&amp;rut=77645861&amp;grupo=&amp;tipoentidad=RGEIN&amp;vig=VI&amp;row=AAAwy2ACTAAACuGAAx&amp;control=svs&amp;pestania=1"/>
    <d v="2022-09-09T00:00:00"/>
    <d v="2043-07-05T00:00:00"/>
    <s v="Variable"/>
    <d v="2023-11-16T00:00:00"/>
    <s v="En fase de construcción"/>
    <s v="En fase de construcción"/>
    <n v="6528211"/>
    <n v="0.2389"/>
  </r>
  <r>
    <s v="016_ALFS1"/>
    <s v="Terminal de Pasajeros Aeropuerto La Florida de La Serena"/>
    <n v="1"/>
    <s v="Primera concesión Terminal de Pasajeros Aeropuerto La Florida de La Serena"/>
    <s v="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
    <x v="1"/>
    <s v="Coquimbo"/>
    <s v="Sitio en construcción"/>
    <s v="Público"/>
    <s v=""/>
    <n v="74294"/>
    <s v="UF"/>
    <s v="https://concesiones.mop.gob.cl/project/primera-concesion-aeropuerto-la-florida-de-la-serena/"/>
    <x v="0"/>
    <s v="Sólo licitación pública"/>
    <s v="Nivel de tarifa; Plazo."/>
    <d v="1996-12-17T00:00:00"/>
    <d v="1997-05-28T00:00:00"/>
    <d v="1997-06-27T00:00:00"/>
    <d v="1997-08-19T00:00:00"/>
    <d v="1997-11-12T00:00:00"/>
    <s v="96843940-5"/>
    <s v="CONCESION AEROPUERTO LA FLORIDA S.A."/>
    <s v="https://www.cmfchile.cl/institucional/mercados/entidad.php?auth=&amp;send=&amp;mercado=V&amp;rut=96843940&amp;grupo=&amp;tipoentidad=RVEMI&amp;vig=NV&amp;row=AAAwy2ACTAAAAWbAAC&amp;control=svs&amp;pestania=1"/>
    <d v="1998-01-18T00:00:00"/>
    <d v="2013-01-08T00:00:00"/>
    <s v="Fijo"/>
    <s v="SD"/>
    <d v="1998-12-15T00:00:00"/>
    <d v="1999-08-20T00:00:00"/>
    <n v="123739.53"/>
    <n v="1"/>
  </r>
  <r>
    <s v="113_INAC1"/>
    <s v="Concesión Instituto Nacional del Cáncer"/>
    <n v="1"/>
    <s v="Primera concesión Instituto Nacional del Cáncer"/>
    <s v="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_x000a_"/>
    <x v="6"/>
    <s v="Metropolitana de Santiago"/>
    <s v="Sitio en construcción"/>
    <s v="Público"/>
    <s v=""/>
    <n v="4704824"/>
    <s v="UF"/>
    <s v="https://concesiones.mop.gob.cl/project/concesion-instituto-nacional-del-cancer/"/>
    <x v="3"/>
    <s v="Licitación pública con preselección"/>
    <s v="Subsidio."/>
    <d v="2021-10-21T00:00:00"/>
    <d v="2022-07-07T00:00:00"/>
    <d v="2022-07-27T00:00:00"/>
    <d v="2022-10-27T00:00:00"/>
    <d v="2023-02-22T00:00:00"/>
    <s v="77751547-0"/>
    <s v="SOCIEDAD CONCESIONARIA INSTITUTO NACIONAL DEL CANCER, S.A."/>
    <s v="https://www.cmfchile.cl/institucional/mercados/entidad.php?auth=&amp;send=&amp;mercado=O&amp;rut=77751547&amp;grupo=&amp;tipoentidad=RGEIN&amp;vig=VI&amp;row=AAAwy2ACTAAAGDxAAY&amp;control=svs&amp;pestania=1"/>
    <d v="2023-02-22T00:00:00"/>
    <d v="2045-09-18T00:00:00"/>
    <s v="Variable"/>
    <s v="sin inicio"/>
    <s v="En fase de construcción"/>
    <s v="En fase de construcción"/>
    <n v="4704824"/>
    <n v="0"/>
  </r>
  <r>
    <s v="114_HROG1"/>
    <s v="Red O'Higgins: Rengo, Pichilemu"/>
    <n v="1"/>
    <s v="Primera concesión de Red O´Higgins: Hospital de Rengo y Hospital de Pichilemu"/>
    <s v="El proyecto contempla el Hospital de Rengo, de mediana y alta complejidad; y, el Hospital de Pichilemu, de baja complejidad._x000a_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_x000a_El hospital de Pichilemu dará servicios a los 70 mil habitantes de Navidad, Litueche, La Estrella, Marchigüe, Pichidegua y Paredones. Tendrá 27 camas, 33 boxes de consulta y 5 boxes para unidades de emergencia. _x000a_Junto con la construcción, el proyecto considera la provisión de servicios conocidos como hard facilities management: mantención de infraestructura, adquisición, mantención y reposición de equipamiento médico y mobiliario clínico y no clínico._x000a_"/>
    <x v="6"/>
    <s v="Libertador General Bernardo O'Higgins"/>
    <s v="Sitio en construcción"/>
    <s v="Público"/>
    <m/>
    <n v="4538569"/>
    <s v="UF"/>
    <s v="https://concesiones.mop.gob.cl/project/concesion-red-ohiggins/"/>
    <x v="3"/>
    <s v="Licitación pública con preselección"/>
    <s v="Subsidio."/>
    <d v="2021-10-28T00:00:00"/>
    <d v="2023-08-25T00:00:00"/>
    <d v="2023-09-15T00:00:00"/>
    <d v="2023-11-07T00:00:00"/>
    <d v="2024-03-22T00:00:00"/>
    <s v="77875388-K"/>
    <s v="Sociedad Concesionaria Red O´Higgins S.A."/>
    <s v="https://www.cmfchile.cl/institucional/mercados/entidad.php?auth=&amp;send=&amp;mercado=O&amp;rut=77875388&amp;grupo=&amp;tipoentidad=RGEIN&amp;vig=VI&amp;row=AAAwy2ACTAAAGD0AAw&amp;control=svs&amp;pestania=1"/>
    <d v="2024-03-22T00:00:00"/>
    <d v="2043-10-07T00:00:00"/>
    <s v="Variable"/>
    <s v="sin inicio"/>
    <s v="En fase de construcción"/>
    <s v="En fase de construcción"/>
    <n v="4538569"/>
    <n v="0"/>
  </r>
  <r>
    <s v="115_CHCO2"/>
    <s v="Segunda concesión Ruta 5 tramo Chillán -Collipulli"/>
    <n v="2"/>
    <s v="Segunda concesión Ruta 5 tramo Chillán -Collipulli"/>
    <s v="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_x000a_• Nuevo viaducto del Malleco: estructura formada por dos puentes, cada uno de 600 metros de longitud._x000a_• Dos pasos superiores- rutas R 35 y R 49-, un paso inferior de ramal de acceso a Collipulli sur, y tres pasos prediales_x000a_• Enlace Collipulli Norte_x000a_Este contrato obliga a la construcción de 27 pasarelas nuevas con sus respectivos paraderos (dos) y circuitos peatonales, y al reemplazo de otras 17. En materia de puentes proyecta reemplazar 14 y rehabilitar 48. _x000a_"/>
    <x v="0"/>
    <s v="Biobío; Ñuble, Araucanía "/>
    <s v="Sitio en construcción"/>
    <s v="Público"/>
    <s v=""/>
    <n v="14215000"/>
    <s v="UF"/>
    <s v="https://concesiones.mop.gob.cl/project/segunda-concesion-ruta-5-tramo-chillan-collipulli/"/>
    <x v="1"/>
    <s v="Sólo licitación pública"/>
    <s v="Ingresos totales de la concesión."/>
    <d v="2021-10-29T00:00:00"/>
    <d v="2022-09-23T00:00:00"/>
    <d v="2022-10-21T00:00:00"/>
    <d v="2022-12-14T00:00:00"/>
    <d v="2023-02-11T00:00:00"/>
    <s v="77722758-0"/>
    <s v="SOCIEDAD CONCESIONARIA RUTA 5 CHILLAN - COLLIPULLI S.A."/>
    <s v="https://www.cmfchile.cl/institucional/mercados/entidad.php?auth=&amp;send=&amp;mercado=O&amp;rut=77722758&amp;grupo=&amp;tipoentidad=RGEIN&amp;vig=VI&amp;row=AAAwy2ACTAAAGDzAAT&amp;control=svs&amp;pestania=1"/>
    <d v="2023-02-11T00:00:00"/>
    <d v="2053-02-11T00:00:00"/>
    <s v="Variable"/>
    <s v="sin inicio"/>
    <s v="En fase de construcción"/>
    <s v="En fase de construcción"/>
    <n v="14215000"/>
    <n v="0"/>
  </r>
  <r>
    <s v="117_HINN1"/>
    <s v="Instituto Nacional de Neurocirugía"/>
    <n v="1"/>
    <s v="Primera concesión Instituto Nacional de Neurocirugía"/>
    <s v="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_x000a_ El recinto tiene una superficie estimada de 65 mil metros cuadrados- y permitirá entregar atenciones de neurocirugía de mediana y alta complejidad para pacientes adultos y niños; dando respuesta a la demanda de la región Metropolitana y de referencia nacional._x000a_"/>
    <x v="6"/>
    <s v="Metropolitana de Santiago"/>
    <s v="Sitio en construcción"/>
    <s v="Público"/>
    <s v=""/>
    <n v="3509321"/>
    <s v="UF"/>
    <s v="https://concesiones.mop.gob.cl/project/concesion-instituto-nacional-de-neurocirugia/"/>
    <x v="3"/>
    <s v="Licitación pública con preselección"/>
    <s v="Subsidio."/>
    <d v="2021-12-29T00:00:00"/>
    <d v="2022-09-27T00:00:00"/>
    <d v="2022-10-18T00:00:00"/>
    <d v="2023-01-23T00:00:00"/>
    <d v="2023-05-24T00:00:00"/>
    <s v="77777167-1"/>
    <s v="SOCIEDAD CONCESIONARIA INSTITUTO NACIONAL DE NEUROCIRUGIA S.A."/>
    <s v="https://www.cmfchile.cl/institucional/mercados/entidad.php?auth=&amp;send=&amp;mercado=O&amp;rut=77777167&amp;grupo=&amp;tipoentidad=RGEIN&amp;vig=VI&amp;row=AAAwy2ACTAAAGDzAAe&amp;control=svs&amp;pestania=1"/>
    <d v="2023-05-24T00:00:00"/>
    <d v="2046-01-03T00:00:00"/>
    <s v="Variable"/>
    <s v="sin inicio"/>
    <s v="En fase de construcción"/>
    <s v="En fase de construcción"/>
    <n v="3509321"/>
    <n v="0"/>
  </r>
  <r>
    <s v="118_ISVV2"/>
    <s v="Interconexión Vial Santiago - Valparaíso - Viña del Mar"/>
    <n v="2"/>
    <s v="Segunda Concesión Interconexión Vial Santiago-Valparaíso-Viña del Mar, Ruta 68"/>
    <s v="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_x000a_•_x0009_Terceras pistas entre salida de Casablanca-Túnel Zapata, Peñuelas-Enlace a Viña del Mar, Enlace a Viña del Mar-Rodelillo y tramo urbano de la Ruta 68 llegando a Valparaíso. _x000a_•_x0009_Atraviesos para conexión de calles locales, tramos de calles locales asfaltadas. _x000a_•_x0009_Nuevos enlaces, acceso a urbanizaciones. _x000a_•_x0009_Ampliación en nudo Vespucio. _x000a_•_x0009_Nuevos Túneles en Lo Prado y Zapata._x000a_•_x0009_Mejoramiento bajada Agua Santa"/>
    <x v="0"/>
    <s v="Valparaíso; Metropolitana de Santiago"/>
    <s v="Sitio en construcción"/>
    <s v="Público"/>
    <m/>
    <n v="35970000"/>
    <s v="UF"/>
    <s v="https://concesiones.mop.gob.cl/project/segunda-concesion-interconexion-vial-santiago-valparaiso-vina-del-mar-ruta-68/"/>
    <x v="1"/>
    <s v="Sólo licitación pública"/>
    <s v="Ingresos totales de la concesión."/>
    <d v="2021-12-31T00:00:00"/>
    <d v="2024-10-15T00:00:00"/>
    <d v="2024-11-12T00:00:00"/>
    <d v="2025-01-17T00:00:00"/>
    <d v="2025-05-09T00:00:00"/>
    <s v="78089131-9"/>
    <s v="Sociedad concesionaria Ruta  68 a La Costa S.A."/>
    <s v="https://www.cmfchile.cl/institucional/mercados/entidad.php?auth=&amp;send=&amp;mercado=O&amp;rut=78056118&amp;grupo=&amp;tipoentidad=RGEIN&amp;vig=VI&amp;row=AAAwy2ACTAAACisAAY&amp;control=svs&amp;pestania=1"/>
    <d v="2025-05-09T00:00:00"/>
    <d v="2055-05-09T00:00:00"/>
    <s v="Variable"/>
    <s v="sin inicio"/>
    <s v="En fase de construcción"/>
    <s v="En fase de construcción"/>
    <n v="35970000"/>
    <n v="0"/>
  </r>
  <r>
    <s v="119_ORSS1"/>
    <s v="Concesión Orbital Sur"/>
    <n v="1"/>
    <s v="Primera concesión de Orbital Sur"/>
    <s v="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_x000a__x000a_Permitirá una velocidad de 120 km/h y contará con dos pistas por calzada de cada sentido."/>
    <x v="2"/>
    <s v="Metropolitana"/>
    <s v="Sitio en construcción"/>
    <s v="Privado"/>
    <d v="2016-06-10T00:00:00"/>
    <n v="11967720"/>
    <s v="UF"/>
    <s v="https://concesiones.mop.gob.cl/project/concesion-orbital-sur-santiago/"/>
    <x v="3"/>
    <s v="Sólo licitación pública"/>
    <s v="Ingresos totales de la concesión."/>
    <d v="2023-03-04T00:00:00"/>
    <d v="2023-10-31T00:00:00"/>
    <d v="2023-11-30T00:00:00"/>
    <d v="2024-04-06T00:00:00"/>
    <d v="2024-06-04T00:00:00"/>
    <s v="77930767-0"/>
    <s v="Ruta Orbital Sur Sociedad Concesionaria S.A."/>
    <s v="https://www.cmfchile.cl/institucional/mercados/entidad.php?mercado=O&amp;rut=77930767&amp;grupo=&amp;tipoentidad=RGEIN&amp;row=AAAwy2ACTAAAGD2AA5&amp;vig=VI&amp;control=svs&amp;pestania=1"/>
    <d v="2024-06-04T00:00:00"/>
    <d v="2070-06-04T00:00:00"/>
    <s v="Variable"/>
    <s v="sin inicio"/>
    <s v="En fase de construcción"/>
    <s v="En fase de construcción"/>
    <n v="11967720"/>
    <n v="0"/>
  </r>
  <r>
    <s v="120_SALV2"/>
    <s v="Concesión Ruta 5 Tramo Santiago-Los Vilos"/>
    <n v="2"/>
    <s v="Segunda Concesión Ruta 5 Santiago-Los Vilos"/>
    <s v="El proyecto considera ajustes de trazados para llevar la ruta a una velocidad de proyecto de 120 km/hr con restricciones en algunos tramos de 100 km/hr y con restricción de 80 km/hr en cuesta Las Chilcas._x000a_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_x000a_El proyecto considera la mantención y generación de áreas de ventas, donde una corresponde floristas de Ocoa,y agrega la construcción y mantención de otras 6 áreas de ventas."/>
    <x v="0"/>
    <s v="Coquimbo; Valparaíso; Metropolitana de Santiago"/>
    <s v="Sitio en construcción"/>
    <s v="Público"/>
    <m/>
    <n v="28288000"/>
    <s v="UF"/>
    <s v="https://concesiones.mop.gob.cl/project/segunda-concesion-ruta-5-tramo-los-vilos-la-serena-conurbacion/"/>
    <x v="1"/>
    <s v="Sólo licitación pública"/>
    <s v="Ingresos totales de la concesión."/>
    <d v="2023-07-14T00:00:00"/>
    <d v="2024-07-18T00:00:00"/>
    <d v="2024-08-14T00:00:00"/>
    <d v="2024-11-22T00:00:00"/>
    <d v="2025-02-20T00:00:00"/>
    <s v="78041651-3"/>
    <s v="Sociedad concesionaria Nueva Aconcagua"/>
    <s v="https://www.cmfchile.cl/institucional/mercados/entidad.php?auth=&amp;send=&amp;mercado=O&amp;rut=78041651&amp;grupo=&amp;tipoentidad=RGEIN&amp;vig=VI&amp;row=AAAwy2ACTAAACiuAAV&amp;control=svs&amp;pestania=1"/>
    <d v="2025-02-20T00:00:00"/>
    <d v="2055-02-20T00:00:00"/>
    <s v="Variable"/>
    <s v="sin inicio"/>
    <s v="En fase de construcción"/>
    <s v="En fase de construcción"/>
    <n v="28288000"/>
    <n v="0"/>
  </r>
  <r>
    <s v="121_ANCO2"/>
    <s v="Concesión Ruta del Itata"/>
    <n v="2"/>
    <s v="Segunda Concesión Ruta del Itata (Ex Acceso Norte a Concepción)"/>
    <s v="La nueva concesión de la Ruta del Itata considera una extensión total de 96,1 km, que incluyen 75,1 km de la Ruta 152 y 14,1 km de la Ruta 158, más un nuevo trazado de 6,9 km, que conectará de forma directa la Ruta 152 con la Ruta 146. _x000a_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_x000a_En relación a los servicios para peatones y lugareños aledaños al proyecto, este considera 12 nuevas pasarelas, 22 nuevos paraderos con iluminación y circuito peatonal. _x000a_Estas inversiones ampliarán la seguridad para sus distintos tipos de usuarios, la cobertura de la autorización para el tránsito a una velocidad de 120 km/h._x000a_Otros servicios que agrega el proyecto son una nueva área de servicios generales, 2 nuevas áreas de venta de productos típicos y una nueva área de atención de emergencias.  En relación con el medio de cobro, se implementará el telepeaje con pórtico de free flow. "/>
    <x v="0"/>
    <s v="Ñuble; Biobío"/>
    <s v="Sitio en construcción"/>
    <s v="Público"/>
    <s v=""/>
    <n v="12527000"/>
    <s v="UF"/>
    <s v="https://concesiones.mop.gob.cl/project/segunda-concesion-ruta-del-itata-acceso-norte-a-concepcion/"/>
    <x v="1"/>
    <s v="Sólo licitación pública"/>
    <s v="Ingresos totales de la concesión."/>
    <d v="2023-08-17T00:00:00"/>
    <d v="2024-09-13T00:00:00"/>
    <d v="2024-10-11T00:00:00"/>
    <d v="2024-12-10T00:00:00"/>
    <d v="2025-03-14T00:00:00"/>
    <s v="78056118-1"/>
    <s v="Sociedad Concesionarias Bosques del Itata"/>
    <s v="https://www.cmfchile.cl/institucional/mercados/entidad.php?auth=&amp;send=&amp;mercado=O&amp;rut=78089131&amp;grupo=&amp;tipoentidad=RGEIN&amp;vig=VI&amp;row=AAAwy2ACTAAAQjEAAA&amp;control=svs&amp;pestania=1"/>
    <d v="2025-03-14T00:00:00"/>
    <d v="2070-03-14T00:00:00"/>
    <s v="Variable"/>
    <s v="sin inicio"/>
    <s v="En fase de construcción"/>
    <s v="En fase de construcción"/>
    <n v="12527000"/>
    <n v="0"/>
  </r>
  <r>
    <s v="004_ATEP1"/>
    <s v="Terminal de Pasajeros Aeropuerto El Tepual de Puerto Montt"/>
    <n v="1"/>
    <s v="Primera concesión Terminal de Pasajeros Aeropuerto El Tepual de Puerto Montt"/>
    <s v="Esta concesión finalizó en 2008 y consideró la construcción de un nuevo edificio terminal de pasajeros de 4.962 m2, con zonas de embarque y desembarque independientes para vuelos nacionales e internacionales._x000a__x000a_El proyecto también incluyó una plataforma de estacionamiento de aviones, planta de tratamiento de aguas servidas y la ampliación de estacionamiento para vehículos junto con nuevas calles de acceso en el recinto._x000a__x000a_La obra fue relicitada y en la actualidad está vigente la cuarta concesión."/>
    <x v="1"/>
    <s v="Los Lagos"/>
    <s v="Sitio en construcción"/>
    <s v="Privado"/>
    <s v=""/>
    <n v="164021"/>
    <s v="UF"/>
    <s v="https://concesiones.mop.gob.cl/project/primera-concesion-aeropuerto-el-tepual-de-puerto-montt/"/>
    <x v="0"/>
    <s v="Sólo licitación pública"/>
    <s v="Nivel de tarifa; Puntaje oferta técnica; Plazo."/>
    <d v="1994-11-01T00:00:00"/>
    <d v="1995-03-04T00:00:00"/>
    <d v="1995-05-19T00:00:00"/>
    <d v="1995-06-30T00:00:00"/>
    <d v="1995-10-31T00:00:00"/>
    <s v="96770980-8"/>
    <s v="CONCESION AEROPUERTO EL TEPUAL S.A."/>
    <s v="https://www.cmfchile.cl/institucional/mercados/entidad.php?mercado=O&amp;rut=96770980&amp;grupo=&amp;tipoentidad=RGEIN&amp;row=AAAwy2ACTAAAAWbAAW&amp;vig=NV&amp;control=svs&amp;pestania=5"/>
    <d v="1996-02-19T00:00:00"/>
    <d v="2008-02-18T00:00:00"/>
    <s v="Fijo"/>
    <s v="SD"/>
    <s v="SD"/>
    <s v="SD"/>
    <n v="205506.48"/>
    <n v="1"/>
  </r>
  <r>
    <s v="126_PP4T1"/>
    <s v="Nuevo establecimiento penitenciario de Talca"/>
    <n v="1"/>
    <s v="Primera concesión de nuevo establecimiento penitenciario de Talca"/>
    <s v="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
    <x v="4"/>
    <s v="Maule"/>
    <s v="Sitio en construcción"/>
    <s v="Público"/>
    <m/>
    <n v="1400000"/>
    <s v="UF"/>
    <s v="https://concesiones.mop.gob.cl/project/concesion-nuevo-establecimiento-penitenciario-de-talca/"/>
    <x v="2"/>
    <s v="Sólo licitación pública"/>
    <s v="Subsidio."/>
    <d v="2024-01-13T00:00:00"/>
    <d v="2024-07-25T00:00:00"/>
    <d v="2024-08-20T00:00:00"/>
    <d v="2024-09-26T00:00:00"/>
    <d v="2024-11-04T00:00:00"/>
    <s v="77985392-6"/>
    <s v="Sociedad concesionaria penitenciario de Talca S.A."/>
    <s v="https://www.cmfchile.cl/institucional/mercados/entidad.php?auth=&amp;send=&amp;mercado=O&amp;rut=77985392&amp;grupo=&amp;tipoentidad=RGEIN&amp;vig=VI&amp;row=AAAwy2ACTAAACipAAI&amp;control=svs&amp;pestania=1"/>
    <d v="2024-11-04T00:00:00"/>
    <d v="2041-07-21T00:00:00"/>
    <s v="Variable"/>
    <s v="No aplica"/>
    <s v="No aplica"/>
    <s v="No aplica"/>
    <n v="1400000"/>
    <s v="No aplica"/>
  </r>
  <r>
    <s v="003_ADAI1"/>
    <s v="Terminales de Pasajeros y de Carga Aeropuerto Diego Aracena de Iquique"/>
    <n v="1"/>
    <s v="Primera concesión Terminales de Pasajeros y de Carga Aeropuerto Diego Aracena de Iquique"/>
    <s v="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_x000a__x000a_Con el desarrollo de esta obra se buscó mejorar los estándares de las instalaciones aeroportuarias._x000a__x000a_La obra fue relicitada y en la actualidad está vigente la cuarta concesión."/>
    <x v="1"/>
    <s v="Tarapacá"/>
    <s v="Sitio en construcción"/>
    <s v="Privado"/>
    <s v=""/>
    <n v="158980"/>
    <s v="UF"/>
    <s v="https://concesiones.mop.gob.cl/project/primera-concesion-aeropuerto-diego-aracena-de-iquique/"/>
    <x v="0"/>
    <s v="Sólo licitación pública"/>
    <s v="Nivel de tarifa; Puntaje oferta técnica; Plazo."/>
    <d v="1994-11-01T00:00:00"/>
    <d v="1995-06-20T00:00:00"/>
    <d v="1995-07-20T00:00:00"/>
    <d v="1995-08-18T00:00:00"/>
    <d v="1995-12-23T00:00:00"/>
    <s v="96778310-2"/>
    <s v="Concesionaria Chucutama"/>
    <s v="https://www.cmfchile.cl/institucional/mercados/entidad.php?mercado=V&amp;rut=96778310&amp;grupo=&amp;tipoentidad=RVEMI&amp;row=AAAwy2ACTAAABzAAAj&amp;vig=NV&amp;control=svs&amp;pestania=5"/>
    <d v="1995-12-23T00:00:00"/>
    <d v="2007-12-22T00:00:00"/>
    <s v="Fijo"/>
    <s v="SD"/>
    <d v="1997-04-21T00:00:00"/>
    <s v="SD"/>
    <n v="177301.90000000002"/>
    <n v="1"/>
  </r>
  <r>
    <s v="124_TERB2"/>
    <s v="Segunda Concesión Ruta 5, tramo Temuco -Río Bueno"/>
    <n v="2"/>
    <s v="Segunda Concesión Ruta 5, tramo Temuco -Río Bueno"/>
    <s v="Se ubica en las regiones de La Araucanía y Los Ríos, provincias de Cautín, Valdivia y Ranco. _x000a_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_x000a_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
    <x v="0"/>
    <s v="Araucanía, Los Ríos"/>
    <s v="Sitio en construcción"/>
    <s v="Público"/>
    <m/>
    <n v="19330000"/>
    <s v="UF"/>
    <s v="https://concesiones.mop.gob.cl/project/segunda-concesion-ruta-5-tramo-temuco-rio-bueno/"/>
    <x v="1"/>
    <s v="Sólo licitación pública"/>
    <s v="Subsidio fijo a la construción ó Ingresos totales de la concesión"/>
    <d v="2023-12-28T00:00:00"/>
    <d v="2025-01-24T00:00:00"/>
    <d v="2025-03-07T00:00:00"/>
    <d v="2025-06-23T00:00:00"/>
    <d v="2025-10-07T00:00:00"/>
    <s v="78.214.872-9"/>
    <s v="Sociedad concesionaria Temuco -Rio Bueno SA"/>
    <s v="https://www.cmfchile.cl/institucional/mercados/entidad.php?mercado=O&amp;rut=78214872&amp;grupo=&amp;tipoentidad=RGEIN&amp;row=&amp;vig=VI&amp;control=svs&amp;pestania=1"/>
    <d v="2025-10-07T00:00:00"/>
    <d v="2066-10-07T00:00:00"/>
    <s v="Variable"/>
    <s v="sin inicio"/>
    <s v="En fase de construcción"/>
    <s v="En fase de construcción"/>
    <n v="19330000"/>
    <n v="0"/>
  </r>
  <r>
    <s v="130_EPCO1"/>
    <s v="Concesión nuevo establecimiento penitenciario de Copiapó"/>
    <n v="1"/>
    <s v="Concesión nuevo establecimiento penitenciario de Copiapó"/>
    <s v="La obra corresponde a la construcción, operación y mantención de un nuevo establecimiento penitenciario que se emplazará próximo a la Ruta 5 Norte, aproximadamente a 40 kilómetros al norponiente de la ciudad de Copiapó, en la región de Atacama._x000a__x000a_El proyecto tendrá superficie total aproximada de 76.600 m2 con una capacidad estimada de 2.160 personas privadas de libertad, en 15 módulos de reclusión."/>
    <x v="4"/>
    <s v="Atacama"/>
    <s v="Sitio en construcción"/>
    <s v="Público"/>
    <m/>
    <n v="7120300"/>
    <s v="UF"/>
    <s v="https://concesiones.mop.gob.cl/project/concesion-nuevo-establecimiento-penitenciario-de-copiapo/"/>
    <x v="3"/>
    <s v="Sólo licitación pública"/>
    <s v="Subsidio fijo a la operación ó Ingresos totales de la concesión"/>
    <d v="2024-11-21T00:00:00"/>
    <d v="2025-07-29T00:00:00"/>
    <d v="2025-08-20T00:00:00"/>
    <d v="2025-10-23T00:00:00"/>
    <d v="2026-06-05T00:00:00"/>
    <s v="En trámite"/>
    <s v="Sociedad Concesionaria Penitenciario de Copiapó S.A."/>
    <s v="Sin informar"/>
    <d v="2026-01-05T00:00:00"/>
    <d v="2051-03-05T00:00:00"/>
    <s v="Variable"/>
    <s v="sin inicio"/>
    <s v="En fase de construcción"/>
    <s v="En fase de construcción"/>
    <n v="7120300"/>
    <n v="0"/>
  </r>
  <r>
    <s v="PDRC"/>
    <s v="Planta Desaladora para la Región de Coquimbo"/>
    <m/>
    <m/>
    <m/>
    <x v="3"/>
    <m/>
    <m/>
    <m/>
    <m/>
    <m/>
    <m/>
    <m/>
    <x v="3"/>
    <m/>
    <m/>
    <m/>
    <m/>
    <m/>
    <m/>
    <m/>
    <m/>
    <m/>
    <m/>
    <m/>
    <m/>
    <m/>
    <m/>
    <m/>
    <m/>
    <m/>
    <m/>
  </r>
  <r>
    <s v="RPMO"/>
    <s v="Ruta Pie de Monte"/>
    <m/>
    <m/>
    <m/>
    <x v="0"/>
    <m/>
    <m/>
    <m/>
    <m/>
    <m/>
    <m/>
    <m/>
    <x v="3"/>
    <m/>
    <m/>
    <m/>
    <m/>
    <m/>
    <m/>
    <m/>
    <m/>
    <m/>
    <m/>
    <m/>
    <m/>
    <m/>
    <m/>
    <m/>
    <m/>
    <m/>
    <m/>
  </r>
  <r>
    <s v="RTCC"/>
    <s v="Ruta 5 Tramo Chacao - Chonchi"/>
    <m/>
    <m/>
    <m/>
    <x v="0"/>
    <m/>
    <m/>
    <m/>
    <m/>
    <m/>
    <m/>
    <m/>
    <x v="3"/>
    <m/>
    <m/>
    <m/>
    <m/>
    <m/>
    <m/>
    <m/>
    <m/>
    <m/>
    <m/>
    <m/>
    <m/>
    <m/>
    <m/>
    <m/>
    <m/>
    <m/>
    <m/>
  </r>
  <r>
    <s v="RBPM2"/>
    <m/>
    <m/>
    <s v="Segunda Concesión Ruta 5 Tramo Río Bueno - Puerto Montt"/>
    <m/>
    <x v="0"/>
    <m/>
    <m/>
    <m/>
    <m/>
    <m/>
    <m/>
    <m/>
    <x v="1"/>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FD9B7D-78F1-439B-BBB9-5FF07678024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30" firstHeaderRow="1" firstDataRow="1" firstDataCol="1"/>
  <pivotFields count="32">
    <pivotField dataField="1" showAll="0"/>
    <pivotField showAll="0"/>
    <pivotField showAll="0"/>
    <pivotField showAll="0"/>
    <pivotField showAll="0"/>
    <pivotField axis="axisRow" showAll="0">
      <items count="8">
        <item x="1"/>
        <item x="5"/>
        <item x="6"/>
        <item x="4"/>
        <item x="3"/>
        <item x="0"/>
        <item x="2"/>
        <item t="default"/>
      </items>
    </pivotField>
    <pivotField showAll="0"/>
    <pivotField showAll="0"/>
    <pivotField showAll="0"/>
    <pivotField showAll="0"/>
    <pivotField numFmtId="3" showAll="0"/>
    <pivotField showAll="0"/>
    <pivotField showAll="0"/>
    <pivotField axis="axisRow" showAll="0">
      <items count="5">
        <item x="3"/>
        <item x="1"/>
        <item x="0"/>
        <item x="2"/>
        <item t="default"/>
      </items>
    </pivotField>
    <pivotField showAll="0"/>
    <pivotField showAll="0"/>
    <pivotField numFmtId="14" showAll="0"/>
    <pivotField numFmtId="14" showAll="0"/>
    <pivotField numFmtId="14" showAll="0"/>
    <pivotField numFmtId="14" showAll="0"/>
    <pivotField numFmtId="14" showAll="0"/>
    <pivotField showAll="0"/>
    <pivotField showAll="0"/>
    <pivotField showAll="0"/>
    <pivotField numFmtId="14" showAll="0"/>
    <pivotField numFmtId="14" showAll="0"/>
    <pivotField showAll="0"/>
    <pivotField showAll="0"/>
    <pivotField showAll="0"/>
    <pivotField showAll="0"/>
    <pivotField showAll="0"/>
    <pivotField showAll="0"/>
  </pivotFields>
  <rowFields count="2">
    <field x="13"/>
    <field x="5"/>
  </rowFields>
  <rowItems count="27">
    <i>
      <x/>
    </i>
    <i r="1">
      <x v="1"/>
    </i>
    <i r="1">
      <x v="2"/>
    </i>
    <i r="1">
      <x v="3"/>
    </i>
    <i r="1">
      <x v="4"/>
    </i>
    <i r="1">
      <x v="5"/>
    </i>
    <i r="1">
      <x v="6"/>
    </i>
    <i>
      <x v="1"/>
    </i>
    <i r="1">
      <x/>
    </i>
    <i r="1">
      <x v="5"/>
    </i>
    <i r="1">
      <x v="6"/>
    </i>
    <i>
      <x v="2"/>
    </i>
    <i r="1">
      <x/>
    </i>
    <i r="1">
      <x v="1"/>
    </i>
    <i r="1">
      <x v="3"/>
    </i>
    <i r="1">
      <x v="4"/>
    </i>
    <i r="1">
      <x v="5"/>
    </i>
    <i r="1">
      <x v="6"/>
    </i>
    <i>
      <x v="3"/>
    </i>
    <i r="1">
      <x/>
    </i>
    <i r="1">
      <x v="1"/>
    </i>
    <i r="1">
      <x v="2"/>
    </i>
    <i r="1">
      <x v="3"/>
    </i>
    <i r="1">
      <x v="4"/>
    </i>
    <i r="1">
      <x v="5"/>
    </i>
    <i r="1">
      <x v="6"/>
    </i>
    <i t="grand">
      <x/>
    </i>
  </rowItems>
  <colItems count="1">
    <i/>
  </colItems>
  <dataFields count="1">
    <dataField name="Cuenta de Código proyecto" fld="0" subtotal="count" baseField="0" baseItem="0"/>
  </dataFields>
  <formats count="1">
    <format dxfId="50">
      <pivotArea collapsedLevelsAreSubtotals="1" fieldPosition="0">
        <references count="1">
          <reference field="13"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29CF4-C472-4B9E-A105-412493DC473F}" name="Tabla1" displayName="Tabla1" ref="B1:AJ128" totalsRowShown="0" headerRowDxfId="49" dataDxfId="47" headerRowBorderDxfId="48" tableBorderDxfId="46" headerRowCellStyle="Normal_Hoja1">
  <autoFilter ref="B1:AJ128" xr:uid="{1D629CF4-C472-4B9E-A105-412493DC473F}"/>
  <sortState xmlns:xlrd2="http://schemas.microsoft.com/office/spreadsheetml/2017/richdata2" ref="B3:AJ124">
    <sortCondition descending="1" ref="C1:C128"/>
  </sortState>
  <tableColumns count="35">
    <tableColumn id="35" xr3:uid="{51A86E7B-74D4-4FC2-AD10-E5089F2EAB7C}" name="Max" dataDxfId="45">
      <calculatedColumnFormula>MAX($C$2:$C$128)</calculatedColumnFormula>
    </tableColumn>
    <tableColumn id="33" xr3:uid="{B847CA8D-C350-4F19-B0B8-2917E9EC5B6C}" name="Aux" dataDxfId="44">
      <calculatedColumnFormula array="1">IFERROR(MAX(--_xlfn.TEXTSPLIT(D2,";")),0)</calculatedColumnFormula>
    </tableColumn>
    <tableColumn id="36" xr3:uid="{E47F5A70-B048-4DBD-9AF1-48355874D056}" name="Shapes" dataDxfId="43"/>
    <tableColumn id="1" xr3:uid="{EBDE2C74-BB18-41CD-8BA6-80BB4E8B06B1}" name="Código proyecto"/>
    <tableColumn id="2" xr3:uid="{8994AC55-2992-4943-AB61-CF0DD8F7A78E}" name="Nombre de la Concesión " dataDxfId="42" dataCellStyle="Normal_Hoja4"/>
    <tableColumn id="3" xr3:uid="{199CE7EE-D5DD-4FFA-88F3-4B42D02F42E8}" name="NUM_Lic" dataDxfId="41"/>
    <tableColumn id="4" xr3:uid="{01B27C31-31AA-4F49-A1FD-C3C1240EB455}" name="Nombre de uso común"/>
    <tableColumn id="5" xr3:uid="{64C5A640-42EC-4144-B04D-666608CEAFE2}" name="Descripción " dataDxfId="40"/>
    <tableColumn id="6" xr3:uid="{13C62034-984D-4E5D-AB34-D275E07F5CFF}" name="Sector del proyecto" dataDxfId="39"/>
    <tableColumn id="7" xr3:uid="{A8E1B4AC-7E7D-43EE-B773-2387BED2697E}" name="Región geográfica" dataDxfId="38"/>
    <tableColumn id="8" xr3:uid="{ACB4D0A1-A214-4257-9A64-04AE08CBDCF0}" name="Link a mapa página web" dataDxfId="37"/>
    <tableColumn id="9" xr3:uid="{3F605780-9F24-461D-9698-7F8452C70D1E}" name="Origen" dataDxfId="36"/>
    <tableColumn id="10" xr3:uid="{281D68A1-621E-4015-9C81-9D94E9998382}" name="Fecha resolución declaración interes público" dataDxfId="35"/>
    <tableColumn id="11" xr3:uid="{13DDD2FD-8CA4-42D3-A2D5-F76365E0DBED}" name="Presupuesto oficial estimado" dataDxfId="34"/>
    <tableColumn id="12" xr3:uid="{AFC4B2C5-540B-4756-B680-CD2A7629D579}" name="Moneda" dataDxfId="33"/>
    <tableColumn id="13" xr3:uid="{4FD5FD1D-7705-4B4C-9A2E-A7A7BAF6E82D}" name="Link pagina web concesiones" dataDxfId="32"/>
    <tableColumn id="14" xr3:uid="{FF0D18CC-FA0A-42A1-95D9-3698F56C5ACF}" name="ESTADO" dataDxfId="31"/>
    <tableColumn id="15" xr3:uid="{3AE3E861-AFBE-4630-8BED-5CA5A76395D3}" name="Metodo de licitación" dataDxfId="30"/>
    <tableColumn id="16" xr3:uid="{D61F26D9-4B85-4C5D-85EF-D8159E5D7FA1}" name="Variable(s) de licitación" dataDxfId="29"/>
    <tableColumn id="17" xr3:uid="{9687CFD7-71C4-4072-BAAA-7FC78075F6B1}" name="Fecha llamado a licitación" dataDxfId="28"/>
    <tableColumn id="18" xr3:uid="{F33696E1-7AD1-464F-9199-3F6F741E9835}" name="Fecha recepción ofertas" dataDxfId="27"/>
    <tableColumn id="19" xr3:uid="{756DB67B-EA63-48D3-8F28-59AF88366085}" name="Fecha apertura económica" dataDxfId="26"/>
    <tableColumn id="20" xr3:uid="{22F790CF-19CD-4603-BF9F-2587C5A71936}" name="Fecha decreto adjudicación" dataDxfId="25"/>
    <tableColumn id="21" xr3:uid="{BB8AEA3E-D460-4F64-81D2-E3D08FB6D544}" name="Fecha publicación decreto adjudicación" dataDxfId="24"/>
    <tableColumn id="22" xr3:uid="{3A2DC6EE-EA8A-40F7-BAE0-1EA6BE4B5481}" name="Rut sociedad Concesionaria" dataDxfId="23"/>
    <tableColumn id="23" xr3:uid="{83CA2B19-8A13-4C41-9638-871A8314B5E6}" name="Nombre sociedad concesionaria" dataDxfId="22"/>
    <tableColumn id="24" xr3:uid="{31D5D919-9566-44A9-BDE9-6FEF13E2901A}" name="Link a CMF de SC" dataDxfId="21"/>
    <tableColumn id="25" xr3:uid="{2862DEB5-FE1F-45DF-BCB8-740E1822719D}" name="Fecha inicio del contrato de concesión" dataDxfId="20"/>
    <tableColumn id="26" xr3:uid="{B7C7929B-54AB-4155-9E19-ACF37DC76466}" name="Fecha término de la concesión" dataDxfId="19"/>
    <tableColumn id="27" xr3:uid="{90E5B86B-AE98-44B1-B104-70965591C697}" name="Plazo fijo / variable " dataDxfId="18"/>
    <tableColumn id="28" xr3:uid="{E800A02A-FACD-4C1E-B7D3-B714F52FD9DD}" name="Fecha inicio de obras" dataDxfId="17"/>
    <tableColumn id="29" xr3:uid="{D75CEDED-9144-4A02-857E-1E11FE744D55}" name="Fecha puesta servicio provisorio" dataDxfId="16"/>
    <tableColumn id="30" xr3:uid="{9306ADC6-CB38-41A8-854D-C5D6E10C5C6B}" name="Fecha puesta servicio definitivo" dataDxfId="15"/>
    <tableColumn id="31" xr3:uid="{7DEE930E-F463-4177-8D0D-8158058CE5A6}" name="Inversión Materializada estimada" dataDxfId="14"/>
    <tableColumn id="32" xr3:uid="{815A6E54-D54F-4981-A920-452331C73487}" name="% Avance obras físicas" dataDxfId="13" dataCellStyle="Porcentaj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1BCE94-7066-4FA3-AA56-13A528EB24C5}" name="Tabla2" displayName="Tabla2" ref="A1:E398" totalsRowShown="0">
  <autoFilter ref="A1:E398" xr:uid="{0B1BCE94-7066-4FA3-AA56-13A528EB24C5}"/>
  <tableColumns count="5">
    <tableColumn id="1" xr3:uid="{6692F8DC-A6AC-4EB7-BFE9-9CB212613C31}" name="Código proyecto"/>
    <tableColumn id="2" xr3:uid="{4C6BB9F1-9A8B-475A-9BDA-220BF0E3DFB2}" name="Nombre de uso común" dataDxfId="12"/>
    <tableColumn id="3" xr3:uid="{09EFDC4D-986E-43B3-BC94-7B7B41772935}" name="Codigo oferente"/>
    <tableColumn id="4" xr3:uid="{6598E2A9-FC2E-4DDA-AF0A-F94F4B12052E}" name="Nombre oferente" dataDxfId="11"/>
    <tableColumn id="5" xr3:uid="{F65361E4-8D72-41BE-9F75-3733E402179A}" name="Adjudicad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5DCCE2-1A06-45E1-9362-F498B312CF33}" name="Tabla5" displayName="Tabla5" ref="A1:J21" totalsRowShown="0" headerRowDxfId="10">
  <autoFilter ref="A1:J21" xr:uid="{3E5DCCE2-1A06-45E1-9362-F498B312CF33}"/>
  <tableColumns count="10">
    <tableColumn id="1" xr3:uid="{1EA8F6C1-92AF-464C-97F8-5259DBA7CBB5}" name="max" dataDxfId="9">
      <calculatedColumnFormula>MAX($B$2:$B$127)</calculatedColumnFormula>
    </tableColumn>
    <tableColumn id="2" xr3:uid="{33793EA3-34D7-4D6D-B86D-3F250842C10A}" name="aux" dataDxfId="8">
      <calculatedColumnFormula array="1">IFERROR(MAX(--_xlfn.TEXTSPLIT(C2,";")),0)</calculatedColumnFormula>
    </tableColumn>
    <tableColumn id="3" xr3:uid="{14343C55-2461-432C-9954-29952162B76E}" name="Shapes"/>
    <tableColumn id="4" xr3:uid="{0A185E16-2B61-4FF8-AF73-88336466F284}" name="Proyecto" dataDxfId="7"/>
    <tableColumn id="9" xr3:uid="{7C61B78F-F4DD-4F80-8D4D-AABD3B55036C}" name="region" dataDxfId="6"/>
    <tableColumn id="5" xr3:uid="{AFB4B37C-C7FF-4D77-AB2A-762A7D41A8ED}" name="Institucion mandante" dataDxfId="5"/>
    <tableColumn id="6" xr3:uid="{D863FC92-BAB3-47C2-BB80-F22D29F3D864}" name="Fuente  de inf" dataDxfId="4" dataCellStyle="Hipervínculo"/>
    <tableColumn id="7" xr3:uid="{D3486ADD-FCAB-467D-B0EB-251EEB3E245B}" name="Inversion (USD) " dataDxfId="3"/>
    <tableColumn id="10" xr3:uid="{B4EFD4AE-28EB-449A-AD8D-58C9B7719A54}" name="Filial" dataDxfId="2"/>
    <tableColumn id="8" xr3:uid="{9234F28E-E88E-4763-A76E-73B745ADAF0C}" name="Descripcion" dataDxfId="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concesiones.mop.gob.cl/project/primera-concesion-aeropuerto-el-tepual-de-puerto-montt/" TargetMode="External"/><Relationship Id="rId13" Type="http://schemas.openxmlformats.org/officeDocument/2006/relationships/hyperlink" Target="https://concesiones.mop.gob.cl/project/concesion-mejoramiento-ruta-g-21/" TargetMode="External"/><Relationship Id="rId18" Type="http://schemas.openxmlformats.org/officeDocument/2006/relationships/hyperlink" Target="https://www.cmfchile.cl/institucional/mercados/entidad.php?auth=&amp;send=&amp;mercado=V&amp;rut=96971160&amp;grupo=&amp;tipoentidad=RVEMI&amp;vig=NV&amp;row=AAAwy2ACTAAABzAAAd&amp;control=svs&amp;pestania=2" TargetMode="External"/><Relationship Id="rId3" Type="http://schemas.openxmlformats.org/officeDocument/2006/relationships/hyperlink" Target="https://www.cmfchile.cl/institucional/mercados/entidad.php?auth=&amp;send=&amp;mercado=O&amp;rut=96921070&amp;grupo=&amp;tipoentidad=RGEIN&amp;vig=NV&amp;row=AAAwy2ACTAAAAWbAAT&amp;control=svs&amp;pestania=2" TargetMode="External"/><Relationship Id="rId7" Type="http://schemas.openxmlformats.org/officeDocument/2006/relationships/hyperlink" Target="https://concesiones.mop.gob.cl/project/primera-concesion-aeropuerto-diego-aracena-de-iquique/" TargetMode="External"/><Relationship Id="rId12" Type="http://schemas.openxmlformats.org/officeDocument/2006/relationships/hyperlink" Target="https://concesiones.mop.gob.cl/project/primera-concesion-acceso-vial-aeropuerto-arturo-merino-benitez/" TargetMode="External"/><Relationship Id="rId17" Type="http://schemas.openxmlformats.org/officeDocument/2006/relationships/hyperlink" Target="https://www.cmfchile.cl/institucional/mercados/entidad.php?auth=&amp;send=&amp;mercado=O&amp;rut=78089131&amp;grupo=&amp;tipoentidad=RGEIN&amp;vig=VI&amp;row=AAAwy2ACTAAAQjEAAA&amp;control=svs&amp;pestania=1" TargetMode="External"/><Relationship Id="rId2" Type="http://schemas.openxmlformats.org/officeDocument/2006/relationships/hyperlink" Target="https://www.cmfchile.cl/institucional/mercados/entidad.php?mercado=V&amp;rut=96778310&amp;grupo=&amp;tipoentidad=RVEMI&amp;row=AAAwy2ACTAAABzAAAj&amp;vig=NV&amp;control=svs&amp;pestania=5" TargetMode="External"/><Relationship Id="rId16" Type="http://schemas.openxmlformats.org/officeDocument/2006/relationships/hyperlink" Target="https://concesiones.mop.gob.cl/project/concesion-centro-metropolitano-de-vehiculos-retirados-de-circulacion/" TargetMode="External"/><Relationship Id="rId1" Type="http://schemas.openxmlformats.org/officeDocument/2006/relationships/hyperlink" Target="https://www.cmfchile.cl/institucional/mercados/entidad.php?mercado=O&amp;rut=77930767&amp;grupo=&amp;tipoentidad=RGEIN&amp;row=AAAwy2ACTAAAGD2AA5&amp;vig=VI&amp;control=svs&amp;pestania=1" TargetMode="External"/><Relationship Id="rId6" Type="http://schemas.openxmlformats.org/officeDocument/2006/relationships/hyperlink" Target="https://concesiones.mop.gob.cl/project/camino-de-la-madera/" TargetMode="External"/><Relationship Id="rId11" Type="http://schemas.openxmlformats.org/officeDocument/2006/relationships/hyperlink" Target="https://concesiones.mop.gob.cl/project/primera-concesion-camino-nogales-puchuncavi/" TargetMode="External"/><Relationship Id="rId5" Type="http://schemas.openxmlformats.org/officeDocument/2006/relationships/hyperlink" Target="https://concesiones.mop.gob.cl/project/primera-concesion-tunel-el-melon/" TargetMode="External"/><Relationship Id="rId15" Type="http://schemas.openxmlformats.org/officeDocument/2006/relationships/hyperlink" Target="https://concesiones.mop.gob.cl/project/concesion-sistema-americo-vespucio-sur-ruta-78-av-grecia/" TargetMode="External"/><Relationship Id="rId10" Type="http://schemas.openxmlformats.org/officeDocument/2006/relationships/hyperlink" Target="https://concesiones.mop.gob.cl/project/primera-concesion-autopista-santiago-san-antonio-ruta-78/" TargetMode="External"/><Relationship Id="rId19" Type="http://schemas.openxmlformats.org/officeDocument/2006/relationships/table" Target="../tables/table1.xml"/><Relationship Id="rId4" Type="http://schemas.openxmlformats.org/officeDocument/2006/relationships/hyperlink" Target="https://www.cmfchile.cl/institucional/mercados/entidad.php?auth=&amp;send=&amp;mercado=O&amp;rut=77996929&amp;grupo=&amp;tipoentidad=RGEIN&amp;vig=VI&amp;row=AAAwy2ACTAAACiqAAG&amp;control=svs&amp;pestania=1" TargetMode="External"/><Relationship Id="rId9" Type="http://schemas.openxmlformats.org/officeDocument/2006/relationships/hyperlink" Target="https://concesiones.mop.gob.cl/project/ruta-del-itata-concesion-acceso-norte-a-concepcion/" TargetMode="External"/><Relationship Id="rId14" Type="http://schemas.openxmlformats.org/officeDocument/2006/relationships/hyperlink" Target="https://concesiones.mop.gob.cl/project/primera-concesion-ruta-5-tramo-talca-chill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E23AC-138D-44B6-B9E7-8AF2601C5A8D}">
  <dimension ref="A3:D30"/>
  <sheetViews>
    <sheetView topLeftCell="A7" workbookViewId="0">
      <selection activeCell="B20" sqref="B20"/>
    </sheetView>
  </sheetViews>
  <sheetFormatPr baseColWidth="10" defaultRowHeight="14.4" x14ac:dyDescent="0.3"/>
  <cols>
    <col min="1" max="1" width="38.109375" bestFit="1" customWidth="1"/>
    <col min="2" max="2" width="23.33203125" bestFit="1" customWidth="1"/>
    <col min="3" max="3" width="19.5546875" bestFit="1" customWidth="1"/>
    <col min="4" max="4" width="17.109375" bestFit="1" customWidth="1"/>
    <col min="5" max="5" width="9.33203125" bestFit="1" customWidth="1"/>
    <col min="6" max="6" width="17" bestFit="1" customWidth="1"/>
    <col min="7" max="7" width="15.88671875" bestFit="1" customWidth="1"/>
    <col min="8" max="8" width="8.44140625" bestFit="1" customWidth="1"/>
    <col min="9" max="9" width="18.109375" bestFit="1" customWidth="1"/>
    <col min="10" max="10" width="68.33203125" bestFit="1" customWidth="1"/>
    <col min="11" max="11" width="6.33203125" bestFit="1" customWidth="1"/>
    <col min="12" max="12" width="17.88671875" bestFit="1" customWidth="1"/>
    <col min="13" max="13" width="22" bestFit="1" customWidth="1"/>
    <col min="14" max="14" width="9.6640625" bestFit="1" customWidth="1"/>
    <col min="15" max="15" width="42.6640625" bestFit="1" customWidth="1"/>
    <col min="17" max="17" width="19.33203125" bestFit="1" customWidth="1"/>
    <col min="18" max="18" width="33.109375" bestFit="1" customWidth="1"/>
    <col min="19" max="19" width="8.6640625" bestFit="1" customWidth="1"/>
    <col min="20" max="20" width="16.44140625" bestFit="1" customWidth="1"/>
    <col min="21" max="21" width="30.88671875" bestFit="1" customWidth="1"/>
    <col min="22" max="22" width="6" bestFit="1" customWidth="1"/>
    <col min="23" max="23" width="11.88671875" bestFit="1" customWidth="1"/>
    <col min="24" max="24" width="12.6640625" bestFit="1" customWidth="1"/>
    <col min="25" max="25" width="22.88671875" bestFit="1" customWidth="1"/>
    <col min="26" max="26" width="62.33203125" bestFit="1" customWidth="1"/>
    <col min="27" max="27" width="30.5546875" bestFit="1" customWidth="1"/>
    <col min="28" max="28" width="6" bestFit="1" customWidth="1"/>
    <col min="29" max="29" width="12.33203125" bestFit="1" customWidth="1"/>
    <col min="30" max="30" width="23.88671875" bestFit="1" customWidth="1"/>
    <col min="31" max="31" width="8.6640625" bestFit="1" customWidth="1"/>
    <col min="32" max="32" width="51.5546875" bestFit="1" customWidth="1"/>
    <col min="33" max="33" width="9.88671875" bestFit="1" customWidth="1"/>
    <col min="34" max="34" width="32.88671875" bestFit="1" customWidth="1"/>
    <col min="35" max="35" width="66.109375" bestFit="1" customWidth="1"/>
  </cols>
  <sheetData>
    <row r="3" spans="1:4" x14ac:dyDescent="0.3">
      <c r="A3" s="31" t="s">
        <v>1034</v>
      </c>
      <c r="B3" t="s">
        <v>1036</v>
      </c>
      <c r="C3" s="49" t="s">
        <v>1732</v>
      </c>
    </row>
    <row r="4" spans="1:4" x14ac:dyDescent="0.3">
      <c r="A4" s="32" t="s">
        <v>693</v>
      </c>
      <c r="B4" s="54">
        <v>20</v>
      </c>
      <c r="C4" s="53">
        <f>SUM(C5:C10)</f>
        <v>20</v>
      </c>
    </row>
    <row r="5" spans="1:4" x14ac:dyDescent="0.3">
      <c r="A5" s="50" t="s">
        <v>385</v>
      </c>
      <c r="B5" s="33">
        <v>1</v>
      </c>
      <c r="C5" s="52">
        <v>1</v>
      </c>
    </row>
    <row r="6" spans="1:4" x14ac:dyDescent="0.3">
      <c r="A6" s="50" t="s">
        <v>535</v>
      </c>
      <c r="B6" s="33">
        <v>10</v>
      </c>
      <c r="C6" s="52">
        <v>10</v>
      </c>
    </row>
    <row r="7" spans="1:4" x14ac:dyDescent="0.3">
      <c r="A7" s="50" t="s">
        <v>309</v>
      </c>
      <c r="B7" s="33">
        <v>1</v>
      </c>
      <c r="C7" s="52">
        <v>1</v>
      </c>
    </row>
    <row r="8" spans="1:4" x14ac:dyDescent="0.3">
      <c r="A8" s="50" t="s">
        <v>263</v>
      </c>
      <c r="B8" s="33">
        <v>2</v>
      </c>
      <c r="C8" s="52">
        <v>2</v>
      </c>
      <c r="D8" s="55" t="s">
        <v>1733</v>
      </c>
    </row>
    <row r="9" spans="1:4" x14ac:dyDescent="0.3">
      <c r="A9" s="50" t="s">
        <v>36</v>
      </c>
      <c r="B9" s="33">
        <v>2</v>
      </c>
      <c r="C9" s="52">
        <v>2</v>
      </c>
      <c r="D9" s="55" t="s">
        <v>1733</v>
      </c>
    </row>
    <row r="10" spans="1:4" x14ac:dyDescent="0.3">
      <c r="A10" s="50" t="s">
        <v>111</v>
      </c>
      <c r="B10" s="33">
        <v>4</v>
      </c>
      <c r="C10" s="52">
        <v>4</v>
      </c>
    </row>
    <row r="11" spans="1:4" x14ac:dyDescent="0.3">
      <c r="A11" s="32" t="s">
        <v>662</v>
      </c>
      <c r="B11" s="33">
        <v>19</v>
      </c>
      <c r="C11" s="53">
        <f>SUM(C12:C14)</f>
        <v>19</v>
      </c>
    </row>
    <row r="12" spans="1:4" x14ac:dyDescent="0.3">
      <c r="A12" s="50" t="s">
        <v>64</v>
      </c>
      <c r="B12" s="33">
        <v>5</v>
      </c>
      <c r="C12" s="52">
        <v>5</v>
      </c>
    </row>
    <row r="13" spans="1:4" x14ac:dyDescent="0.3">
      <c r="A13" s="50" t="s">
        <v>36</v>
      </c>
      <c r="B13" s="33">
        <v>13</v>
      </c>
      <c r="C13" s="52">
        <v>13</v>
      </c>
      <c r="D13" s="55" t="s">
        <v>1733</v>
      </c>
    </row>
    <row r="14" spans="1:4" x14ac:dyDescent="0.3">
      <c r="A14" s="50" t="s">
        <v>111</v>
      </c>
      <c r="B14" s="33">
        <v>1</v>
      </c>
      <c r="C14" s="52">
        <v>1</v>
      </c>
    </row>
    <row r="15" spans="1:4" x14ac:dyDescent="0.3">
      <c r="A15" s="32" t="s">
        <v>43</v>
      </c>
      <c r="B15" s="33">
        <v>44</v>
      </c>
      <c r="C15" s="53">
        <f>SUM(C16:C21)</f>
        <v>41</v>
      </c>
    </row>
    <row r="16" spans="1:4" x14ac:dyDescent="0.3">
      <c r="A16" s="50" t="s">
        <v>64</v>
      </c>
      <c r="B16" s="33">
        <v>19</v>
      </c>
      <c r="C16" s="52">
        <v>19</v>
      </c>
      <c r="D16" s="55" t="s">
        <v>1733</v>
      </c>
    </row>
    <row r="17" spans="1:4" x14ac:dyDescent="0.3">
      <c r="A17" s="50" t="s">
        <v>385</v>
      </c>
      <c r="B17" s="33">
        <v>4</v>
      </c>
      <c r="C17" s="52">
        <v>4</v>
      </c>
    </row>
    <row r="18" spans="1:4" x14ac:dyDescent="0.3">
      <c r="A18" s="50" t="s">
        <v>309</v>
      </c>
      <c r="B18" s="33">
        <v>1</v>
      </c>
      <c r="C18" s="52">
        <v>0</v>
      </c>
      <c r="D18" s="55" t="s">
        <v>1733</v>
      </c>
    </row>
    <row r="19" spans="1:4" x14ac:dyDescent="0.3">
      <c r="A19" s="50" t="s">
        <v>263</v>
      </c>
      <c r="B19" s="33">
        <v>2</v>
      </c>
      <c r="C19" s="52">
        <v>2</v>
      </c>
      <c r="D19" s="55" t="s">
        <v>1733</v>
      </c>
    </row>
    <row r="20" spans="1:4" x14ac:dyDescent="0.3">
      <c r="A20" s="50" t="s">
        <v>36</v>
      </c>
      <c r="B20" s="33">
        <v>16</v>
      </c>
      <c r="C20" s="52">
        <v>14</v>
      </c>
      <c r="D20" s="55" t="s">
        <v>1733</v>
      </c>
    </row>
    <row r="21" spans="1:4" x14ac:dyDescent="0.3">
      <c r="A21" s="50" t="s">
        <v>111</v>
      </c>
      <c r="B21" s="33">
        <v>2</v>
      </c>
      <c r="C21" s="52">
        <v>2</v>
      </c>
      <c r="D21" s="55" t="s">
        <v>1733</v>
      </c>
    </row>
    <row r="22" spans="1:4" x14ac:dyDescent="0.3">
      <c r="A22" s="32" t="s">
        <v>133</v>
      </c>
      <c r="B22" s="33">
        <v>44</v>
      </c>
      <c r="C22" s="53">
        <f>SUM(C23:C29)</f>
        <v>44</v>
      </c>
    </row>
    <row r="23" spans="1:4" x14ac:dyDescent="0.3">
      <c r="A23" s="50" t="s">
        <v>64</v>
      </c>
      <c r="B23" s="33">
        <v>5</v>
      </c>
      <c r="C23" s="52">
        <v>5</v>
      </c>
      <c r="D23" s="55" t="s">
        <v>1733</v>
      </c>
    </row>
    <row r="24" spans="1:4" x14ac:dyDescent="0.3">
      <c r="A24" s="50" t="s">
        <v>385</v>
      </c>
      <c r="B24" s="33">
        <v>7</v>
      </c>
      <c r="C24" s="52">
        <v>7</v>
      </c>
    </row>
    <row r="25" spans="1:4" x14ac:dyDescent="0.3">
      <c r="A25" s="50" t="s">
        <v>535</v>
      </c>
      <c r="B25" s="33">
        <v>3</v>
      </c>
      <c r="C25" s="52">
        <v>3</v>
      </c>
    </row>
    <row r="26" spans="1:4" x14ac:dyDescent="0.3">
      <c r="A26" s="50" t="s">
        <v>309</v>
      </c>
      <c r="B26" s="33">
        <v>4</v>
      </c>
      <c r="C26" s="52">
        <v>4</v>
      </c>
    </row>
    <row r="27" spans="1:4" x14ac:dyDescent="0.3">
      <c r="A27" s="50" t="s">
        <v>263</v>
      </c>
      <c r="B27" s="33">
        <v>1</v>
      </c>
      <c r="C27" s="52">
        <v>1</v>
      </c>
    </row>
    <row r="28" spans="1:4" x14ac:dyDescent="0.3">
      <c r="A28" s="50" t="s">
        <v>36</v>
      </c>
      <c r="B28" s="33">
        <v>16</v>
      </c>
      <c r="C28" s="52">
        <v>16</v>
      </c>
      <c r="D28" t="s">
        <v>1733</v>
      </c>
    </row>
    <row r="29" spans="1:4" x14ac:dyDescent="0.3">
      <c r="A29" s="50" t="s">
        <v>111</v>
      </c>
      <c r="B29" s="33">
        <v>8</v>
      </c>
      <c r="C29" s="53">
        <v>8</v>
      </c>
    </row>
    <row r="30" spans="1:4" x14ac:dyDescent="0.3">
      <c r="A30" s="32" t="s">
        <v>1035</v>
      </c>
      <c r="B30" s="33">
        <v>127</v>
      </c>
      <c r="C30" s="51">
        <f>+C4+C11+C15+C22</f>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40258-79EC-4B6B-9344-9FB50696C2EB}">
  <dimension ref="A1:AK128"/>
  <sheetViews>
    <sheetView tabSelected="1" zoomScale="70" zoomScaleNormal="70" workbookViewId="0">
      <pane ySplit="1" topLeftCell="A126" activePane="bottomLeft" state="frozen"/>
      <selection pane="bottomLeft" activeCell="H127" sqref="H127"/>
    </sheetView>
  </sheetViews>
  <sheetFormatPr baseColWidth="10" defaultRowHeight="14.4" x14ac:dyDescent="0.3"/>
  <cols>
    <col min="3" max="3" width="8.88671875" bestFit="1" customWidth="1"/>
    <col min="5" max="5" width="17.109375" customWidth="1"/>
    <col min="6" max="6" width="24.5546875" customWidth="1"/>
    <col min="8" max="8" width="32" customWidth="1"/>
    <col min="9" max="9" width="59.77734375" customWidth="1"/>
    <col min="10" max="10" width="20" customWidth="1"/>
    <col min="11" max="11" width="18.109375" customWidth="1"/>
    <col min="12" max="12" width="23.44140625" customWidth="1"/>
    <col min="13" max="13" width="8.88671875" customWidth="1"/>
    <col min="14" max="14" width="12.44140625" customWidth="1"/>
    <col min="15" max="15" width="27.88671875" customWidth="1"/>
    <col min="16" max="16" width="10.109375" customWidth="1"/>
    <col min="17" max="17" width="86.88671875" bestFit="1" customWidth="1"/>
    <col min="18" max="18" width="11.33203125" bestFit="1" customWidth="1"/>
    <col min="19" max="19" width="20.6640625" customWidth="1"/>
    <col min="20" max="20" width="22.88671875" customWidth="1"/>
    <col min="21" max="21" width="28.21875" bestFit="1" customWidth="1"/>
    <col min="22" max="22" width="23.44140625" customWidth="1"/>
    <col min="23" max="23" width="25.6640625" customWidth="1"/>
    <col min="24" max="24" width="26.33203125" customWidth="1"/>
    <col min="25" max="25" width="36.33203125" customWidth="1"/>
    <col min="26" max="26" width="26.33203125" customWidth="1"/>
    <col min="27" max="27" width="37.33203125" bestFit="1" customWidth="1"/>
    <col min="28" max="28" width="23" bestFit="1" customWidth="1"/>
    <col min="29" max="29" width="35.5546875" customWidth="1"/>
    <col min="30" max="30" width="33.77734375" bestFit="1" customWidth="1"/>
    <col min="31" max="31" width="19.88671875" customWidth="1"/>
    <col min="32" max="32" width="20.6640625" customWidth="1"/>
    <col min="33" max="33" width="30.44140625" customWidth="1"/>
    <col min="34" max="34" width="30" customWidth="1"/>
    <col min="35" max="35" width="31.44140625" customWidth="1"/>
    <col min="36" max="36" width="21.6640625" customWidth="1"/>
    <col min="37" max="37" width="12.21875" customWidth="1"/>
    <col min="38" max="38" width="6.44140625" customWidth="1"/>
  </cols>
  <sheetData>
    <row r="1" spans="1:37" ht="37.200000000000003" customHeight="1" x14ac:dyDescent="0.3">
      <c r="A1" t="s">
        <v>1888</v>
      </c>
      <c r="B1" s="28" t="s">
        <v>1748</v>
      </c>
      <c r="C1" t="s">
        <v>1747</v>
      </c>
      <c r="D1" s="28" t="s">
        <v>1746</v>
      </c>
      <c r="E1" s="28" t="s">
        <v>0</v>
      </c>
      <c r="F1" s="29" t="s">
        <v>1</v>
      </c>
      <c r="G1" s="28" t="s">
        <v>2</v>
      </c>
      <c r="H1" s="28" t="s">
        <v>3</v>
      </c>
      <c r="I1" s="28" t="s">
        <v>4</v>
      </c>
      <c r="J1" s="28" t="s">
        <v>5</v>
      </c>
      <c r="K1" s="28" t="s">
        <v>6</v>
      </c>
      <c r="L1" s="28" t="s">
        <v>7</v>
      </c>
      <c r="M1" s="28" t="s">
        <v>8</v>
      </c>
      <c r="N1" s="28" t="s">
        <v>9</v>
      </c>
      <c r="O1" s="28" t="s">
        <v>10</v>
      </c>
      <c r="P1" s="28" t="s">
        <v>11</v>
      </c>
      <c r="Q1" s="28" t="s">
        <v>12</v>
      </c>
      <c r="R1" s="28" t="s">
        <v>13</v>
      </c>
      <c r="S1" s="28" t="s">
        <v>14</v>
      </c>
      <c r="T1" s="28" t="s">
        <v>15</v>
      </c>
      <c r="U1" s="28" t="s">
        <v>16</v>
      </c>
      <c r="V1" s="28" t="s">
        <v>17</v>
      </c>
      <c r="W1" s="28" t="s">
        <v>18</v>
      </c>
      <c r="X1" s="28" t="s">
        <v>19</v>
      </c>
      <c r="Y1" s="28" t="s">
        <v>20</v>
      </c>
      <c r="Z1" s="28" t="s">
        <v>21</v>
      </c>
      <c r="AA1" s="28" t="s">
        <v>22</v>
      </c>
      <c r="AB1" s="28" t="s">
        <v>23</v>
      </c>
      <c r="AC1" s="28" t="s">
        <v>24</v>
      </c>
      <c r="AD1" s="28" t="s">
        <v>25</v>
      </c>
      <c r="AE1" s="28" t="s">
        <v>26</v>
      </c>
      <c r="AF1" s="28" t="s">
        <v>27</v>
      </c>
      <c r="AG1" s="28" t="s">
        <v>28</v>
      </c>
      <c r="AH1" s="28" t="s">
        <v>29</v>
      </c>
      <c r="AI1" s="30" t="s">
        <v>30</v>
      </c>
      <c r="AJ1" s="28" t="s">
        <v>31</v>
      </c>
      <c r="AK1" s="28" t="s">
        <v>1743</v>
      </c>
    </row>
    <row r="2" spans="1:37" ht="115.2" x14ac:dyDescent="0.3">
      <c r="B2" s="1">
        <f t="shared" ref="B2:B33" si="0">MAX($C$2:$C$128)</f>
        <v>190</v>
      </c>
      <c r="C2" cm="1">
        <f t="array" ref="C2">IFERROR(MAX(--_xlfn.TEXTSPLIT(D2,";")),0)</f>
        <v>190</v>
      </c>
      <c r="D2" s="89">
        <v>190</v>
      </c>
      <c r="E2" s="1" t="s">
        <v>381</v>
      </c>
      <c r="F2" s="1" t="s">
        <v>382</v>
      </c>
      <c r="G2" s="1">
        <v>1</v>
      </c>
      <c r="H2" s="1" t="s">
        <v>383</v>
      </c>
      <c r="I2" s="1" t="s">
        <v>384</v>
      </c>
      <c r="J2" s="1" t="s">
        <v>385</v>
      </c>
      <c r="K2" s="1" t="s">
        <v>112</v>
      </c>
      <c r="L2" s="1" t="s">
        <v>38</v>
      </c>
      <c r="M2" s="1" t="s">
        <v>39</v>
      </c>
      <c r="N2" s="2" t="s">
        <v>40</v>
      </c>
      <c r="O2" s="3">
        <v>800000</v>
      </c>
      <c r="P2" s="3" t="s">
        <v>41</v>
      </c>
      <c r="Q2" s="1" t="s">
        <v>386</v>
      </c>
      <c r="R2" s="1" t="s">
        <v>43</v>
      </c>
      <c r="S2" s="3" t="s">
        <v>123</v>
      </c>
      <c r="T2" s="3" t="s">
        <v>200</v>
      </c>
      <c r="U2" s="2">
        <v>37773</v>
      </c>
      <c r="V2" s="2">
        <v>37986</v>
      </c>
      <c r="W2" s="2">
        <v>38013</v>
      </c>
      <c r="X2" s="2">
        <v>38072</v>
      </c>
      <c r="Y2" s="2">
        <v>38120</v>
      </c>
      <c r="Z2" s="3" t="s">
        <v>387</v>
      </c>
      <c r="AA2" s="3" t="s">
        <v>388</v>
      </c>
      <c r="AB2" s="3" t="s">
        <v>389</v>
      </c>
      <c r="AC2" s="2">
        <v>38120</v>
      </c>
      <c r="AD2" s="2">
        <v>39079</v>
      </c>
      <c r="AE2" s="2" t="s">
        <v>49</v>
      </c>
      <c r="AF2" s="2" t="s">
        <v>50</v>
      </c>
      <c r="AG2" s="2">
        <v>39228</v>
      </c>
      <c r="AH2" s="2">
        <v>39470</v>
      </c>
      <c r="AI2" s="5">
        <v>294554.44999999995</v>
      </c>
      <c r="AJ2" s="6">
        <v>0</v>
      </c>
      <c r="AK2" s="69" t="str">
        <f t="shared" ref="AK2:AK33" si="1">MID(E2,5,LEN(E2)-4)</f>
        <v>EIMQ1</v>
      </c>
    </row>
    <row r="3" spans="1:37" ht="118.95" customHeight="1" x14ac:dyDescent="0.3">
      <c r="B3" s="1">
        <f>MAX($C$2:$C$128)</f>
        <v>190</v>
      </c>
      <c r="C3" cm="1">
        <f t="array" ref="C3">IFERROR(MAX(--_xlfn.TEXTSPLIT(D3,";")),0)</f>
        <v>188</v>
      </c>
      <c r="D3" s="1">
        <v>188</v>
      </c>
      <c r="E3" s="1" t="s">
        <v>365</v>
      </c>
      <c r="F3" s="1" t="s">
        <v>366</v>
      </c>
      <c r="G3" s="1">
        <v>1</v>
      </c>
      <c r="H3" s="1" t="s">
        <v>367</v>
      </c>
      <c r="I3" s="1" t="s">
        <v>1983</v>
      </c>
      <c r="J3" s="1" t="s">
        <v>36</v>
      </c>
      <c r="K3" s="1" t="s">
        <v>75</v>
      </c>
      <c r="L3" s="1" t="s">
        <v>38</v>
      </c>
      <c r="M3" s="1" t="s">
        <v>39</v>
      </c>
      <c r="N3" s="2" t="s">
        <v>40</v>
      </c>
      <c r="O3" s="3">
        <v>14150000</v>
      </c>
      <c r="P3" s="3" t="s">
        <v>41</v>
      </c>
      <c r="Q3" s="1" t="s">
        <v>264</v>
      </c>
      <c r="R3" s="1" t="s">
        <v>43</v>
      </c>
      <c r="S3" s="3" t="s">
        <v>123</v>
      </c>
      <c r="T3" s="3" t="s">
        <v>368</v>
      </c>
      <c r="U3" s="2">
        <v>37291</v>
      </c>
      <c r="V3" s="2">
        <v>38343</v>
      </c>
      <c r="W3" s="2">
        <v>38366</v>
      </c>
      <c r="X3" s="2">
        <v>38469</v>
      </c>
      <c r="Y3" s="2">
        <v>38548</v>
      </c>
      <c r="Z3" s="3" t="s">
        <v>369</v>
      </c>
      <c r="AA3" s="3" t="s">
        <v>370</v>
      </c>
      <c r="AB3" s="3" t="s">
        <v>371</v>
      </c>
      <c r="AC3" s="2">
        <v>38548</v>
      </c>
      <c r="AD3" s="2">
        <v>39106</v>
      </c>
      <c r="AE3" s="2" t="s">
        <v>49</v>
      </c>
      <c r="AF3" s="2" t="s">
        <v>269</v>
      </c>
      <c r="AG3" s="2" t="s">
        <v>269</v>
      </c>
      <c r="AH3" s="2" t="s">
        <v>269</v>
      </c>
      <c r="AI3" s="5">
        <v>344061.75</v>
      </c>
      <c r="AJ3" s="6">
        <v>0</v>
      </c>
      <c r="AK3" s="69" t="str">
        <f>MID(E3,5,LEN(E3)-4)</f>
        <v>PBCH1</v>
      </c>
    </row>
    <row r="4" spans="1:37" ht="130.19999999999999" customHeight="1" x14ac:dyDescent="0.3">
      <c r="B4" s="1">
        <f>MAX($C$2:$C$128)</f>
        <v>190</v>
      </c>
      <c r="C4" cm="1">
        <f t="array" ref="C4">IFERROR(MAX(--_xlfn.TEXTSPLIT(D4,";")),0)</f>
        <v>187</v>
      </c>
      <c r="D4" t="s">
        <v>1752</v>
      </c>
      <c r="E4" s="56" t="s">
        <v>1750</v>
      </c>
      <c r="F4" s="60" t="s">
        <v>1734</v>
      </c>
      <c r="G4" s="57">
        <v>1</v>
      </c>
      <c r="H4" s="72" t="s">
        <v>1749</v>
      </c>
      <c r="I4" s="1" t="s">
        <v>1984</v>
      </c>
      <c r="J4" s="57" t="s">
        <v>263</v>
      </c>
      <c r="K4" s="57" t="s">
        <v>175</v>
      </c>
      <c r="L4" s="57"/>
      <c r="M4" s="57"/>
      <c r="N4" s="58"/>
      <c r="O4" s="59"/>
      <c r="P4" s="57"/>
      <c r="Q4" s="57"/>
      <c r="R4" s="57" t="s">
        <v>693</v>
      </c>
      <c r="S4" s="57"/>
      <c r="T4" s="57"/>
      <c r="U4" s="58">
        <v>45657</v>
      </c>
      <c r="V4" s="58">
        <v>45944</v>
      </c>
      <c r="W4" s="2"/>
      <c r="X4" s="58">
        <v>46112</v>
      </c>
      <c r="Y4" s="58"/>
      <c r="Z4" s="57"/>
      <c r="AA4" s="3" t="s">
        <v>1985</v>
      </c>
      <c r="AB4" s="57"/>
      <c r="AC4" s="58">
        <v>46123</v>
      </c>
      <c r="AD4" s="58"/>
      <c r="AE4" s="57"/>
      <c r="AF4" s="57"/>
      <c r="AG4" s="2" t="s">
        <v>697</v>
      </c>
      <c r="AH4" s="57"/>
      <c r="AI4" s="22"/>
      <c r="AJ4" s="23"/>
      <c r="AK4" s="69" t="str">
        <f>MID(E4,5,LEN(E4)-4)</f>
        <v>PDRC1</v>
      </c>
    </row>
    <row r="5" spans="1:37" ht="118.95" customHeight="1" x14ac:dyDescent="0.3">
      <c r="A5" t="s">
        <v>1890</v>
      </c>
      <c r="B5" s="1">
        <f>MAX($C$2:$C$128)</f>
        <v>190</v>
      </c>
      <c r="C5" cm="1">
        <f t="array" ref="C5">IFERROR(MAX(--_xlfn.TEXTSPLIT(D5,";")),0)</f>
        <v>1</v>
      </c>
      <c r="D5" t="s">
        <v>1751</v>
      </c>
      <c r="E5" s="1" t="s">
        <v>479</v>
      </c>
      <c r="F5" s="1" t="s">
        <v>480</v>
      </c>
      <c r="G5" s="1">
        <v>1</v>
      </c>
      <c r="H5" s="1" t="s">
        <v>481</v>
      </c>
      <c r="I5" s="1" t="s">
        <v>482</v>
      </c>
      <c r="J5" s="1" t="s">
        <v>36</v>
      </c>
      <c r="K5" s="1" t="s">
        <v>55</v>
      </c>
      <c r="L5" s="1" t="s">
        <v>38</v>
      </c>
      <c r="M5" s="1" t="s">
        <v>39</v>
      </c>
      <c r="N5" s="2" t="s">
        <v>40</v>
      </c>
      <c r="O5" s="3">
        <v>7700000</v>
      </c>
      <c r="P5" s="3" t="s">
        <v>41</v>
      </c>
      <c r="Q5" s="1" t="s">
        <v>483</v>
      </c>
      <c r="R5" s="1" t="s">
        <v>133</v>
      </c>
      <c r="S5" s="3" t="s">
        <v>44</v>
      </c>
      <c r="T5" s="3" t="s">
        <v>484</v>
      </c>
      <c r="U5" s="2">
        <v>39087</v>
      </c>
      <c r="V5" s="2">
        <v>39511</v>
      </c>
      <c r="W5" s="2">
        <v>39542</v>
      </c>
      <c r="X5" s="2">
        <v>39626</v>
      </c>
      <c r="Y5" s="2">
        <v>39704</v>
      </c>
      <c r="Z5" s="3" t="s">
        <v>485</v>
      </c>
      <c r="AA5" s="3" t="s">
        <v>486</v>
      </c>
      <c r="AB5" s="3" t="s">
        <v>487</v>
      </c>
      <c r="AC5" s="2">
        <v>39704</v>
      </c>
      <c r="AD5" s="2">
        <v>54313</v>
      </c>
      <c r="AE5" s="2" t="s">
        <v>106</v>
      </c>
      <c r="AF5" s="2">
        <v>40552</v>
      </c>
      <c r="AG5" s="2">
        <v>42642</v>
      </c>
      <c r="AH5" s="2">
        <v>42886</v>
      </c>
      <c r="AI5" s="8">
        <v>8391266.1999999993</v>
      </c>
      <c r="AJ5" s="6">
        <v>1</v>
      </c>
      <c r="AK5" s="69" t="str">
        <f>MID(E5,5,LEN(E5)-4)</f>
        <v>160R1</v>
      </c>
    </row>
    <row r="6" spans="1:37" ht="118.95" customHeight="1" x14ac:dyDescent="0.3">
      <c r="A6" t="s">
        <v>1891</v>
      </c>
      <c r="B6" s="1">
        <f>MAX($C$2:$C$128)</f>
        <v>190</v>
      </c>
      <c r="C6" cm="1">
        <f t="array" ref="C6">IFERROR(MAX(--_xlfn.TEXTSPLIT(D6,";")),0)</f>
        <v>2</v>
      </c>
      <c r="D6" t="s">
        <v>1753</v>
      </c>
      <c r="E6" s="1" t="s">
        <v>674</v>
      </c>
      <c r="F6" s="1" t="s">
        <v>1848</v>
      </c>
      <c r="G6" s="1">
        <v>1</v>
      </c>
      <c r="H6" s="1" t="s">
        <v>675</v>
      </c>
      <c r="I6" s="1" t="s">
        <v>676</v>
      </c>
      <c r="J6" s="1" t="s">
        <v>111</v>
      </c>
      <c r="K6" s="1" t="s">
        <v>112</v>
      </c>
      <c r="L6" s="1" t="s">
        <v>38</v>
      </c>
      <c r="M6" s="1" t="s">
        <v>39</v>
      </c>
      <c r="N6" s="2" t="s">
        <v>40</v>
      </c>
      <c r="O6" s="3">
        <v>21900000</v>
      </c>
      <c r="P6" s="3" t="s">
        <v>41</v>
      </c>
      <c r="Q6" s="1" t="s">
        <v>677</v>
      </c>
      <c r="R6" s="1" t="s">
        <v>133</v>
      </c>
      <c r="S6" s="3" t="s">
        <v>123</v>
      </c>
      <c r="T6" s="3" t="s">
        <v>484</v>
      </c>
      <c r="U6" s="2">
        <v>41485</v>
      </c>
      <c r="V6" s="2">
        <v>41655</v>
      </c>
      <c r="W6" s="2">
        <v>41667</v>
      </c>
      <c r="X6" s="2">
        <v>41670</v>
      </c>
      <c r="Y6" s="2">
        <v>41711</v>
      </c>
      <c r="Z6" s="3" t="s">
        <v>678</v>
      </c>
      <c r="AA6" s="3" t="s">
        <v>679</v>
      </c>
      <c r="AB6" s="3" t="s">
        <v>680</v>
      </c>
      <c r="AC6" s="2">
        <v>41711</v>
      </c>
      <c r="AD6" s="2">
        <v>58146</v>
      </c>
      <c r="AE6" s="2" t="s">
        <v>106</v>
      </c>
      <c r="AF6" s="2">
        <v>43049</v>
      </c>
      <c r="AG6" s="2">
        <v>44770</v>
      </c>
      <c r="AH6" s="2">
        <v>45075</v>
      </c>
      <c r="AI6" s="8">
        <v>28379077.100000001</v>
      </c>
      <c r="AJ6" s="6">
        <v>1</v>
      </c>
      <c r="AK6" s="69" t="str">
        <f>MID(E6,5,LEN(E6)-4)</f>
        <v>1AVO1</v>
      </c>
    </row>
    <row r="7" spans="1:37" ht="118.95" customHeight="1" x14ac:dyDescent="0.3">
      <c r="B7" s="1">
        <f>MAX($C$2:$C$128)</f>
        <v>190</v>
      </c>
      <c r="C7" cm="1">
        <f t="array" ref="C7">IFERROR(MAX(--_xlfn.TEXTSPLIT(D7,";")),0)</f>
        <v>185</v>
      </c>
      <c r="D7" t="s">
        <v>1824</v>
      </c>
      <c r="E7" s="1" t="s">
        <v>999</v>
      </c>
      <c r="F7" s="1" t="s">
        <v>1000</v>
      </c>
      <c r="G7" s="1">
        <v>1</v>
      </c>
      <c r="H7" s="1" t="s">
        <v>1001</v>
      </c>
      <c r="I7" s="1" t="s">
        <v>1002</v>
      </c>
      <c r="J7" s="1" t="s">
        <v>309</v>
      </c>
      <c r="K7" s="1" t="s">
        <v>866</v>
      </c>
      <c r="L7" s="1" t="s">
        <v>38</v>
      </c>
      <c r="M7" s="1" t="s">
        <v>39</v>
      </c>
      <c r="N7" s="2"/>
      <c r="O7" s="26">
        <v>1400000</v>
      </c>
      <c r="P7" s="1" t="s">
        <v>41</v>
      </c>
      <c r="Q7" s="1" t="s">
        <v>1003</v>
      </c>
      <c r="R7" s="1" t="s">
        <v>133</v>
      </c>
      <c r="S7" s="3" t="s">
        <v>44</v>
      </c>
      <c r="T7" s="3" t="s">
        <v>301</v>
      </c>
      <c r="U7" s="2">
        <v>45304</v>
      </c>
      <c r="V7" s="2">
        <v>45498</v>
      </c>
      <c r="W7" s="2">
        <v>45524</v>
      </c>
      <c r="X7" s="2">
        <v>45561</v>
      </c>
      <c r="Y7" s="2">
        <v>45600</v>
      </c>
      <c r="Z7" s="1" t="s">
        <v>1004</v>
      </c>
      <c r="AA7" s="1" t="s">
        <v>1005</v>
      </c>
      <c r="AB7" s="3" t="s">
        <v>1006</v>
      </c>
      <c r="AC7" s="2">
        <v>45600</v>
      </c>
      <c r="AD7" s="2">
        <v>51703</v>
      </c>
      <c r="AE7" s="2" t="s">
        <v>106</v>
      </c>
      <c r="AF7" s="1" t="s">
        <v>269</v>
      </c>
      <c r="AG7" s="1" t="s">
        <v>269</v>
      </c>
      <c r="AH7" s="1" t="s">
        <v>269</v>
      </c>
      <c r="AI7" s="22">
        <v>1400000</v>
      </c>
      <c r="AJ7" s="23" t="s">
        <v>269</v>
      </c>
      <c r="AK7" s="69" t="str">
        <f>MID(E7,5,LEN(E7)-4)</f>
        <v>PP4T1</v>
      </c>
    </row>
    <row r="8" spans="1:37" ht="118.95" customHeight="1" x14ac:dyDescent="0.3">
      <c r="B8" s="1">
        <f>MAX($C$2:$C$128)</f>
        <v>190</v>
      </c>
      <c r="C8" cm="1">
        <f t="array" ref="C8">IFERROR(MAX(--_xlfn.TEXTSPLIT(D8,";")),0)</f>
        <v>184</v>
      </c>
      <c r="D8" t="s">
        <v>1823</v>
      </c>
      <c r="E8" s="1" t="s">
        <v>372</v>
      </c>
      <c r="F8" s="1" t="s">
        <v>1876</v>
      </c>
      <c r="G8" s="1">
        <v>1</v>
      </c>
      <c r="H8" s="1" t="s">
        <v>373</v>
      </c>
      <c r="I8" s="1" t="s">
        <v>374</v>
      </c>
      <c r="J8" s="1" t="s">
        <v>309</v>
      </c>
      <c r="K8" s="1" t="s">
        <v>375</v>
      </c>
      <c r="L8" s="1" t="s">
        <v>38</v>
      </c>
      <c r="M8" s="1" t="s">
        <v>39</v>
      </c>
      <c r="N8" s="2" t="s">
        <v>40</v>
      </c>
      <c r="O8" s="3">
        <v>2750000</v>
      </c>
      <c r="P8" s="3" t="s">
        <v>41</v>
      </c>
      <c r="Q8" s="1" t="s">
        <v>376</v>
      </c>
      <c r="R8" s="1" t="s">
        <v>133</v>
      </c>
      <c r="S8" s="3" t="s">
        <v>123</v>
      </c>
      <c r="T8" s="3" t="s">
        <v>312</v>
      </c>
      <c r="U8" s="2">
        <v>37632</v>
      </c>
      <c r="V8" s="2">
        <v>37973</v>
      </c>
      <c r="W8" s="2">
        <v>37985</v>
      </c>
      <c r="X8" s="2">
        <v>38023</v>
      </c>
      <c r="Y8" s="2">
        <v>38079</v>
      </c>
      <c r="Z8" s="3" t="s">
        <v>377</v>
      </c>
      <c r="AA8" s="3" t="s">
        <v>378</v>
      </c>
      <c r="AB8" s="3" t="s">
        <v>379</v>
      </c>
      <c r="AC8" s="2">
        <v>38079</v>
      </c>
      <c r="AD8" s="2">
        <v>46699</v>
      </c>
      <c r="AE8" s="2" t="s">
        <v>49</v>
      </c>
      <c r="AF8" s="2" t="s">
        <v>50</v>
      </c>
      <c r="AG8" s="2" t="s">
        <v>380</v>
      </c>
      <c r="AH8" s="2">
        <v>39394</v>
      </c>
      <c r="AI8" s="5">
        <v>4410508.8400000008</v>
      </c>
      <c r="AJ8" s="6">
        <v>1</v>
      </c>
      <c r="AK8" s="69" t="str">
        <f>MID(E8,5,LEN(E8)-4)</f>
        <v>PP3G1</v>
      </c>
    </row>
    <row r="9" spans="1:37" ht="118.95" customHeight="1" x14ac:dyDescent="0.3">
      <c r="A9" t="s">
        <v>1892</v>
      </c>
      <c r="B9" s="1">
        <f>MAX($C$2:$C$128)</f>
        <v>190</v>
      </c>
      <c r="C9" cm="1">
        <f t="array" ref="C9">IFERROR(MAX(--_xlfn.TEXTSPLIT(D9,";")),0)</f>
        <v>6</v>
      </c>
      <c r="D9" t="s">
        <v>1756</v>
      </c>
      <c r="E9" s="1" t="s">
        <v>615</v>
      </c>
      <c r="F9" s="1" t="s">
        <v>1851</v>
      </c>
      <c r="G9" s="1">
        <v>1</v>
      </c>
      <c r="H9" s="1" t="s">
        <v>616</v>
      </c>
      <c r="I9" s="1" t="s">
        <v>617</v>
      </c>
      <c r="J9" s="1" t="s">
        <v>36</v>
      </c>
      <c r="K9" s="1" t="s">
        <v>175</v>
      </c>
      <c r="L9" s="1" t="s">
        <v>38</v>
      </c>
      <c r="M9" s="1" t="s">
        <v>39</v>
      </c>
      <c r="N9" s="2" t="s">
        <v>40</v>
      </c>
      <c r="O9" s="3">
        <v>5100000</v>
      </c>
      <c r="P9" s="3" t="s">
        <v>41</v>
      </c>
      <c r="Q9" s="1" t="s">
        <v>618</v>
      </c>
      <c r="R9" s="1" t="s">
        <v>133</v>
      </c>
      <c r="S9" s="3" t="s">
        <v>123</v>
      </c>
      <c r="T9" s="3" t="s">
        <v>484</v>
      </c>
      <c r="U9" s="2">
        <v>40858</v>
      </c>
      <c r="V9" s="2">
        <v>41201</v>
      </c>
      <c r="W9" s="2">
        <v>41208</v>
      </c>
      <c r="X9" s="2">
        <v>41339</v>
      </c>
      <c r="Y9" s="2">
        <v>41425</v>
      </c>
      <c r="Z9" s="3" t="s">
        <v>619</v>
      </c>
      <c r="AA9" s="3" t="s">
        <v>620</v>
      </c>
      <c r="AB9" s="3" t="s">
        <v>621</v>
      </c>
      <c r="AC9" s="2">
        <v>41425</v>
      </c>
      <c r="AD9" s="2">
        <v>59687</v>
      </c>
      <c r="AE9" s="2" t="s">
        <v>106</v>
      </c>
      <c r="AF9" s="2">
        <v>41844</v>
      </c>
      <c r="AG9" s="2">
        <v>43289</v>
      </c>
      <c r="AH9" s="2">
        <v>43469</v>
      </c>
      <c r="AI9" s="8">
        <v>5612046.0600000005</v>
      </c>
      <c r="AJ9" s="6">
        <v>1</v>
      </c>
      <c r="AK9" s="69" t="str">
        <f>MID(E9,5,LEN(E9)-4)</f>
        <v>43RU1</v>
      </c>
    </row>
    <row r="10" spans="1:37" ht="118.95" customHeight="1" x14ac:dyDescent="0.3">
      <c r="A10" t="s">
        <v>1893</v>
      </c>
      <c r="B10" s="1">
        <f>MAX($C$2:$C$128)</f>
        <v>190</v>
      </c>
      <c r="C10" cm="1">
        <f t="array" ref="C10">IFERROR(MAX(--_xlfn.TEXTSPLIT(D10,";")),0)</f>
        <v>181</v>
      </c>
      <c r="D10" t="s">
        <v>1822</v>
      </c>
      <c r="E10" s="1" t="s">
        <v>349</v>
      </c>
      <c r="F10" s="1" t="s">
        <v>350</v>
      </c>
      <c r="G10" s="1">
        <v>1</v>
      </c>
      <c r="H10" s="1" t="s">
        <v>351</v>
      </c>
      <c r="I10" s="1" t="s">
        <v>352</v>
      </c>
      <c r="J10" s="1" t="s">
        <v>309</v>
      </c>
      <c r="K10" s="1" t="s">
        <v>353</v>
      </c>
      <c r="L10" s="1" t="s">
        <v>38</v>
      </c>
      <c r="M10" s="1" t="s">
        <v>39</v>
      </c>
      <c r="N10" s="2" t="s">
        <v>40</v>
      </c>
      <c r="O10" s="3">
        <v>1800000</v>
      </c>
      <c r="P10" s="3" t="s">
        <v>41</v>
      </c>
      <c r="Q10" s="1" t="s">
        <v>264</v>
      </c>
      <c r="R10" s="1" t="s">
        <v>43</v>
      </c>
      <c r="S10" s="3" t="s">
        <v>123</v>
      </c>
      <c r="T10" s="3" t="s">
        <v>312</v>
      </c>
      <c r="U10" s="2">
        <v>37185</v>
      </c>
      <c r="V10" s="2">
        <v>37425</v>
      </c>
      <c r="W10" s="2">
        <v>37468</v>
      </c>
      <c r="X10" s="2">
        <v>37596</v>
      </c>
      <c r="Y10" s="2">
        <v>37686</v>
      </c>
      <c r="Z10" s="3" t="s">
        <v>354</v>
      </c>
      <c r="AA10" s="3" t="s">
        <v>355</v>
      </c>
      <c r="AB10" s="3" t="s">
        <v>356</v>
      </c>
      <c r="AC10" s="2">
        <v>37686</v>
      </c>
      <c r="AD10" s="2">
        <v>38960</v>
      </c>
      <c r="AE10" s="2" t="s">
        <v>49</v>
      </c>
      <c r="AF10" s="2" t="s">
        <v>269</v>
      </c>
      <c r="AG10" s="2" t="s">
        <v>269</v>
      </c>
      <c r="AH10" s="2" t="s">
        <v>269</v>
      </c>
      <c r="AI10" s="5">
        <v>1328957.22</v>
      </c>
      <c r="AJ10" s="6">
        <v>0</v>
      </c>
      <c r="AK10" s="69" t="str">
        <f>MID(E10,5,LEN(E10)-4)</f>
        <v>PP2G1</v>
      </c>
    </row>
    <row r="11" spans="1:37" ht="172.8" x14ac:dyDescent="0.3">
      <c r="A11" t="s">
        <v>1894</v>
      </c>
      <c r="B11" s="1">
        <f>MAX($C$2:$C$128)</f>
        <v>190</v>
      </c>
      <c r="C11" cm="1">
        <f t="array" ref="C11">IFERROR(MAX(--_xlfn.TEXTSPLIT(D11,";")),0)</f>
        <v>9</v>
      </c>
      <c r="D11" t="s">
        <v>1758</v>
      </c>
      <c r="E11" s="1" t="s">
        <v>333</v>
      </c>
      <c r="F11" s="1" t="s">
        <v>334</v>
      </c>
      <c r="G11" s="1">
        <v>1</v>
      </c>
      <c r="H11" s="1" t="s">
        <v>335</v>
      </c>
      <c r="I11" s="1" t="s">
        <v>336</v>
      </c>
      <c r="J11" s="1" t="s">
        <v>36</v>
      </c>
      <c r="K11" s="1" t="s">
        <v>37</v>
      </c>
      <c r="L11" s="1" t="s">
        <v>38</v>
      </c>
      <c r="M11" s="1" t="s">
        <v>39</v>
      </c>
      <c r="N11" s="2" t="s">
        <v>40</v>
      </c>
      <c r="O11" s="3">
        <v>6680000</v>
      </c>
      <c r="P11" s="3" t="s">
        <v>41</v>
      </c>
      <c r="Q11" s="1" t="s">
        <v>337</v>
      </c>
      <c r="R11" s="1" t="s">
        <v>133</v>
      </c>
      <c r="S11" s="3" t="s">
        <v>123</v>
      </c>
      <c r="T11" s="3" t="s">
        <v>248</v>
      </c>
      <c r="U11" s="2">
        <v>37141</v>
      </c>
      <c r="V11" s="2">
        <v>37286</v>
      </c>
      <c r="W11" s="2">
        <v>37327</v>
      </c>
      <c r="X11" s="2">
        <v>37551</v>
      </c>
      <c r="Y11" s="2">
        <v>37648</v>
      </c>
      <c r="Z11" s="3" t="s">
        <v>338</v>
      </c>
      <c r="AA11" s="3" t="s">
        <v>339</v>
      </c>
      <c r="AB11" s="3" t="s">
        <v>340</v>
      </c>
      <c r="AC11" s="2">
        <v>37648</v>
      </c>
      <c r="AD11" s="2">
        <v>49877</v>
      </c>
      <c r="AE11" s="2" t="s">
        <v>49</v>
      </c>
      <c r="AF11" s="2">
        <v>38379</v>
      </c>
      <c r="AG11" s="2">
        <v>43489</v>
      </c>
      <c r="AH11" s="2">
        <v>43685</v>
      </c>
      <c r="AI11" s="8">
        <v>12335209.380517498</v>
      </c>
      <c r="AJ11" s="6">
        <v>1</v>
      </c>
      <c r="AK11" s="69" t="str">
        <f>MID(E11,5,LEN(E11)-4)</f>
        <v>60RU1</v>
      </c>
    </row>
    <row r="12" spans="1:37" ht="118.95" customHeight="1" x14ac:dyDescent="0.3">
      <c r="B12" s="1">
        <f>MAX($C$2:$C$128)</f>
        <v>190</v>
      </c>
      <c r="C12" cm="1">
        <f t="array" ref="C12">IFERROR(MAX(--_xlfn.TEXTSPLIT(D12,";")),0)</f>
        <v>181</v>
      </c>
      <c r="D12" t="s">
        <v>1822</v>
      </c>
      <c r="E12" s="1" t="s">
        <v>569</v>
      </c>
      <c r="F12" s="1" t="s">
        <v>350</v>
      </c>
      <c r="G12" s="1">
        <v>2</v>
      </c>
      <c r="H12" s="1" t="s">
        <v>570</v>
      </c>
      <c r="I12" s="1" t="s">
        <v>571</v>
      </c>
      <c r="J12" s="1" t="s">
        <v>309</v>
      </c>
      <c r="K12" s="1" t="s">
        <v>353</v>
      </c>
      <c r="L12" s="1" t="s">
        <v>38</v>
      </c>
      <c r="M12" s="1" t="s">
        <v>39</v>
      </c>
      <c r="N12" s="2" t="s">
        <v>40</v>
      </c>
      <c r="O12" s="3">
        <v>400000</v>
      </c>
      <c r="P12" s="3" t="s">
        <v>41</v>
      </c>
      <c r="Q12" s="1" t="s">
        <v>572</v>
      </c>
      <c r="R12" s="1" t="s">
        <v>133</v>
      </c>
      <c r="S12" s="3" t="s">
        <v>123</v>
      </c>
      <c r="T12" s="3" t="s">
        <v>301</v>
      </c>
      <c r="U12" s="2">
        <v>39909</v>
      </c>
      <c r="V12" s="2">
        <v>40170</v>
      </c>
      <c r="W12" s="2">
        <v>40192</v>
      </c>
      <c r="X12" s="2">
        <v>40211</v>
      </c>
      <c r="Y12" s="2">
        <v>40285</v>
      </c>
      <c r="Z12" s="3" t="s">
        <v>573</v>
      </c>
      <c r="AA12" s="3" t="s">
        <v>574</v>
      </c>
      <c r="AB12" s="3" t="s">
        <v>575</v>
      </c>
      <c r="AC12" s="2">
        <v>40285</v>
      </c>
      <c r="AD12" s="2">
        <v>46979</v>
      </c>
      <c r="AE12" s="2" t="s">
        <v>49</v>
      </c>
      <c r="AF12" s="2" t="s">
        <v>50</v>
      </c>
      <c r="AG12" s="2" t="s">
        <v>576</v>
      </c>
      <c r="AH12" s="2">
        <v>41500</v>
      </c>
      <c r="AI12" s="12">
        <v>478814.1</v>
      </c>
      <c r="AJ12" s="6">
        <v>1</v>
      </c>
      <c r="AK12" s="69" t="str">
        <f>MID(E12,5,LEN(E12)-4)</f>
        <v>PP2G2</v>
      </c>
    </row>
    <row r="13" spans="1:37" ht="216" x14ac:dyDescent="0.3">
      <c r="A13" t="s">
        <v>1895</v>
      </c>
      <c r="B13" s="1">
        <f>MAX($C$2:$C$128)</f>
        <v>190</v>
      </c>
      <c r="C13" cm="1">
        <f t="array" ref="C13">IFERROR(MAX(--_xlfn.TEXTSPLIT(D13,";")),0)</f>
        <v>162</v>
      </c>
      <c r="D13" t="s">
        <v>1840</v>
      </c>
      <c r="E13" s="45" t="s">
        <v>1017</v>
      </c>
      <c r="F13" s="57" t="s">
        <v>1884</v>
      </c>
      <c r="G13" s="1">
        <v>2</v>
      </c>
      <c r="H13" s="45" t="s">
        <v>1885</v>
      </c>
      <c r="I13" s="1" t="s">
        <v>1019</v>
      </c>
      <c r="J13" s="1" t="s">
        <v>36</v>
      </c>
      <c r="K13" s="1" t="s">
        <v>1020</v>
      </c>
      <c r="L13" s="1" t="s">
        <v>38</v>
      </c>
      <c r="M13" s="1" t="s">
        <v>39</v>
      </c>
      <c r="N13" s="2"/>
      <c r="O13" s="3">
        <v>19330000</v>
      </c>
      <c r="P13" s="1" t="s">
        <v>41</v>
      </c>
      <c r="Q13" s="1" t="s">
        <v>1021</v>
      </c>
      <c r="R13" s="1" t="s">
        <v>662</v>
      </c>
      <c r="S13" s="1" t="s">
        <v>44</v>
      </c>
      <c r="T13" s="1" t="s">
        <v>1022</v>
      </c>
      <c r="U13" s="2">
        <v>45288</v>
      </c>
      <c r="V13" s="2">
        <v>45681</v>
      </c>
      <c r="W13" s="2">
        <v>45723</v>
      </c>
      <c r="X13" s="2">
        <v>45831</v>
      </c>
      <c r="Y13" s="2">
        <v>45937</v>
      </c>
      <c r="Z13" s="1" t="s">
        <v>1023</v>
      </c>
      <c r="AA13" s="1" t="s">
        <v>1024</v>
      </c>
      <c r="AB13" s="1" t="s">
        <v>1025</v>
      </c>
      <c r="AC13" s="2">
        <v>45937</v>
      </c>
      <c r="AD13" s="2">
        <v>60912</v>
      </c>
      <c r="AE13" s="1" t="s">
        <v>106</v>
      </c>
      <c r="AF13" s="1" t="s">
        <v>855</v>
      </c>
      <c r="AG13" s="1" t="s">
        <v>697</v>
      </c>
      <c r="AH13" s="1" t="s">
        <v>697</v>
      </c>
      <c r="AI13" s="22">
        <v>19330000</v>
      </c>
      <c r="AJ13" s="23">
        <v>0</v>
      </c>
      <c r="AK13" s="69" t="str">
        <f>MID(E13,5,LEN(E13)-4)</f>
        <v>TERB2</v>
      </c>
    </row>
    <row r="14" spans="1:37" ht="118.95" customHeight="1" x14ac:dyDescent="0.3">
      <c r="B14" s="1">
        <f>MAX($C$2:$C$128)</f>
        <v>190</v>
      </c>
      <c r="C14" cm="1">
        <f t="array" ref="C14">IFERROR(MAX(--_xlfn.TEXTSPLIT(D14,";")),0)</f>
        <v>160</v>
      </c>
      <c r="D14" t="s">
        <v>1839</v>
      </c>
      <c r="E14" s="1" t="s">
        <v>778</v>
      </c>
      <c r="F14" s="1" t="s">
        <v>1883</v>
      </c>
      <c r="G14" s="1">
        <v>1</v>
      </c>
      <c r="H14" s="1" t="s">
        <v>779</v>
      </c>
      <c r="I14" s="1" t="s">
        <v>780</v>
      </c>
      <c r="J14" s="1" t="s">
        <v>385</v>
      </c>
      <c r="K14" s="1" t="s">
        <v>112</v>
      </c>
      <c r="L14" s="1" t="s">
        <v>38</v>
      </c>
      <c r="M14" s="1" t="s">
        <v>66</v>
      </c>
      <c r="N14" s="2">
        <v>40865</v>
      </c>
      <c r="O14" s="3">
        <v>1948603</v>
      </c>
      <c r="P14" s="3" t="s">
        <v>41</v>
      </c>
      <c r="Q14" s="1" t="s">
        <v>781</v>
      </c>
      <c r="R14" s="1" t="s">
        <v>693</v>
      </c>
      <c r="S14" s="3" t="s">
        <v>44</v>
      </c>
      <c r="T14" s="3" t="s">
        <v>152</v>
      </c>
      <c r="U14" s="2">
        <v>42927</v>
      </c>
      <c r="V14" s="2">
        <v>43084</v>
      </c>
      <c r="W14" s="2">
        <v>43112</v>
      </c>
      <c r="X14" s="2">
        <v>43186</v>
      </c>
      <c r="Y14" s="2">
        <v>43239</v>
      </c>
      <c r="Z14" s="3" t="s">
        <v>782</v>
      </c>
      <c r="AA14" s="3" t="s">
        <v>783</v>
      </c>
      <c r="AB14" s="3" t="s">
        <v>784</v>
      </c>
      <c r="AC14" s="2">
        <v>43239</v>
      </c>
      <c r="AD14" s="2">
        <v>56593</v>
      </c>
      <c r="AE14" s="2" t="s">
        <v>106</v>
      </c>
      <c r="AF14" s="2">
        <v>45280</v>
      </c>
      <c r="AG14" s="2" t="s">
        <v>697</v>
      </c>
      <c r="AH14" s="2" t="s">
        <v>697</v>
      </c>
      <c r="AI14" s="5">
        <v>1948603</v>
      </c>
      <c r="AJ14" s="13">
        <v>0.57709999999999995</v>
      </c>
      <c r="AK14" s="69" t="str">
        <f>MID(E14,5,LEN(E14)-4)</f>
        <v>TELB1</v>
      </c>
    </row>
    <row r="15" spans="1:37" ht="118.95" customHeight="1" x14ac:dyDescent="0.3">
      <c r="A15" t="s">
        <v>1896</v>
      </c>
      <c r="B15" s="1">
        <f>MAX($C$2:$C$128)</f>
        <v>190</v>
      </c>
      <c r="C15" cm="1">
        <f t="array" ref="C15">IFERROR(MAX(--_xlfn.TEXTSPLIT(D15,";")),0)</f>
        <v>13</v>
      </c>
      <c r="D15" t="s">
        <v>1761</v>
      </c>
      <c r="E15" s="1" t="s">
        <v>592</v>
      </c>
      <c r="F15" s="1" t="s">
        <v>593</v>
      </c>
      <c r="G15" s="1">
        <v>1</v>
      </c>
      <c r="H15" s="1" t="s">
        <v>594</v>
      </c>
      <c r="I15" s="1" t="s">
        <v>595</v>
      </c>
      <c r="J15" s="1" t="s">
        <v>36</v>
      </c>
      <c r="K15" s="1" t="s">
        <v>65</v>
      </c>
      <c r="L15" s="1" t="s">
        <v>38</v>
      </c>
      <c r="M15" s="1" t="s">
        <v>66</v>
      </c>
      <c r="N15" s="2" t="s">
        <v>40</v>
      </c>
      <c r="O15" s="3">
        <v>5040000</v>
      </c>
      <c r="P15" s="3" t="s">
        <v>41</v>
      </c>
      <c r="Q15" s="1" t="s">
        <v>596</v>
      </c>
      <c r="R15" s="1" t="s">
        <v>133</v>
      </c>
      <c r="S15" s="3" t="s">
        <v>44</v>
      </c>
      <c r="T15" s="3" t="s">
        <v>512</v>
      </c>
      <c r="U15" s="2">
        <v>40186</v>
      </c>
      <c r="V15" s="2">
        <v>40541</v>
      </c>
      <c r="W15" s="2">
        <v>40562</v>
      </c>
      <c r="X15" s="2">
        <v>40700</v>
      </c>
      <c r="Y15" s="2">
        <v>40789</v>
      </c>
      <c r="Z15" s="3" t="s">
        <v>597</v>
      </c>
      <c r="AA15" s="3" t="s">
        <v>598</v>
      </c>
      <c r="AB15" s="3" t="s">
        <v>599</v>
      </c>
      <c r="AC15" s="2">
        <v>40789</v>
      </c>
      <c r="AD15" s="2">
        <v>52475</v>
      </c>
      <c r="AE15" s="2" t="s">
        <v>106</v>
      </c>
      <c r="AF15" s="2" t="s">
        <v>50</v>
      </c>
      <c r="AG15" s="2">
        <v>41946</v>
      </c>
      <c r="AH15" s="2">
        <v>42731</v>
      </c>
      <c r="AI15" s="8">
        <v>4411657.9000000004</v>
      </c>
      <c r="AJ15" s="6">
        <v>1</v>
      </c>
      <c r="AK15" s="69" t="str">
        <f>MID(E15,5,LEN(E15)-4)</f>
        <v>ACIQ1</v>
      </c>
    </row>
    <row r="16" spans="1:37" ht="118.95" customHeight="1" x14ac:dyDescent="0.3">
      <c r="A16" t="s">
        <v>1897</v>
      </c>
      <c r="B16" s="1">
        <f>MAX($C$2:$C$128)</f>
        <v>190</v>
      </c>
      <c r="C16" cm="1">
        <f t="array" ref="C16">IFERROR(MAX(--_xlfn.TEXTSPLIT(D16,";")),0)</f>
        <v>14</v>
      </c>
      <c r="D16" t="s">
        <v>1762</v>
      </c>
      <c r="E16" s="1" t="s">
        <v>357</v>
      </c>
      <c r="F16" s="1" t="s">
        <v>358</v>
      </c>
      <c r="G16" s="1">
        <v>1</v>
      </c>
      <c r="H16" s="1" t="s">
        <v>359</v>
      </c>
      <c r="I16" s="1" t="s">
        <v>360</v>
      </c>
      <c r="J16" s="1" t="s">
        <v>111</v>
      </c>
      <c r="K16" s="1" t="s">
        <v>112</v>
      </c>
      <c r="L16" s="1" t="s">
        <v>38</v>
      </c>
      <c r="M16" s="1" t="s">
        <v>66</v>
      </c>
      <c r="N16" s="2" t="s">
        <v>40</v>
      </c>
      <c r="O16" s="3">
        <v>5468000</v>
      </c>
      <c r="P16" s="3" t="s">
        <v>41</v>
      </c>
      <c r="Q16" s="1" t="s">
        <v>361</v>
      </c>
      <c r="R16" s="1" t="s">
        <v>133</v>
      </c>
      <c r="S16" s="3" t="s">
        <v>44</v>
      </c>
      <c r="T16" s="3" t="s">
        <v>152</v>
      </c>
      <c r="U16" s="2">
        <v>37264</v>
      </c>
      <c r="V16" s="2">
        <v>37840</v>
      </c>
      <c r="W16" s="2">
        <v>37862</v>
      </c>
      <c r="X16" s="2">
        <v>37924</v>
      </c>
      <c r="Y16" s="2">
        <v>37993</v>
      </c>
      <c r="Z16" s="3" t="s">
        <v>362</v>
      </c>
      <c r="AA16" s="3" t="s">
        <v>363</v>
      </c>
      <c r="AB16" s="3" t="s">
        <v>364</v>
      </c>
      <c r="AC16" s="2">
        <v>37993</v>
      </c>
      <c r="AD16" s="2">
        <v>52908</v>
      </c>
      <c r="AE16" s="2" t="s">
        <v>106</v>
      </c>
      <c r="AF16" s="2" t="s">
        <v>50</v>
      </c>
      <c r="AG16" s="2">
        <v>39484</v>
      </c>
      <c r="AH16" s="2">
        <v>43100</v>
      </c>
      <c r="AI16" s="8">
        <v>8769723.2791693248</v>
      </c>
      <c r="AJ16" s="6">
        <v>1</v>
      </c>
      <c r="AK16" s="69" t="str">
        <f>MID(E16,5,LEN(E16)-4)</f>
        <v>ACNO1</v>
      </c>
    </row>
    <row r="17" spans="1:37" ht="118.95" customHeight="1" x14ac:dyDescent="0.3">
      <c r="A17" t="s">
        <v>1898</v>
      </c>
      <c r="B17" s="1">
        <f>MAX($C$2:$C$128)</f>
        <v>190</v>
      </c>
      <c r="C17" cm="1">
        <f t="array" ref="C17">IFERROR(MAX(--_xlfn.TEXTSPLIT(D17,";")),0)</f>
        <v>16</v>
      </c>
      <c r="D17" t="s">
        <v>1763</v>
      </c>
      <c r="E17" s="1" t="s">
        <v>80</v>
      </c>
      <c r="F17" s="57" t="s">
        <v>1847</v>
      </c>
      <c r="G17" s="1">
        <v>1</v>
      </c>
      <c r="H17" s="1" t="s">
        <v>81</v>
      </c>
      <c r="I17" s="1" t="s">
        <v>82</v>
      </c>
      <c r="J17" s="1" t="s">
        <v>36</v>
      </c>
      <c r="K17" s="1" t="s">
        <v>83</v>
      </c>
      <c r="L17" s="1" t="s">
        <v>38</v>
      </c>
      <c r="M17" s="1" t="s">
        <v>39</v>
      </c>
      <c r="N17" s="2" t="s">
        <v>40</v>
      </c>
      <c r="O17" s="3">
        <v>3403643</v>
      </c>
      <c r="P17" s="3" t="s">
        <v>41</v>
      </c>
      <c r="Q17" s="4" t="s">
        <v>84</v>
      </c>
      <c r="R17" s="1" t="s">
        <v>43</v>
      </c>
      <c r="S17" s="3" t="s">
        <v>44</v>
      </c>
      <c r="T17" s="3" t="s">
        <v>85</v>
      </c>
      <c r="U17" s="2">
        <v>34645</v>
      </c>
      <c r="V17" s="2">
        <v>34653</v>
      </c>
      <c r="W17" s="2">
        <v>34698</v>
      </c>
      <c r="X17" s="2">
        <v>34705</v>
      </c>
      <c r="Y17" s="2">
        <v>34794</v>
      </c>
      <c r="Z17" s="3" t="s">
        <v>86</v>
      </c>
      <c r="AA17" s="3" t="s">
        <v>87</v>
      </c>
      <c r="AB17" s="3" t="s">
        <v>88</v>
      </c>
      <c r="AC17" s="2">
        <v>34801</v>
      </c>
      <c r="AD17" s="2">
        <v>45747</v>
      </c>
      <c r="AE17" s="2" t="s">
        <v>49</v>
      </c>
      <c r="AF17" s="2" t="s">
        <v>50</v>
      </c>
      <c r="AG17" s="2">
        <v>35999</v>
      </c>
      <c r="AH17" s="2">
        <v>36160</v>
      </c>
      <c r="AI17" s="5">
        <v>7091175.5760826981</v>
      </c>
      <c r="AJ17" s="6">
        <v>1</v>
      </c>
      <c r="AK17" s="69" t="str">
        <f>MID(E17,5,LEN(E17)-4)</f>
        <v>ANCO1</v>
      </c>
    </row>
    <row r="18" spans="1:37" ht="118.95" customHeight="1" x14ac:dyDescent="0.3">
      <c r="B18" s="1">
        <f>MAX($C$2:$C$128)</f>
        <v>190</v>
      </c>
      <c r="C18" cm="1">
        <f t="array" ref="C18">IFERROR(MAX(--_xlfn.TEXTSPLIT(D18,";")),0)</f>
        <v>159</v>
      </c>
      <c r="D18" t="s">
        <v>1838</v>
      </c>
      <c r="E18" s="1" t="s">
        <v>848</v>
      </c>
      <c r="F18" s="1" t="s">
        <v>1882</v>
      </c>
      <c r="G18" s="1">
        <v>2</v>
      </c>
      <c r="H18" s="1" t="s">
        <v>849</v>
      </c>
      <c r="I18" s="1" t="s">
        <v>850</v>
      </c>
      <c r="J18" s="1" t="s">
        <v>36</v>
      </c>
      <c r="K18" s="1" t="s">
        <v>121</v>
      </c>
      <c r="L18" s="1" t="s">
        <v>38</v>
      </c>
      <c r="M18" s="1" t="s">
        <v>39</v>
      </c>
      <c r="N18" s="2" t="s">
        <v>40</v>
      </c>
      <c r="O18" s="3">
        <v>19180000</v>
      </c>
      <c r="P18" s="3" t="s">
        <v>41</v>
      </c>
      <c r="Q18" s="1" t="s">
        <v>851</v>
      </c>
      <c r="R18" s="1" t="s">
        <v>662</v>
      </c>
      <c r="S18" s="3" t="s">
        <v>44</v>
      </c>
      <c r="T18" s="3" t="s">
        <v>152</v>
      </c>
      <c r="U18" s="2">
        <v>43757</v>
      </c>
      <c r="V18" s="2">
        <v>44134</v>
      </c>
      <c r="W18" s="2">
        <v>44162</v>
      </c>
      <c r="X18" s="2">
        <v>44203</v>
      </c>
      <c r="Y18" s="2">
        <v>44268</v>
      </c>
      <c r="Z18" s="3" t="s">
        <v>852</v>
      </c>
      <c r="AA18" s="3" t="s">
        <v>853</v>
      </c>
      <c r="AB18" s="59" t="s">
        <v>854</v>
      </c>
      <c r="AC18" s="2">
        <v>44268</v>
      </c>
      <c r="AD18" s="2">
        <v>55956</v>
      </c>
      <c r="AE18" s="2" t="s">
        <v>106</v>
      </c>
      <c r="AF18" s="2" t="s">
        <v>855</v>
      </c>
      <c r="AG18" s="2" t="s">
        <v>697</v>
      </c>
      <c r="AH18" s="2" t="s">
        <v>697</v>
      </c>
      <c r="AI18" s="5">
        <v>19180000</v>
      </c>
      <c r="AJ18" s="6">
        <v>0</v>
      </c>
      <c r="AK18" s="69" t="str">
        <f>MID(E18,5,LEN(E18)-4)</f>
        <v>TACH2</v>
      </c>
    </row>
    <row r="19" spans="1:37" ht="118.95" customHeight="1" x14ac:dyDescent="0.3">
      <c r="B19" s="1">
        <f>MAX($C$2:$C$128)</f>
        <v>190</v>
      </c>
      <c r="C19" cm="1">
        <f t="array" ref="C19">IFERROR(MAX(--_xlfn.TEXTSPLIT(D19,";")),0)</f>
        <v>17</v>
      </c>
      <c r="D19" t="s">
        <v>1764</v>
      </c>
      <c r="E19" s="1" t="s">
        <v>706</v>
      </c>
      <c r="F19" s="1" t="s">
        <v>205</v>
      </c>
      <c r="G19" s="1">
        <v>2</v>
      </c>
      <c r="H19" s="1" t="s">
        <v>707</v>
      </c>
      <c r="I19" s="1" t="s">
        <v>708</v>
      </c>
      <c r="J19" s="1" t="s">
        <v>64</v>
      </c>
      <c r="K19" s="1" t="s">
        <v>112</v>
      </c>
      <c r="L19" s="1" t="s">
        <v>38</v>
      </c>
      <c r="M19" s="1" t="s">
        <v>39</v>
      </c>
      <c r="N19" s="2" t="s">
        <v>40</v>
      </c>
      <c r="O19" s="3">
        <v>14980000</v>
      </c>
      <c r="P19" s="3" t="s">
        <v>41</v>
      </c>
      <c r="Q19" s="1" t="s">
        <v>709</v>
      </c>
      <c r="R19" s="1" t="s">
        <v>133</v>
      </c>
      <c r="S19" s="3" t="s">
        <v>123</v>
      </c>
      <c r="T19" s="3" t="s">
        <v>710</v>
      </c>
      <c r="U19" s="2">
        <v>41810</v>
      </c>
      <c r="V19" s="2">
        <v>42003</v>
      </c>
      <c r="W19" s="2">
        <v>42039</v>
      </c>
      <c r="X19" s="2">
        <v>42075</v>
      </c>
      <c r="Y19" s="2">
        <v>42115</v>
      </c>
      <c r="Z19" s="3" t="s">
        <v>711</v>
      </c>
      <c r="AA19" s="3" t="s">
        <v>712</v>
      </c>
      <c r="AB19" s="3" t="s">
        <v>713</v>
      </c>
      <c r="AC19" s="2">
        <v>42115</v>
      </c>
      <c r="AD19" s="2">
        <v>49583</v>
      </c>
      <c r="AE19" s="2" t="s">
        <v>49</v>
      </c>
      <c r="AF19" s="2">
        <v>42678</v>
      </c>
      <c r="AG19" s="2">
        <v>46021</v>
      </c>
      <c r="AH19" s="2" t="s">
        <v>531</v>
      </c>
      <c r="AI19" s="14">
        <v>28944329.199999999</v>
      </c>
      <c r="AJ19" s="15">
        <v>0.99839999999999995</v>
      </c>
      <c r="AK19" s="69" t="str">
        <f>MID(E19,5,LEN(E19)-4)</f>
        <v>AAMB2</v>
      </c>
    </row>
    <row r="20" spans="1:37" ht="244.2" customHeight="1" x14ac:dyDescent="0.3">
      <c r="A20" t="s">
        <v>1900</v>
      </c>
      <c r="B20" s="1">
        <f>MAX($C$2:$C$128)</f>
        <v>190</v>
      </c>
      <c r="C20" cm="1">
        <f t="array" ref="C20">IFERROR(MAX(--_xlfn.TEXTSPLIT(D20,";")),0)</f>
        <v>18</v>
      </c>
      <c r="D20" t="s">
        <v>1765</v>
      </c>
      <c r="E20" s="1" t="s">
        <v>398</v>
      </c>
      <c r="F20" s="1" t="s">
        <v>1846</v>
      </c>
      <c r="G20" s="1">
        <v>1</v>
      </c>
      <c r="H20" s="1" t="s">
        <v>399</v>
      </c>
      <c r="I20" s="1" t="s">
        <v>400</v>
      </c>
      <c r="J20" s="1" t="s">
        <v>64</v>
      </c>
      <c r="K20" s="1" t="s">
        <v>401</v>
      </c>
      <c r="L20" s="1" t="s">
        <v>38</v>
      </c>
      <c r="M20" s="1" t="s">
        <v>39</v>
      </c>
      <c r="N20" s="2" t="s">
        <v>40</v>
      </c>
      <c r="O20" s="3">
        <v>327809</v>
      </c>
      <c r="P20" s="3" t="s">
        <v>41</v>
      </c>
      <c r="Q20" s="1" t="s">
        <v>402</v>
      </c>
      <c r="R20" s="1" t="s">
        <v>43</v>
      </c>
      <c r="S20" s="3" t="s">
        <v>123</v>
      </c>
      <c r="T20" s="3" t="s">
        <v>114</v>
      </c>
      <c r="U20" s="2">
        <v>37801</v>
      </c>
      <c r="V20" s="2">
        <v>37938</v>
      </c>
      <c r="W20" s="2">
        <v>37971</v>
      </c>
      <c r="X20" s="2">
        <v>38023</v>
      </c>
      <c r="Y20" s="2">
        <v>38096</v>
      </c>
      <c r="Z20" s="3" t="s">
        <v>403</v>
      </c>
      <c r="AA20" s="3" t="s">
        <v>404</v>
      </c>
      <c r="AB20" s="3" t="s">
        <v>405</v>
      </c>
      <c r="AC20" s="2">
        <v>38096</v>
      </c>
      <c r="AD20" s="2">
        <v>43573</v>
      </c>
      <c r="AE20" s="2" t="s">
        <v>49</v>
      </c>
      <c r="AF20" s="2" t="s">
        <v>50</v>
      </c>
      <c r="AG20" s="2">
        <v>38936</v>
      </c>
      <c r="AH20" s="2">
        <v>39118</v>
      </c>
      <c r="AI20" s="5">
        <v>471611.79000000004</v>
      </c>
      <c r="AJ20" s="6">
        <v>1</v>
      </c>
      <c r="AK20" s="69" t="str">
        <f>MID(E20,5,LEN(E20)-4)</f>
        <v>ACHA1</v>
      </c>
    </row>
    <row r="21" spans="1:37" ht="118.95" customHeight="1" x14ac:dyDescent="0.3">
      <c r="A21" t="s">
        <v>1899</v>
      </c>
      <c r="B21" s="1">
        <f>MAX($C$2:$C$128)</f>
        <v>190</v>
      </c>
      <c r="C21" cm="1">
        <f t="array" ref="C21">IFERROR(MAX(--_xlfn.TEXTSPLIT(D21,";")),0)</f>
        <v>147</v>
      </c>
      <c r="D21" t="s">
        <v>1833</v>
      </c>
      <c r="E21" s="1" t="s">
        <v>895</v>
      </c>
      <c r="F21" s="57" t="s">
        <v>1739</v>
      </c>
      <c r="G21" s="1">
        <v>2</v>
      </c>
      <c r="H21" s="1" t="s">
        <v>896</v>
      </c>
      <c r="I21" s="1" t="s">
        <v>897</v>
      </c>
      <c r="J21" s="1" t="s">
        <v>36</v>
      </c>
      <c r="K21" s="1" t="s">
        <v>92</v>
      </c>
      <c r="L21" s="1" t="s">
        <v>38</v>
      </c>
      <c r="M21" s="1" t="s">
        <v>39</v>
      </c>
      <c r="N21" s="2" t="s">
        <v>40</v>
      </c>
      <c r="O21" s="3">
        <v>21287000</v>
      </c>
      <c r="P21" s="3" t="s">
        <v>41</v>
      </c>
      <c r="Q21" s="1" t="s">
        <v>898</v>
      </c>
      <c r="R21" s="1" t="s">
        <v>662</v>
      </c>
      <c r="S21" s="3" t="s">
        <v>44</v>
      </c>
      <c r="T21" s="3" t="s">
        <v>152</v>
      </c>
      <c r="U21" s="2">
        <v>44261</v>
      </c>
      <c r="V21" s="2">
        <v>44498</v>
      </c>
      <c r="W21" s="2">
        <v>44526</v>
      </c>
      <c r="X21" s="2">
        <v>44605</v>
      </c>
      <c r="Y21" s="2">
        <v>44631</v>
      </c>
      <c r="Z21" s="3" t="s">
        <v>899</v>
      </c>
      <c r="AA21" s="59" t="s">
        <v>900</v>
      </c>
      <c r="AB21" s="3" t="s">
        <v>901</v>
      </c>
      <c r="AC21" s="2">
        <v>44631</v>
      </c>
      <c r="AD21" s="2">
        <v>56319</v>
      </c>
      <c r="AE21" s="2" t="s">
        <v>106</v>
      </c>
      <c r="AF21" s="2">
        <v>45931</v>
      </c>
      <c r="AG21" s="2" t="s">
        <v>697</v>
      </c>
      <c r="AH21" s="2" t="s">
        <v>697</v>
      </c>
      <c r="AI21" s="5">
        <v>21287000</v>
      </c>
      <c r="AJ21" s="6">
        <v>0</v>
      </c>
      <c r="AK21" s="69" t="str">
        <f>MID(E21,5,LEN(E21)-4)</f>
        <v>SASA2</v>
      </c>
    </row>
    <row r="22" spans="1:37" ht="118.95" customHeight="1" x14ac:dyDescent="0.3">
      <c r="B22" s="1">
        <f>MAX($C$2:$C$128)</f>
        <v>190</v>
      </c>
      <c r="C22" cm="1">
        <f t="array" ref="C22">IFERROR(MAX(--_xlfn.TEXTSPLIT(D22,";")),0)</f>
        <v>19</v>
      </c>
      <c r="D22" t="s">
        <v>1766</v>
      </c>
      <c r="E22" s="1" t="s">
        <v>252</v>
      </c>
      <c r="F22" s="1" t="s">
        <v>562</v>
      </c>
      <c r="G22" s="1">
        <v>1</v>
      </c>
      <c r="H22" s="1" t="s">
        <v>253</v>
      </c>
      <c r="I22" s="1" t="s">
        <v>254</v>
      </c>
      <c r="J22" s="1" t="s">
        <v>64</v>
      </c>
      <c r="K22" s="1" t="s">
        <v>255</v>
      </c>
      <c r="L22" s="1" t="s">
        <v>38</v>
      </c>
      <c r="M22" s="1" t="s">
        <v>39</v>
      </c>
      <c r="N22" s="2" t="s">
        <v>40</v>
      </c>
      <c r="O22" s="3">
        <v>320573</v>
      </c>
      <c r="P22" s="3" t="s">
        <v>41</v>
      </c>
      <c r="Q22" s="1" t="s">
        <v>256</v>
      </c>
      <c r="R22" s="1" t="s">
        <v>43</v>
      </c>
      <c r="S22" s="3" t="s">
        <v>44</v>
      </c>
      <c r="T22" s="3" t="s">
        <v>257</v>
      </c>
      <c r="U22" s="2">
        <v>36370</v>
      </c>
      <c r="V22" s="2">
        <v>36447</v>
      </c>
      <c r="W22" s="2">
        <v>36487</v>
      </c>
      <c r="X22" s="2">
        <v>36564</v>
      </c>
      <c r="Y22" s="2">
        <v>36640</v>
      </c>
      <c r="Z22" s="3" t="s">
        <v>258</v>
      </c>
      <c r="AA22" s="3" t="s">
        <v>259</v>
      </c>
      <c r="AB22" s="7" t="s">
        <v>260</v>
      </c>
      <c r="AC22" s="2">
        <v>36640</v>
      </c>
      <c r="AD22" s="2">
        <v>40260</v>
      </c>
      <c r="AE22" s="2" t="s">
        <v>49</v>
      </c>
      <c r="AF22" s="2" t="s">
        <v>50</v>
      </c>
      <c r="AG22" s="2">
        <v>37606</v>
      </c>
      <c r="AH22" s="2" t="s">
        <v>50</v>
      </c>
      <c r="AI22" s="5">
        <v>324423.18</v>
      </c>
      <c r="AJ22" s="6">
        <v>1</v>
      </c>
      <c r="AK22" s="69" t="str">
        <f>MID(E22,5,LEN(E22)-4)</f>
        <v>ACIP1</v>
      </c>
    </row>
    <row r="23" spans="1:37" ht="118.95" customHeight="1" x14ac:dyDescent="0.3">
      <c r="B23" s="1">
        <f>MAX($C$2:$C$128)</f>
        <v>190</v>
      </c>
      <c r="C23" cm="1">
        <f t="array" ref="C23">IFERROR(MAX(--_xlfn.TEXTSPLIT(D23,";")),0)</f>
        <v>19</v>
      </c>
      <c r="D23" t="s">
        <v>1766</v>
      </c>
      <c r="E23" s="1" t="s">
        <v>561</v>
      </c>
      <c r="F23" s="1" t="s">
        <v>562</v>
      </c>
      <c r="G23" s="1">
        <v>2</v>
      </c>
      <c r="H23" s="1" t="s">
        <v>563</v>
      </c>
      <c r="I23" s="1" t="s">
        <v>564</v>
      </c>
      <c r="J23" s="1" t="s">
        <v>64</v>
      </c>
      <c r="K23" s="1" t="s">
        <v>255</v>
      </c>
      <c r="L23" s="1" t="s">
        <v>38</v>
      </c>
      <c r="M23" s="1" t="s">
        <v>39</v>
      </c>
      <c r="N23" s="2" t="s">
        <v>40</v>
      </c>
      <c r="O23" s="3">
        <v>314115</v>
      </c>
      <c r="P23" s="3" t="s">
        <v>41</v>
      </c>
      <c r="Q23" s="1" t="s">
        <v>565</v>
      </c>
      <c r="R23" s="1" t="s">
        <v>43</v>
      </c>
      <c r="S23" s="3" t="s">
        <v>123</v>
      </c>
      <c r="T23" s="3" t="s">
        <v>152</v>
      </c>
      <c r="U23" s="2">
        <v>39818</v>
      </c>
      <c r="V23" s="2">
        <v>40017</v>
      </c>
      <c r="W23" s="2">
        <v>40039</v>
      </c>
      <c r="X23" s="2">
        <v>40127</v>
      </c>
      <c r="Y23" s="2">
        <v>40191</v>
      </c>
      <c r="Z23" s="3" t="s">
        <v>566</v>
      </c>
      <c r="AA23" s="3" t="s">
        <v>567</v>
      </c>
      <c r="AB23" s="3" t="s">
        <v>568</v>
      </c>
      <c r="AC23" s="2">
        <v>40191</v>
      </c>
      <c r="AD23" s="2">
        <v>44286</v>
      </c>
      <c r="AE23" s="2" t="s">
        <v>49</v>
      </c>
      <c r="AF23" s="2" t="s">
        <v>50</v>
      </c>
      <c r="AG23" s="2">
        <v>40934</v>
      </c>
      <c r="AH23" s="2">
        <v>41155</v>
      </c>
      <c r="AI23" s="5">
        <v>339463.12000000005</v>
      </c>
      <c r="AJ23" s="6">
        <v>1</v>
      </c>
      <c r="AK23" s="69" t="str">
        <f>MID(E23,5,LEN(E23)-4)</f>
        <v>ACIP2</v>
      </c>
    </row>
    <row r="24" spans="1:37" ht="118.95" customHeight="1" x14ac:dyDescent="0.3">
      <c r="B24" s="1">
        <f>MAX($C$2:$C$128)</f>
        <v>190</v>
      </c>
      <c r="C24" cm="1">
        <f t="array" ref="C24">IFERROR(MAX(--_xlfn.TEXTSPLIT(D24,";")),0)</f>
        <v>144</v>
      </c>
      <c r="D24" t="s">
        <v>1832</v>
      </c>
      <c r="E24" s="1" t="s">
        <v>977</v>
      </c>
      <c r="F24" s="1" t="s">
        <v>1879</v>
      </c>
      <c r="G24" s="1">
        <v>2</v>
      </c>
      <c r="H24" s="1" t="s">
        <v>978</v>
      </c>
      <c r="I24" s="1" t="s">
        <v>979</v>
      </c>
      <c r="J24" s="1" t="s">
        <v>36</v>
      </c>
      <c r="K24" s="1" t="s">
        <v>141</v>
      </c>
      <c r="L24" s="1" t="s">
        <v>38</v>
      </c>
      <c r="M24" s="1" t="s">
        <v>39</v>
      </c>
      <c r="N24" s="2"/>
      <c r="O24" s="3">
        <v>28288000</v>
      </c>
      <c r="P24" s="1" t="s">
        <v>41</v>
      </c>
      <c r="Q24" s="1" t="s">
        <v>827</v>
      </c>
      <c r="R24" s="1" t="s">
        <v>662</v>
      </c>
      <c r="S24" s="3" t="s">
        <v>44</v>
      </c>
      <c r="T24" s="3" t="s">
        <v>152</v>
      </c>
      <c r="U24" s="2">
        <v>45121</v>
      </c>
      <c r="V24" s="2">
        <v>45491</v>
      </c>
      <c r="W24" s="2">
        <v>45518</v>
      </c>
      <c r="X24" s="2">
        <v>45618</v>
      </c>
      <c r="Y24" s="2">
        <v>45708</v>
      </c>
      <c r="Z24" s="1" t="s">
        <v>980</v>
      </c>
      <c r="AA24" s="1" t="s">
        <v>981</v>
      </c>
      <c r="AB24" s="1" t="s">
        <v>982</v>
      </c>
      <c r="AC24" s="2">
        <v>45708</v>
      </c>
      <c r="AD24" s="2">
        <v>56665</v>
      </c>
      <c r="AE24" s="2" t="s">
        <v>106</v>
      </c>
      <c r="AF24" s="2" t="s">
        <v>855</v>
      </c>
      <c r="AG24" s="2" t="s">
        <v>697</v>
      </c>
      <c r="AH24" s="2" t="s">
        <v>697</v>
      </c>
      <c r="AI24" s="22">
        <v>28288000</v>
      </c>
      <c r="AJ24" s="6">
        <v>0</v>
      </c>
      <c r="AK24" s="69" t="str">
        <f>MID(E24,5,LEN(E24)-4)</f>
        <v>SALV2</v>
      </c>
    </row>
    <row r="25" spans="1:37" ht="118.95" customHeight="1" x14ac:dyDescent="0.3">
      <c r="B25" s="1">
        <f>MAX($C$2:$C$128)</f>
        <v>190</v>
      </c>
      <c r="C25" cm="1">
        <f t="array" ref="C25">IFERROR(MAX(--_xlfn.TEXTSPLIT(D25,";")),0)</f>
        <v>20</v>
      </c>
      <c r="D25" t="s">
        <v>1767</v>
      </c>
      <c r="E25" s="1" t="s">
        <v>237</v>
      </c>
      <c r="F25" s="1" t="s">
        <v>608</v>
      </c>
      <c r="G25" s="1">
        <v>1</v>
      </c>
      <c r="H25" s="1" t="s">
        <v>238</v>
      </c>
      <c r="I25" s="1" t="s">
        <v>239</v>
      </c>
      <c r="J25" s="1" t="s">
        <v>64</v>
      </c>
      <c r="K25" s="1" t="s">
        <v>190</v>
      </c>
      <c r="L25" s="1" t="s">
        <v>38</v>
      </c>
      <c r="M25" s="1" t="s">
        <v>66</v>
      </c>
      <c r="N25" s="2" t="s">
        <v>40</v>
      </c>
      <c r="O25" s="3">
        <v>250000</v>
      </c>
      <c r="P25" s="3" t="s">
        <v>41</v>
      </c>
      <c r="Q25" s="1" t="s">
        <v>240</v>
      </c>
      <c r="R25" s="1" t="s">
        <v>43</v>
      </c>
      <c r="S25" s="3" t="s">
        <v>44</v>
      </c>
      <c r="T25" s="3" t="s">
        <v>143</v>
      </c>
      <c r="U25" s="2">
        <v>36271</v>
      </c>
      <c r="V25" s="2">
        <v>36356</v>
      </c>
      <c r="W25" s="2">
        <v>36389</v>
      </c>
      <c r="X25" s="2">
        <v>36462</v>
      </c>
      <c r="Y25" s="2">
        <v>36545</v>
      </c>
      <c r="Z25" s="3" t="s">
        <v>241</v>
      </c>
      <c r="AA25" s="3" t="s">
        <v>242</v>
      </c>
      <c r="AB25" s="3" t="s">
        <v>243</v>
      </c>
      <c r="AC25" s="2">
        <v>36545</v>
      </c>
      <c r="AD25" s="2">
        <v>40890</v>
      </c>
      <c r="AE25" s="2" t="s">
        <v>49</v>
      </c>
      <c r="AF25" s="2" t="s">
        <v>50</v>
      </c>
      <c r="AG25" s="2">
        <v>36905</v>
      </c>
      <c r="AH25" s="2">
        <v>37377</v>
      </c>
      <c r="AI25" s="5">
        <v>268749.30999999994</v>
      </c>
      <c r="AJ25" s="6">
        <v>1</v>
      </c>
      <c r="AK25" s="69" t="str">
        <f>MID(E25,5,LEN(E25)-4)</f>
        <v>ACMA1</v>
      </c>
    </row>
    <row r="26" spans="1:37" ht="118.95" customHeight="1" x14ac:dyDescent="0.3">
      <c r="B26" s="1">
        <f>MAX($C$2:$C$128)</f>
        <v>190</v>
      </c>
      <c r="C26" cm="1">
        <f t="array" ref="C26">IFERROR(MAX(--_xlfn.TEXTSPLIT(D26,";")),0)</f>
        <v>20</v>
      </c>
      <c r="D26" t="s">
        <v>1767</v>
      </c>
      <c r="E26" s="1" t="s">
        <v>607</v>
      </c>
      <c r="F26" s="1" t="s">
        <v>608</v>
      </c>
      <c r="G26" s="1">
        <v>2</v>
      </c>
      <c r="H26" s="1" t="s">
        <v>609</v>
      </c>
      <c r="I26" s="1" t="s">
        <v>610</v>
      </c>
      <c r="J26" s="1" t="s">
        <v>64</v>
      </c>
      <c r="K26" s="1" t="s">
        <v>190</v>
      </c>
      <c r="L26" s="1" t="s">
        <v>38</v>
      </c>
      <c r="M26" s="1" t="s">
        <v>39</v>
      </c>
      <c r="N26" s="2" t="s">
        <v>40</v>
      </c>
      <c r="O26" s="3">
        <v>665000</v>
      </c>
      <c r="P26" s="3" t="s">
        <v>41</v>
      </c>
      <c r="Q26" s="1" t="s">
        <v>611</v>
      </c>
      <c r="R26" s="1" t="s">
        <v>43</v>
      </c>
      <c r="S26" s="3" t="s">
        <v>123</v>
      </c>
      <c r="T26" s="3" t="s">
        <v>152</v>
      </c>
      <c r="U26" s="2">
        <v>40543</v>
      </c>
      <c r="V26" s="2">
        <v>40752</v>
      </c>
      <c r="W26" s="2">
        <v>40780</v>
      </c>
      <c r="X26" s="2">
        <v>40830</v>
      </c>
      <c r="Y26" s="2">
        <v>40865</v>
      </c>
      <c r="Z26" s="3" t="s">
        <v>612</v>
      </c>
      <c r="AA26" s="3" t="s">
        <v>613</v>
      </c>
      <c r="AB26" s="3" t="s">
        <v>614</v>
      </c>
      <c r="AC26" s="2">
        <v>40865</v>
      </c>
      <c r="AD26" s="2">
        <v>46081</v>
      </c>
      <c r="AE26" s="2" t="s">
        <v>49</v>
      </c>
      <c r="AF26" s="2" t="s">
        <v>50</v>
      </c>
      <c r="AG26" s="2">
        <v>40892</v>
      </c>
      <c r="AH26" s="2">
        <v>42175</v>
      </c>
      <c r="AI26" s="8">
        <v>824926.70000000007</v>
      </c>
      <c r="AJ26" s="6">
        <v>1</v>
      </c>
      <c r="AK26" s="69" t="str">
        <f>MID(E26,5,LEN(E26)-4)</f>
        <v>ACMA2</v>
      </c>
    </row>
    <row r="27" spans="1:37" ht="118.95" customHeight="1" x14ac:dyDescent="0.3">
      <c r="B27" s="1">
        <f>MAX($C$2:$C$128)</f>
        <v>190</v>
      </c>
      <c r="C27" cm="1">
        <f t="array" ref="C27">IFERROR(MAX(--_xlfn.TEXTSPLIT(D27,";")),0)</f>
        <v>24</v>
      </c>
      <c r="D27" t="s">
        <v>1768</v>
      </c>
      <c r="E27" s="1" t="s">
        <v>577</v>
      </c>
      <c r="F27" s="1" t="s">
        <v>1852</v>
      </c>
      <c r="G27" s="1">
        <v>1</v>
      </c>
      <c r="H27" s="1" t="s">
        <v>578</v>
      </c>
      <c r="I27" s="1" t="s">
        <v>579</v>
      </c>
      <c r="J27" s="1" t="s">
        <v>36</v>
      </c>
      <c r="K27" s="1" t="s">
        <v>190</v>
      </c>
      <c r="L27" s="1" t="s">
        <v>38</v>
      </c>
      <c r="M27" s="1" t="s">
        <v>66</v>
      </c>
      <c r="N27" s="2">
        <v>38603</v>
      </c>
      <c r="O27" s="3">
        <v>7750000</v>
      </c>
      <c r="P27" s="3" t="s">
        <v>41</v>
      </c>
      <c r="Q27" s="1" t="s">
        <v>580</v>
      </c>
      <c r="R27" s="1" t="s">
        <v>133</v>
      </c>
      <c r="S27" s="3" t="s">
        <v>44</v>
      </c>
      <c r="T27" s="3" t="s">
        <v>265</v>
      </c>
      <c r="U27" s="2">
        <v>40018</v>
      </c>
      <c r="V27" s="2">
        <v>40178</v>
      </c>
      <c r="W27" s="2">
        <v>40204</v>
      </c>
      <c r="X27" s="2">
        <v>40224</v>
      </c>
      <c r="Y27" s="2">
        <v>40275</v>
      </c>
      <c r="Z27" s="3" t="s">
        <v>581</v>
      </c>
      <c r="AA27" s="3" t="s">
        <v>582</v>
      </c>
      <c r="AB27" s="3" t="s">
        <v>583</v>
      </c>
      <c r="AC27" s="2">
        <v>40275</v>
      </c>
      <c r="AD27" s="2">
        <v>47733</v>
      </c>
      <c r="AE27" s="2" t="s">
        <v>49</v>
      </c>
      <c r="AF27" s="2" t="s">
        <v>50</v>
      </c>
      <c r="AG27" s="2">
        <v>41730</v>
      </c>
      <c r="AH27" s="2">
        <v>42004</v>
      </c>
      <c r="AI27" s="8">
        <v>7635989.3900000006</v>
      </c>
      <c r="AJ27" s="6">
        <v>1</v>
      </c>
      <c r="AK27" s="69" t="str">
        <f>MID(E27,5,LEN(E27)-4)</f>
        <v>AURA1</v>
      </c>
    </row>
    <row r="28" spans="1:37" ht="118.95" customHeight="1" x14ac:dyDescent="0.3">
      <c r="A28" t="s">
        <v>1901</v>
      </c>
      <c r="B28" s="1">
        <f>MAX($C$2:$C$128)</f>
        <v>190</v>
      </c>
      <c r="C28" cm="1">
        <f t="array" ref="C28">IFERROR(MAX(--_xlfn.TEXTSPLIT(D28,";")),0)</f>
        <v>25</v>
      </c>
      <c r="D28" t="s">
        <v>1769</v>
      </c>
      <c r="E28" s="1" t="s">
        <v>230</v>
      </c>
      <c r="F28" s="1" t="s">
        <v>738</v>
      </c>
      <c r="G28" s="1">
        <v>1</v>
      </c>
      <c r="H28" s="1" t="s">
        <v>231</v>
      </c>
      <c r="I28" s="1" t="s">
        <v>232</v>
      </c>
      <c r="J28" s="1" t="s">
        <v>64</v>
      </c>
      <c r="K28" s="1" t="s">
        <v>55</v>
      </c>
      <c r="L28" s="1" t="s">
        <v>38</v>
      </c>
      <c r="M28" s="1" t="s">
        <v>66</v>
      </c>
      <c r="N28" s="2" t="s">
        <v>40</v>
      </c>
      <c r="O28" s="3">
        <v>629300</v>
      </c>
      <c r="P28" s="3" t="s">
        <v>41</v>
      </c>
      <c r="Q28" s="1" t="s">
        <v>233</v>
      </c>
      <c r="R28" s="1" t="s">
        <v>43</v>
      </c>
      <c r="S28" s="3" t="s">
        <v>44</v>
      </c>
      <c r="T28" s="3" t="s">
        <v>143</v>
      </c>
      <c r="U28" s="2">
        <v>36012</v>
      </c>
      <c r="V28" s="2">
        <v>36083</v>
      </c>
      <c r="W28" s="2">
        <v>36109</v>
      </c>
      <c r="X28" s="2">
        <v>36180</v>
      </c>
      <c r="Y28" s="2">
        <v>36278</v>
      </c>
      <c r="Z28" s="3" t="s">
        <v>234</v>
      </c>
      <c r="AA28" s="3" t="s">
        <v>235</v>
      </c>
      <c r="AB28" s="3" t="s">
        <v>236</v>
      </c>
      <c r="AC28" s="2">
        <v>36184</v>
      </c>
      <c r="AD28" s="2">
        <v>42605</v>
      </c>
      <c r="AE28" s="2" t="s">
        <v>49</v>
      </c>
      <c r="AF28" s="2" t="s">
        <v>50</v>
      </c>
      <c r="AG28" s="2">
        <v>36875</v>
      </c>
      <c r="AH28" s="2">
        <v>37084</v>
      </c>
      <c r="AI28" s="5">
        <v>945229.47</v>
      </c>
      <c r="AJ28" s="6">
        <v>1</v>
      </c>
      <c r="AK28" s="69" t="str">
        <f>MID(E28,5,LEN(E28)-4)</f>
        <v>ACSU1</v>
      </c>
    </row>
    <row r="29" spans="1:37" ht="118.95" customHeight="1" x14ac:dyDescent="0.3">
      <c r="A29" t="s">
        <v>1902</v>
      </c>
      <c r="B29" s="1">
        <f>MAX($C$2:$C$128)</f>
        <v>190</v>
      </c>
      <c r="C29" cm="1">
        <f t="array" ref="C29">IFERROR(MAX(--_xlfn.TEXTSPLIT(D29,";")),0)</f>
        <v>25</v>
      </c>
      <c r="D29" t="s">
        <v>1769</v>
      </c>
      <c r="E29" s="1" t="s">
        <v>737</v>
      </c>
      <c r="F29" s="1" t="s">
        <v>738</v>
      </c>
      <c r="G29" s="1">
        <v>2</v>
      </c>
      <c r="H29" s="1" t="s">
        <v>739</v>
      </c>
      <c r="I29" s="1" t="s">
        <v>740</v>
      </c>
      <c r="J29" s="1" t="s">
        <v>64</v>
      </c>
      <c r="K29" s="1" t="s">
        <v>55</v>
      </c>
      <c r="L29" s="1" t="s">
        <v>38</v>
      </c>
      <c r="M29" s="1" t="s">
        <v>39</v>
      </c>
      <c r="N29" s="2" t="s">
        <v>40</v>
      </c>
      <c r="O29" s="3">
        <v>770000</v>
      </c>
      <c r="P29" s="3" t="s">
        <v>41</v>
      </c>
      <c r="Q29" s="1" t="s">
        <v>741</v>
      </c>
      <c r="R29" s="1" t="s">
        <v>133</v>
      </c>
      <c r="S29" s="3" t="s">
        <v>123</v>
      </c>
      <c r="T29" s="3" t="s">
        <v>710</v>
      </c>
      <c r="U29" s="2">
        <v>42352</v>
      </c>
      <c r="V29" s="2">
        <v>42488</v>
      </c>
      <c r="W29" s="2">
        <v>42516</v>
      </c>
      <c r="X29" s="2">
        <v>42552</v>
      </c>
      <c r="Y29" s="2">
        <v>42601</v>
      </c>
      <c r="Z29" s="3" t="s">
        <v>742</v>
      </c>
      <c r="AA29" s="3" t="s">
        <v>743</v>
      </c>
      <c r="AB29" s="3" t="s">
        <v>744</v>
      </c>
      <c r="AC29" s="2">
        <v>42601</v>
      </c>
      <c r="AD29" s="2">
        <v>48084</v>
      </c>
      <c r="AE29" s="2" t="s">
        <v>49</v>
      </c>
      <c r="AF29" s="2" t="s">
        <v>50</v>
      </c>
      <c r="AG29" s="2">
        <v>44110</v>
      </c>
      <c r="AH29" s="2">
        <v>44921</v>
      </c>
      <c r="AI29" s="14">
        <v>1206656.6000000001</v>
      </c>
      <c r="AJ29" s="6">
        <v>1</v>
      </c>
      <c r="AK29" s="69" t="str">
        <f>MID(E29,5,LEN(E29)-4)</f>
        <v>ACSU2</v>
      </c>
    </row>
    <row r="30" spans="1:37" ht="118.95" customHeight="1" x14ac:dyDescent="0.3">
      <c r="B30" s="1">
        <f>MAX($C$2:$C$128)</f>
        <v>190</v>
      </c>
      <c r="C30" cm="1">
        <f t="array" ref="C30">IFERROR(MAX(--_xlfn.TEXTSPLIT(D30,";")),0)</f>
        <v>26</v>
      </c>
      <c r="D30" t="s">
        <v>1770</v>
      </c>
      <c r="E30" s="57" t="s">
        <v>61</v>
      </c>
      <c r="F30" s="57" t="s">
        <v>746</v>
      </c>
      <c r="G30" s="1">
        <v>1</v>
      </c>
      <c r="H30" s="57" t="s">
        <v>62</v>
      </c>
      <c r="I30" s="1" t="s">
        <v>63</v>
      </c>
      <c r="J30" s="1" t="s">
        <v>64</v>
      </c>
      <c r="K30" s="1" t="s">
        <v>65</v>
      </c>
      <c r="L30" s="1" t="s">
        <v>38</v>
      </c>
      <c r="M30" s="1" t="s">
        <v>66</v>
      </c>
      <c r="N30" s="2" t="s">
        <v>40</v>
      </c>
      <c r="O30" s="3">
        <v>158980</v>
      </c>
      <c r="P30" s="3" t="s">
        <v>41</v>
      </c>
      <c r="Q30" s="4" t="s">
        <v>67</v>
      </c>
      <c r="R30" s="1" t="s">
        <v>43</v>
      </c>
      <c r="S30" s="3" t="s">
        <v>44</v>
      </c>
      <c r="T30" s="3" t="s">
        <v>68</v>
      </c>
      <c r="U30" s="2">
        <v>34639</v>
      </c>
      <c r="V30" s="2">
        <v>34870</v>
      </c>
      <c r="W30" s="2">
        <v>34900</v>
      </c>
      <c r="X30" s="2">
        <v>34929</v>
      </c>
      <c r="Y30" s="2">
        <v>35056</v>
      </c>
      <c r="Z30" s="3" t="s">
        <v>69</v>
      </c>
      <c r="AA30" s="3" t="s">
        <v>70</v>
      </c>
      <c r="AB30" s="7" t="s">
        <v>71</v>
      </c>
      <c r="AC30" s="2">
        <v>35056</v>
      </c>
      <c r="AD30" s="2">
        <v>39438</v>
      </c>
      <c r="AE30" s="2" t="s">
        <v>49</v>
      </c>
      <c r="AF30" s="2" t="s">
        <v>50</v>
      </c>
      <c r="AG30" s="2">
        <v>35541</v>
      </c>
      <c r="AH30" s="2" t="s">
        <v>50</v>
      </c>
      <c r="AI30" s="5">
        <v>177301.90000000002</v>
      </c>
      <c r="AJ30" s="6">
        <v>1</v>
      </c>
      <c r="AK30" s="69" t="str">
        <f>MID(E30,5,LEN(E30)-4)</f>
        <v>ADAI1</v>
      </c>
    </row>
    <row r="31" spans="1:37" ht="118.95" customHeight="1" x14ac:dyDescent="0.3">
      <c r="A31" t="s">
        <v>1904</v>
      </c>
      <c r="B31" s="1">
        <f>MAX($C$2:$C$128)</f>
        <v>190</v>
      </c>
      <c r="C31" cm="1">
        <f t="array" ref="C31">IFERROR(MAX(--_xlfn.TEXTSPLIT(D31,";")),0)</f>
        <v>26</v>
      </c>
      <c r="D31" t="s">
        <v>1770</v>
      </c>
      <c r="E31" s="1" t="s">
        <v>488</v>
      </c>
      <c r="F31" s="57" t="s">
        <v>746</v>
      </c>
      <c r="G31" s="1">
        <v>2</v>
      </c>
      <c r="H31" s="1" t="s">
        <v>489</v>
      </c>
      <c r="I31" s="1" t="s">
        <v>490</v>
      </c>
      <c r="J31" s="1" t="s">
        <v>64</v>
      </c>
      <c r="K31" s="1" t="s">
        <v>65</v>
      </c>
      <c r="L31" s="1" t="s">
        <v>38</v>
      </c>
      <c r="M31" s="1" t="s">
        <v>39</v>
      </c>
      <c r="N31" s="2" t="s">
        <v>40</v>
      </c>
      <c r="O31" s="3">
        <v>371200</v>
      </c>
      <c r="P31" s="3" t="s">
        <v>41</v>
      </c>
      <c r="Q31" s="1" t="s">
        <v>491</v>
      </c>
      <c r="R31" s="1" t="s">
        <v>43</v>
      </c>
      <c r="S31" s="3" t="s">
        <v>123</v>
      </c>
      <c r="T31" s="3" t="s">
        <v>152</v>
      </c>
      <c r="U31" s="2">
        <v>39187</v>
      </c>
      <c r="V31" s="2">
        <v>39335</v>
      </c>
      <c r="W31" s="2">
        <v>39351</v>
      </c>
      <c r="X31" s="2">
        <v>39363</v>
      </c>
      <c r="Y31" s="2">
        <v>39413</v>
      </c>
      <c r="Z31" s="3" t="s">
        <v>492</v>
      </c>
      <c r="AA31" s="3" t="s">
        <v>493</v>
      </c>
      <c r="AB31" s="3" t="s">
        <v>494</v>
      </c>
      <c r="AC31" s="2">
        <v>39413</v>
      </c>
      <c r="AD31" s="2">
        <v>41274</v>
      </c>
      <c r="AE31" s="2" t="s">
        <v>106</v>
      </c>
      <c r="AF31" s="2" t="s">
        <v>50</v>
      </c>
      <c r="AG31" s="2">
        <v>40311</v>
      </c>
      <c r="AH31" s="2">
        <v>40874</v>
      </c>
      <c r="AI31" s="5">
        <v>389830.19999999995</v>
      </c>
      <c r="AJ31" s="6">
        <v>1</v>
      </c>
      <c r="AK31" s="69" t="str">
        <f>MID(E31,5,LEN(E31)-4)</f>
        <v>ADAI2</v>
      </c>
    </row>
    <row r="32" spans="1:37" ht="118.95" customHeight="1" x14ac:dyDescent="0.3">
      <c r="B32" s="1">
        <f>MAX($C$2:$C$128)</f>
        <v>190</v>
      </c>
      <c r="C32" cm="1">
        <f t="array" ref="C32">IFERROR(MAX(--_xlfn.TEXTSPLIT(D32,";")),0)</f>
        <v>26</v>
      </c>
      <c r="D32" t="s">
        <v>1770</v>
      </c>
      <c r="E32" s="1" t="s">
        <v>635</v>
      </c>
      <c r="F32" s="57" t="s">
        <v>746</v>
      </c>
      <c r="G32" s="1">
        <v>3</v>
      </c>
      <c r="H32" s="1" t="s">
        <v>636</v>
      </c>
      <c r="I32" s="1" t="s">
        <v>637</v>
      </c>
      <c r="J32" s="1" t="s">
        <v>64</v>
      </c>
      <c r="K32" s="1" t="s">
        <v>65</v>
      </c>
      <c r="L32" s="1" t="s">
        <v>38</v>
      </c>
      <c r="M32" s="1" t="s">
        <v>39</v>
      </c>
      <c r="N32" s="2" t="s">
        <v>40</v>
      </c>
      <c r="O32" s="3">
        <v>109000</v>
      </c>
      <c r="P32" s="3" t="s">
        <v>41</v>
      </c>
      <c r="Q32" s="1" t="s">
        <v>638</v>
      </c>
      <c r="R32" s="1" t="s">
        <v>43</v>
      </c>
      <c r="S32" s="3" t="s">
        <v>123</v>
      </c>
      <c r="T32" s="3" t="s">
        <v>639</v>
      </c>
      <c r="U32" s="2">
        <v>40906</v>
      </c>
      <c r="V32" s="2">
        <v>41054</v>
      </c>
      <c r="W32" s="2">
        <v>41075</v>
      </c>
      <c r="X32" s="2">
        <v>41116</v>
      </c>
      <c r="Y32" s="2">
        <v>41204</v>
      </c>
      <c r="Z32" s="3" t="s">
        <v>640</v>
      </c>
      <c r="AA32" s="3" t="s">
        <v>641</v>
      </c>
      <c r="AB32" s="3" t="s">
        <v>642</v>
      </c>
      <c r="AC32" s="2">
        <v>41204</v>
      </c>
      <c r="AD32" s="2">
        <v>43190</v>
      </c>
      <c r="AE32" s="2" t="s">
        <v>49</v>
      </c>
      <c r="AF32" s="2" t="s">
        <v>50</v>
      </c>
      <c r="AG32" s="2">
        <v>41989</v>
      </c>
      <c r="AH32" s="2">
        <v>42319</v>
      </c>
      <c r="AI32" s="5">
        <v>203418.64000000004</v>
      </c>
      <c r="AJ32" s="6">
        <v>1</v>
      </c>
      <c r="AK32" s="69" t="str">
        <f>MID(E32,5,LEN(E32)-4)</f>
        <v>ADAI3</v>
      </c>
    </row>
    <row r="33" spans="1:37" ht="118.95" customHeight="1" x14ac:dyDescent="0.3">
      <c r="A33" t="s">
        <v>1903</v>
      </c>
      <c r="B33" s="1">
        <f>MAX($C$2:$C$128)</f>
        <v>190</v>
      </c>
      <c r="C33" cm="1">
        <f t="array" ref="C33">IFERROR(MAX(--_xlfn.TEXTSPLIT(D33,";")),0)</f>
        <v>26</v>
      </c>
      <c r="D33" t="s">
        <v>1770</v>
      </c>
      <c r="E33" s="1" t="s">
        <v>745</v>
      </c>
      <c r="F33" s="57" t="s">
        <v>746</v>
      </c>
      <c r="G33" s="1">
        <v>4</v>
      </c>
      <c r="H33" s="1" t="s">
        <v>747</v>
      </c>
      <c r="I33" s="1" t="s">
        <v>748</v>
      </c>
      <c r="J33" s="1" t="s">
        <v>64</v>
      </c>
      <c r="K33" s="1" t="s">
        <v>65</v>
      </c>
      <c r="L33" s="1" t="s">
        <v>38</v>
      </c>
      <c r="M33" s="1" t="s">
        <v>39</v>
      </c>
      <c r="N33" s="2" t="s">
        <v>40</v>
      </c>
      <c r="O33" s="3">
        <v>1420000</v>
      </c>
      <c r="P33" s="3" t="s">
        <v>41</v>
      </c>
      <c r="Q33" s="1" t="s">
        <v>749</v>
      </c>
      <c r="R33" s="1" t="s">
        <v>133</v>
      </c>
      <c r="S33" s="3" t="s">
        <v>123</v>
      </c>
      <c r="T33" s="3" t="s">
        <v>152</v>
      </c>
      <c r="U33" s="2">
        <v>42452</v>
      </c>
      <c r="V33" s="2">
        <v>42843</v>
      </c>
      <c r="W33" s="2">
        <v>42873</v>
      </c>
      <c r="X33" s="2">
        <v>42940</v>
      </c>
      <c r="Y33" s="2">
        <v>43020</v>
      </c>
      <c r="Z33" s="3" t="s">
        <v>750</v>
      </c>
      <c r="AA33" s="3" t="s">
        <v>751</v>
      </c>
      <c r="AB33" s="3" t="s">
        <v>752</v>
      </c>
      <c r="AC33" s="2">
        <v>43020</v>
      </c>
      <c r="AD33" s="2">
        <v>52150</v>
      </c>
      <c r="AE33" s="2" t="s">
        <v>106</v>
      </c>
      <c r="AF33" s="2">
        <v>43686</v>
      </c>
      <c r="AG33" s="2">
        <v>45530</v>
      </c>
      <c r="AH33" s="2" t="s">
        <v>531</v>
      </c>
      <c r="AI33" s="8">
        <v>2122435.1</v>
      </c>
      <c r="AJ33" s="6">
        <v>1</v>
      </c>
      <c r="AK33" s="69" t="str">
        <f>MID(E33,5,LEN(E33)-4)</f>
        <v>ADAI4</v>
      </c>
    </row>
    <row r="34" spans="1:37" ht="147.6" customHeight="1" x14ac:dyDescent="0.3">
      <c r="B34" s="1">
        <f>MAX($C$2:$C$128)</f>
        <v>190</v>
      </c>
      <c r="C34" cm="1">
        <f t="array" ref="C34">IFERROR(MAX(--_xlfn.TEXTSPLIT(D34,";")),0)</f>
        <v>27</v>
      </c>
      <c r="D34" t="s">
        <v>1771</v>
      </c>
      <c r="E34" s="1" t="s">
        <v>180</v>
      </c>
      <c r="F34" s="1" t="s">
        <v>1853</v>
      </c>
      <c r="G34" s="1">
        <v>1</v>
      </c>
      <c r="H34" s="1" t="s">
        <v>181</v>
      </c>
      <c r="I34" s="1" t="s">
        <v>182</v>
      </c>
      <c r="J34" s="1" t="s">
        <v>64</v>
      </c>
      <c r="K34" s="1" t="s">
        <v>175</v>
      </c>
      <c r="L34" s="1" t="s">
        <v>38</v>
      </c>
      <c r="M34" s="1" t="s">
        <v>39</v>
      </c>
      <c r="N34" s="2" t="s">
        <v>40</v>
      </c>
      <c r="O34" s="3">
        <v>74294</v>
      </c>
      <c r="P34" s="3" t="s">
        <v>41</v>
      </c>
      <c r="Q34" s="1" t="s">
        <v>183</v>
      </c>
      <c r="R34" s="1" t="s">
        <v>43</v>
      </c>
      <c r="S34" s="3" t="s">
        <v>44</v>
      </c>
      <c r="T34" s="3" t="s">
        <v>124</v>
      </c>
      <c r="U34" s="2">
        <v>35416</v>
      </c>
      <c r="V34" s="2">
        <v>35578</v>
      </c>
      <c r="W34" s="2">
        <v>35608</v>
      </c>
      <c r="X34" s="2">
        <v>35661</v>
      </c>
      <c r="Y34" s="2">
        <v>35746</v>
      </c>
      <c r="Z34" s="3" t="s">
        <v>184</v>
      </c>
      <c r="AA34" s="3" t="s">
        <v>185</v>
      </c>
      <c r="AB34" s="3" t="s">
        <v>186</v>
      </c>
      <c r="AC34" s="2">
        <v>35813</v>
      </c>
      <c r="AD34" s="2">
        <v>41282</v>
      </c>
      <c r="AE34" s="2" t="s">
        <v>49</v>
      </c>
      <c r="AF34" s="2" t="s">
        <v>50</v>
      </c>
      <c r="AG34" s="2">
        <v>36144</v>
      </c>
      <c r="AH34" s="2">
        <v>36392</v>
      </c>
      <c r="AI34" s="5">
        <v>123739.53</v>
      </c>
      <c r="AJ34" s="6">
        <v>1</v>
      </c>
      <c r="AK34" s="69" t="str">
        <f>MID(E34,5,LEN(E34)-4)</f>
        <v>ALFS1</v>
      </c>
    </row>
    <row r="35" spans="1:37" ht="118.95" customHeight="1" x14ac:dyDescent="0.3">
      <c r="B35" s="1">
        <f>MAX($C$2:$C$128)</f>
        <v>190</v>
      </c>
      <c r="C35" cm="1">
        <f t="array" ref="C35">IFERROR(MAX(--_xlfn.TEXTSPLIT(D35,";")),0)</f>
        <v>27</v>
      </c>
      <c r="D35" t="s">
        <v>1771</v>
      </c>
      <c r="E35" s="1" t="s">
        <v>643</v>
      </c>
      <c r="F35" s="1" t="s">
        <v>1853</v>
      </c>
      <c r="G35" s="1">
        <v>2</v>
      </c>
      <c r="H35" s="1" t="s">
        <v>644</v>
      </c>
      <c r="I35" s="1" t="s">
        <v>645</v>
      </c>
      <c r="J35" s="1" t="s">
        <v>64</v>
      </c>
      <c r="K35" s="1" t="s">
        <v>175</v>
      </c>
      <c r="L35" s="1" t="s">
        <v>38</v>
      </c>
      <c r="M35" s="1" t="s">
        <v>39</v>
      </c>
      <c r="N35" s="2" t="s">
        <v>40</v>
      </c>
      <c r="O35" s="3">
        <v>174000</v>
      </c>
      <c r="P35" s="3" t="s">
        <v>41</v>
      </c>
      <c r="Q35" s="1" t="s">
        <v>646</v>
      </c>
      <c r="R35" s="1" t="s">
        <v>43</v>
      </c>
      <c r="S35" s="3" t="s">
        <v>123</v>
      </c>
      <c r="T35" s="3" t="s">
        <v>152</v>
      </c>
      <c r="U35" s="2">
        <v>40906</v>
      </c>
      <c r="V35" s="2">
        <v>41088</v>
      </c>
      <c r="W35" s="2">
        <v>41109</v>
      </c>
      <c r="X35" s="2">
        <v>41173</v>
      </c>
      <c r="Y35" s="2">
        <v>41255</v>
      </c>
      <c r="Z35" s="3" t="s">
        <v>647</v>
      </c>
      <c r="AA35" s="3" t="s">
        <v>648</v>
      </c>
      <c r="AB35" s="3" t="s">
        <v>649</v>
      </c>
      <c r="AC35" s="2">
        <v>41255</v>
      </c>
      <c r="AD35" s="2">
        <v>44500</v>
      </c>
      <c r="AE35" s="2" t="s">
        <v>49</v>
      </c>
      <c r="AF35" s="2" t="s">
        <v>50</v>
      </c>
      <c r="AG35" s="2">
        <v>42136</v>
      </c>
      <c r="AH35" s="2">
        <v>42423</v>
      </c>
      <c r="AI35" s="5">
        <v>411624.01999999996</v>
      </c>
      <c r="AJ35" s="6">
        <v>1</v>
      </c>
      <c r="AK35" s="69" t="str">
        <f>MID(E35,5,LEN(E35)-4)</f>
        <v>ALFS2</v>
      </c>
    </row>
    <row r="36" spans="1:37" ht="118.95" customHeight="1" x14ac:dyDescent="0.3">
      <c r="B36" s="1">
        <f>MAX($C$2:$C$128)</f>
        <v>190</v>
      </c>
      <c r="C36" cm="1">
        <f t="array" ref="C36">IFERROR(MAX(--_xlfn.TEXTSPLIT(D36,";")),0)</f>
        <v>136</v>
      </c>
      <c r="D36" t="s">
        <v>1830</v>
      </c>
      <c r="E36" s="56" t="s">
        <v>1744</v>
      </c>
      <c r="F36" s="60" t="s">
        <v>1736</v>
      </c>
      <c r="G36" s="57"/>
      <c r="H36" t="s">
        <v>1736</v>
      </c>
      <c r="I36" s="72" t="s">
        <v>1988</v>
      </c>
      <c r="J36" s="57" t="s">
        <v>36</v>
      </c>
      <c r="K36" s="57" t="s">
        <v>75</v>
      </c>
      <c r="L36" s="57"/>
      <c r="M36" s="57"/>
      <c r="N36" s="58"/>
      <c r="O36" s="59"/>
      <c r="P36" s="57"/>
      <c r="Q36" s="57"/>
      <c r="R36" s="57" t="s">
        <v>693</v>
      </c>
      <c r="S36" s="57"/>
      <c r="T36" s="57"/>
      <c r="U36" s="58">
        <v>44355</v>
      </c>
      <c r="V36" s="58">
        <v>45812</v>
      </c>
      <c r="W36" s="58">
        <v>45840</v>
      </c>
      <c r="X36" s="58"/>
      <c r="Y36" s="58"/>
      <c r="Z36" s="57"/>
      <c r="AA36" s="57" t="s">
        <v>1989</v>
      </c>
      <c r="AB36" s="57"/>
      <c r="AC36" s="58">
        <v>46066</v>
      </c>
      <c r="AD36" s="58"/>
      <c r="AE36" s="57"/>
      <c r="AF36" s="57"/>
      <c r="AG36" s="57"/>
      <c r="AH36" s="57"/>
      <c r="AI36" s="22"/>
      <c r="AJ36" s="23"/>
      <c r="AK36" s="69" t="str">
        <f>MID(E36,5,LEN(E36)-4)</f>
        <v>RTCC</v>
      </c>
    </row>
    <row r="37" spans="1:37" ht="118.95" customHeight="1" x14ac:dyDescent="0.3">
      <c r="A37" t="s">
        <v>1905</v>
      </c>
      <c r="B37" s="1">
        <f>MAX($C$2:$C$128)</f>
        <v>190</v>
      </c>
      <c r="C37" cm="1">
        <f t="array" ref="C37">IFERROR(MAX(--_xlfn.TEXTSPLIT(D37,";")),0)</f>
        <v>28</v>
      </c>
      <c r="D37" t="s">
        <v>1772</v>
      </c>
      <c r="E37" s="1" t="s">
        <v>187</v>
      </c>
      <c r="F37" s="1" t="s">
        <v>585</v>
      </c>
      <c r="G37" s="1">
        <v>1</v>
      </c>
      <c r="H37" s="1" t="s">
        <v>188</v>
      </c>
      <c r="I37" s="1" t="s">
        <v>189</v>
      </c>
      <c r="J37" s="1" t="s">
        <v>64</v>
      </c>
      <c r="K37" s="1" t="s">
        <v>190</v>
      </c>
      <c r="L37" s="1" t="s">
        <v>38</v>
      </c>
      <c r="M37" s="1" t="s">
        <v>66</v>
      </c>
      <c r="N37" s="2" t="s">
        <v>40</v>
      </c>
      <c r="O37" s="3">
        <v>70800</v>
      </c>
      <c r="P37" s="3" t="s">
        <v>41</v>
      </c>
      <c r="Q37" s="1" t="s">
        <v>191</v>
      </c>
      <c r="R37" s="1" t="s">
        <v>43</v>
      </c>
      <c r="S37" s="3" t="s">
        <v>44</v>
      </c>
      <c r="T37" s="3" t="s">
        <v>143</v>
      </c>
      <c r="U37" s="2">
        <v>35485</v>
      </c>
      <c r="V37" s="2">
        <v>35635</v>
      </c>
      <c r="W37" s="2">
        <v>35664</v>
      </c>
      <c r="X37" s="2">
        <v>35717</v>
      </c>
      <c r="Y37" s="2">
        <v>35900</v>
      </c>
      <c r="Z37" s="3" t="s">
        <v>192</v>
      </c>
      <c r="AA37" s="3" t="s">
        <v>193</v>
      </c>
      <c r="AB37" s="3" t="s">
        <v>194</v>
      </c>
      <c r="AC37" s="2">
        <v>35958</v>
      </c>
      <c r="AD37" s="2">
        <v>40644</v>
      </c>
      <c r="AE37" s="2" t="s">
        <v>49</v>
      </c>
      <c r="AF37" s="2" t="s">
        <v>50</v>
      </c>
      <c r="AG37" s="2">
        <v>36454</v>
      </c>
      <c r="AH37" s="2">
        <v>36648</v>
      </c>
      <c r="AI37" s="5">
        <v>127418.93</v>
      </c>
      <c r="AJ37" s="6">
        <v>1</v>
      </c>
      <c r="AK37" s="69" t="str">
        <f>MID(E37,5,LEN(E37)-4)</f>
        <v>ALOA1</v>
      </c>
    </row>
    <row r="38" spans="1:37" ht="118.95" customHeight="1" x14ac:dyDescent="0.3">
      <c r="A38" t="s">
        <v>1906</v>
      </c>
      <c r="B38" s="1">
        <f>MAX($C$2:$C$128)</f>
        <v>190</v>
      </c>
      <c r="C38" cm="1">
        <f t="array" ref="C38">IFERROR(MAX(--_xlfn.TEXTSPLIT(D38,";")),0)</f>
        <v>28</v>
      </c>
      <c r="D38" t="s">
        <v>1772</v>
      </c>
      <c r="E38" s="1" t="s">
        <v>584</v>
      </c>
      <c r="F38" s="1" t="s">
        <v>585</v>
      </c>
      <c r="G38" s="1">
        <v>2</v>
      </c>
      <c r="H38" s="1" t="s">
        <v>586</v>
      </c>
      <c r="I38" s="1" t="s">
        <v>587</v>
      </c>
      <c r="J38" s="1" t="s">
        <v>64</v>
      </c>
      <c r="K38" s="1" t="s">
        <v>190</v>
      </c>
      <c r="L38" s="1" t="s">
        <v>38</v>
      </c>
      <c r="M38" s="1" t="s">
        <v>39</v>
      </c>
      <c r="N38" s="2" t="s">
        <v>40</v>
      </c>
      <c r="O38" s="3">
        <v>880000</v>
      </c>
      <c r="P38" s="3" t="s">
        <v>41</v>
      </c>
      <c r="Q38" s="1" t="s">
        <v>588</v>
      </c>
      <c r="R38" s="1" t="s">
        <v>43</v>
      </c>
      <c r="S38" s="3" t="s">
        <v>123</v>
      </c>
      <c r="T38" s="3" t="s">
        <v>484</v>
      </c>
      <c r="U38" s="2">
        <v>40186</v>
      </c>
      <c r="V38" s="2">
        <v>40465</v>
      </c>
      <c r="W38" s="2">
        <v>40493</v>
      </c>
      <c r="X38" s="2">
        <v>40564</v>
      </c>
      <c r="Y38" s="2">
        <v>40619</v>
      </c>
      <c r="Z38" s="3" t="s">
        <v>589</v>
      </c>
      <c r="AA38" s="3" t="s">
        <v>590</v>
      </c>
      <c r="AB38" s="3" t="s">
        <v>591</v>
      </c>
      <c r="AC38" s="2">
        <v>40619</v>
      </c>
      <c r="AD38" s="2">
        <v>45199</v>
      </c>
      <c r="AE38" s="2" t="s">
        <v>49</v>
      </c>
      <c r="AF38" s="2">
        <v>41210</v>
      </c>
      <c r="AG38" s="2">
        <v>41897</v>
      </c>
      <c r="AH38" s="2">
        <v>42129</v>
      </c>
      <c r="AI38" s="5">
        <v>1214481.3400000001</v>
      </c>
      <c r="AJ38" s="6">
        <v>1</v>
      </c>
      <c r="AK38" s="69" t="str">
        <f>MID(E38,5,LEN(E38)-4)</f>
        <v>ALOA2</v>
      </c>
    </row>
    <row r="39" spans="1:37" ht="118.95" customHeight="1" x14ac:dyDescent="0.3">
      <c r="B39" s="1">
        <f>MAX($C$2:$C$128)</f>
        <v>190</v>
      </c>
      <c r="C39" cm="1">
        <f t="array" ref="C39">IFERROR(MAX(--_xlfn.TEXTSPLIT(D39,";")),0)</f>
        <v>134</v>
      </c>
      <c r="D39" t="s">
        <v>1829</v>
      </c>
      <c r="E39" s="56" t="s">
        <v>1845</v>
      </c>
      <c r="F39" s="60" t="s">
        <v>1735</v>
      </c>
      <c r="G39" s="57">
        <v>1</v>
      </c>
      <c r="H39" s="56" t="s">
        <v>1735</v>
      </c>
      <c r="I39" s="57" t="s">
        <v>1986</v>
      </c>
      <c r="J39" s="57" t="s">
        <v>36</v>
      </c>
      <c r="K39" s="57" t="s">
        <v>55</v>
      </c>
      <c r="L39" s="57"/>
      <c r="M39" s="57"/>
      <c r="N39" s="58"/>
      <c r="O39" s="59"/>
      <c r="P39" s="57"/>
      <c r="Q39" s="57"/>
      <c r="R39" s="57" t="s">
        <v>693</v>
      </c>
      <c r="S39" s="57"/>
      <c r="T39" s="57"/>
      <c r="U39" s="58">
        <v>45281</v>
      </c>
      <c r="V39" s="58">
        <v>45930</v>
      </c>
      <c r="W39" s="58">
        <v>45928</v>
      </c>
      <c r="X39" s="58"/>
      <c r="Y39" s="58"/>
      <c r="Z39" s="57"/>
      <c r="AA39" s="3" t="s">
        <v>1987</v>
      </c>
      <c r="AB39" s="57"/>
      <c r="AC39" s="58">
        <v>46197</v>
      </c>
      <c r="AD39" s="58"/>
      <c r="AE39" s="57"/>
      <c r="AF39" s="57"/>
      <c r="AG39" s="57"/>
      <c r="AH39" s="57"/>
      <c r="AI39" s="22"/>
      <c r="AJ39" s="23"/>
      <c r="AK39" s="69" t="str">
        <f>MID(E39,5,LEN(E39)-4)</f>
        <v>RPMO1</v>
      </c>
    </row>
    <row r="40" spans="1:37" ht="118.95" customHeight="1" x14ac:dyDescent="0.3">
      <c r="B40" s="1">
        <f>MAX($C$2:$C$128)</f>
        <v>190</v>
      </c>
      <c r="C40" cm="1">
        <f t="array" ref="C40">IFERROR(MAX(--_xlfn.TEXTSPLIT(D40,";")),0)</f>
        <v>133</v>
      </c>
      <c r="D40" t="s">
        <v>1828</v>
      </c>
      <c r="E40" s="1" t="s">
        <v>760</v>
      </c>
      <c r="F40" s="1" t="s">
        <v>761</v>
      </c>
      <c r="G40" s="1">
        <v>1</v>
      </c>
      <c r="H40" s="1" t="s">
        <v>762</v>
      </c>
      <c r="I40" s="1" t="s">
        <v>763</v>
      </c>
      <c r="J40" s="1" t="s">
        <v>36</v>
      </c>
      <c r="K40" s="1" t="s">
        <v>764</v>
      </c>
      <c r="L40" s="1" t="s">
        <v>38</v>
      </c>
      <c r="M40" s="1" t="s">
        <v>66</v>
      </c>
      <c r="N40" s="2">
        <v>38670</v>
      </c>
      <c r="O40" s="3">
        <v>6125000</v>
      </c>
      <c r="P40" s="3" t="s">
        <v>41</v>
      </c>
      <c r="Q40" s="4" t="s">
        <v>765</v>
      </c>
      <c r="R40" s="1" t="s">
        <v>662</v>
      </c>
      <c r="S40" s="3" t="s">
        <v>44</v>
      </c>
      <c r="T40" s="3" t="s">
        <v>484</v>
      </c>
      <c r="U40" s="2">
        <v>42690</v>
      </c>
      <c r="V40" s="2">
        <v>42964</v>
      </c>
      <c r="W40" s="2">
        <v>42992</v>
      </c>
      <c r="X40" s="2">
        <v>43080</v>
      </c>
      <c r="Y40" s="2">
        <v>43200</v>
      </c>
      <c r="Z40" s="3" t="s">
        <v>766</v>
      </c>
      <c r="AA40" s="3" t="s">
        <v>767</v>
      </c>
      <c r="AB40" s="3" t="s">
        <v>768</v>
      </c>
      <c r="AC40" s="2">
        <v>43200</v>
      </c>
      <c r="AD40" s="2">
        <v>55983</v>
      </c>
      <c r="AE40" s="2" t="s">
        <v>106</v>
      </c>
      <c r="AF40" s="2">
        <v>44124</v>
      </c>
      <c r="AG40" s="2" t="s">
        <v>697</v>
      </c>
      <c r="AH40" s="2" t="s">
        <v>697</v>
      </c>
      <c r="AI40" s="8">
        <v>6658686.9000000004</v>
      </c>
      <c r="AJ40" s="6" t="s">
        <v>769</v>
      </c>
      <c r="AK40" s="69" t="str">
        <f>MID(E40,5,LEN(E40)-4)</f>
        <v>RNAH1</v>
      </c>
    </row>
    <row r="41" spans="1:37" ht="180" customHeight="1" x14ac:dyDescent="0.3">
      <c r="B41" s="1">
        <f>MAX($C$2:$C$128)</f>
        <v>190</v>
      </c>
      <c r="C41" cm="1">
        <f t="array" ref="C41">IFERROR(MAX(--_xlfn.TEXTSPLIT(D41,";")),0)</f>
        <v>31</v>
      </c>
      <c r="D41" t="s">
        <v>1773</v>
      </c>
      <c r="E41" s="1" t="s">
        <v>524</v>
      </c>
      <c r="F41" s="1" t="s">
        <v>108</v>
      </c>
      <c r="G41" s="1">
        <v>2</v>
      </c>
      <c r="H41" s="1" t="s">
        <v>525</v>
      </c>
      <c r="I41" s="1" t="s">
        <v>526</v>
      </c>
      <c r="J41" s="1" t="s">
        <v>111</v>
      </c>
      <c r="K41" s="1" t="s">
        <v>112</v>
      </c>
      <c r="L41" s="1" t="s">
        <v>38</v>
      </c>
      <c r="M41" s="1" t="s">
        <v>39</v>
      </c>
      <c r="N41" s="2" t="s">
        <v>40</v>
      </c>
      <c r="O41" s="3">
        <v>1500000</v>
      </c>
      <c r="P41" s="3" t="s">
        <v>41</v>
      </c>
      <c r="Q41" s="1" t="s">
        <v>527</v>
      </c>
      <c r="R41" s="1" t="s">
        <v>133</v>
      </c>
      <c r="S41" s="3" t="s">
        <v>123</v>
      </c>
      <c r="T41" s="3" t="s">
        <v>152</v>
      </c>
      <c r="U41" s="2">
        <v>39452</v>
      </c>
      <c r="V41" s="2">
        <v>39609</v>
      </c>
      <c r="W41" s="2">
        <v>39633</v>
      </c>
      <c r="X41" s="2">
        <v>39650</v>
      </c>
      <c r="Y41" s="2">
        <v>39703</v>
      </c>
      <c r="Z41" s="3" t="s">
        <v>528</v>
      </c>
      <c r="AA41" s="3" t="s">
        <v>529</v>
      </c>
      <c r="AB41" s="3" t="s">
        <v>530</v>
      </c>
      <c r="AC41" s="2">
        <v>39703</v>
      </c>
      <c r="AD41" s="2">
        <v>54312</v>
      </c>
      <c r="AE41" s="2" t="s">
        <v>106</v>
      </c>
      <c r="AF41" s="2">
        <v>44364</v>
      </c>
      <c r="AG41" s="2">
        <v>45121</v>
      </c>
      <c r="AH41" s="2" t="s">
        <v>531</v>
      </c>
      <c r="AI41" s="8">
        <v>1795538.8</v>
      </c>
      <c r="AJ41" s="6">
        <v>1</v>
      </c>
      <c r="AK41" s="69" t="str">
        <f>MID(E41,5,LEN(E41)-4)</f>
        <v>AVAM2</v>
      </c>
    </row>
    <row r="42" spans="1:37" ht="118.95" customHeight="1" x14ac:dyDescent="0.3">
      <c r="B42" s="1">
        <f>MAX($C$2:$C$128)</f>
        <v>190</v>
      </c>
      <c r="C42" cm="1">
        <f t="array" ref="C42">IFERROR(MAX(--_xlfn.TEXTSPLIT(D42,";")),0)</f>
        <v>32</v>
      </c>
      <c r="D42" t="s">
        <v>1774</v>
      </c>
      <c r="E42" s="1" t="s">
        <v>341</v>
      </c>
      <c r="F42" s="1" t="s">
        <v>1854</v>
      </c>
      <c r="G42" s="1">
        <v>1</v>
      </c>
      <c r="H42" s="1" t="s">
        <v>342</v>
      </c>
      <c r="I42" s="1" t="s">
        <v>343</v>
      </c>
      <c r="J42" s="1" t="s">
        <v>64</v>
      </c>
      <c r="K42" s="1" t="s">
        <v>344</v>
      </c>
      <c r="L42" s="1" t="s">
        <v>38</v>
      </c>
      <c r="M42" s="1" t="s">
        <v>39</v>
      </c>
      <c r="N42" s="2" t="s">
        <v>40</v>
      </c>
      <c r="O42" s="3">
        <v>1000574</v>
      </c>
      <c r="P42" s="3" t="s">
        <v>41</v>
      </c>
      <c r="Q42" s="1" t="s">
        <v>345</v>
      </c>
      <c r="R42" s="1" t="s">
        <v>43</v>
      </c>
      <c r="S42" s="3" t="s">
        <v>123</v>
      </c>
      <c r="T42" s="3" t="s">
        <v>301</v>
      </c>
      <c r="U42" s="2">
        <v>37173</v>
      </c>
      <c r="V42" s="2">
        <v>37376</v>
      </c>
      <c r="W42" s="2">
        <v>37407</v>
      </c>
      <c r="X42" s="2">
        <v>37460</v>
      </c>
      <c r="Y42" s="2">
        <v>37532</v>
      </c>
      <c r="Z42" s="3" t="s">
        <v>346</v>
      </c>
      <c r="AA42" s="3" t="s">
        <v>347</v>
      </c>
      <c r="AB42" s="3" t="s">
        <v>348</v>
      </c>
      <c r="AC42" s="2">
        <v>37532</v>
      </c>
      <c r="AD42" s="2">
        <v>45680</v>
      </c>
      <c r="AE42" s="2" t="s">
        <v>49</v>
      </c>
      <c r="AF42" s="2" t="s">
        <v>50</v>
      </c>
      <c r="AG42" s="2">
        <v>38380</v>
      </c>
      <c r="AH42" s="2">
        <v>38622</v>
      </c>
      <c r="AI42" s="5">
        <v>919407.34</v>
      </c>
      <c r="AJ42" s="6">
        <v>1</v>
      </c>
      <c r="AK42" s="69" t="str">
        <f>MID(E42,5,LEN(E42)-4)</f>
        <v>ARAT1</v>
      </c>
    </row>
    <row r="43" spans="1:37" ht="118.95" customHeight="1" x14ac:dyDescent="0.3">
      <c r="B43" s="1">
        <f>MAX($C$2:$C$128)</f>
        <v>190</v>
      </c>
      <c r="C43" cm="1">
        <f t="array" ref="C43">IFERROR(MAX(--_xlfn.TEXTSPLIT(D43,";")),0)</f>
        <v>132</v>
      </c>
      <c r="D43" t="s">
        <v>1827</v>
      </c>
      <c r="E43" s="1" t="s">
        <v>630</v>
      </c>
      <c r="F43" s="1" t="s">
        <v>1878</v>
      </c>
      <c r="G43" s="1">
        <v>1</v>
      </c>
      <c r="H43" s="1" t="s">
        <v>631</v>
      </c>
      <c r="I43" s="1" t="s">
        <v>632</v>
      </c>
      <c r="J43" s="1" t="s">
        <v>36</v>
      </c>
      <c r="K43" s="1" t="s">
        <v>190</v>
      </c>
      <c r="L43" s="1" t="s">
        <v>38</v>
      </c>
      <c r="M43" s="1" t="s">
        <v>66</v>
      </c>
      <c r="N43" s="2">
        <v>39281</v>
      </c>
      <c r="O43" s="3">
        <v>6560000</v>
      </c>
      <c r="P43" s="3" t="s">
        <v>41</v>
      </c>
      <c r="Q43" s="1" t="s">
        <v>264</v>
      </c>
      <c r="R43" s="1" t="s">
        <v>43</v>
      </c>
      <c r="S43" s="3" t="s">
        <v>44</v>
      </c>
      <c r="T43" s="3" t="s">
        <v>484</v>
      </c>
      <c r="U43" s="2">
        <v>40903</v>
      </c>
      <c r="V43" s="2">
        <v>41249</v>
      </c>
      <c r="W43" s="2">
        <v>41264</v>
      </c>
      <c r="X43" s="2">
        <v>41513</v>
      </c>
      <c r="Y43" s="2">
        <v>41757</v>
      </c>
      <c r="Z43" s="3" t="s">
        <v>633</v>
      </c>
      <c r="AA43" s="3" t="s">
        <v>634</v>
      </c>
      <c r="AB43" s="3" t="s">
        <v>48</v>
      </c>
      <c r="AC43" s="2">
        <v>41757</v>
      </c>
      <c r="AD43" s="2">
        <v>42325</v>
      </c>
      <c r="AE43" s="2" t="s">
        <v>106</v>
      </c>
      <c r="AF43" s="2" t="s">
        <v>269</v>
      </c>
      <c r="AG43" s="2" t="s">
        <v>269</v>
      </c>
      <c r="AH43" s="2" t="s">
        <v>269</v>
      </c>
      <c r="AI43" s="5">
        <v>7780.25</v>
      </c>
      <c r="AJ43" s="6">
        <v>0</v>
      </c>
      <c r="AK43" s="69" t="str">
        <f>MID(E43,5,LEN(E43)-4)</f>
        <v>RLOA1</v>
      </c>
    </row>
    <row r="44" spans="1:37" ht="118.95" customHeight="1" x14ac:dyDescent="0.3">
      <c r="B44" s="1">
        <f>MAX($C$2:$C$128)</f>
        <v>190</v>
      </c>
      <c r="C44" cm="1">
        <f t="array" ref="C44">IFERROR(MAX(--_xlfn.TEXTSPLIT(D44,";")),0)</f>
        <v>132</v>
      </c>
      <c r="D44" t="s">
        <v>1827</v>
      </c>
      <c r="E44" s="1" t="s">
        <v>770</v>
      </c>
      <c r="F44" s="1" t="s">
        <v>1878</v>
      </c>
      <c r="G44" s="1">
        <v>2</v>
      </c>
      <c r="H44" s="1" t="s">
        <v>771</v>
      </c>
      <c r="I44" s="1" t="s">
        <v>772</v>
      </c>
      <c r="J44" s="1" t="s">
        <v>36</v>
      </c>
      <c r="K44" s="1" t="s">
        <v>190</v>
      </c>
      <c r="L44" s="1" t="s">
        <v>38</v>
      </c>
      <c r="M44" s="1" t="s">
        <v>39</v>
      </c>
      <c r="N44" s="2"/>
      <c r="O44" s="3">
        <v>7330000</v>
      </c>
      <c r="P44" s="3" t="s">
        <v>41</v>
      </c>
      <c r="Q44" s="4" t="s">
        <v>773</v>
      </c>
      <c r="R44" s="1" t="s">
        <v>662</v>
      </c>
      <c r="S44" s="3" t="s">
        <v>44</v>
      </c>
      <c r="T44" s="3" t="s">
        <v>152</v>
      </c>
      <c r="U44" s="2">
        <v>42832</v>
      </c>
      <c r="V44" s="2">
        <v>43027</v>
      </c>
      <c r="W44" s="2">
        <v>43055</v>
      </c>
      <c r="X44" s="2">
        <v>43096</v>
      </c>
      <c r="Y44" s="2">
        <v>43200</v>
      </c>
      <c r="Z44" s="3" t="s">
        <v>774</v>
      </c>
      <c r="AA44" s="3" t="s">
        <v>775</v>
      </c>
      <c r="AB44" s="3" t="s">
        <v>776</v>
      </c>
      <c r="AC44" s="2">
        <v>43200</v>
      </c>
      <c r="AD44" s="2">
        <v>57810</v>
      </c>
      <c r="AE44" s="2" t="s">
        <v>106</v>
      </c>
      <c r="AF44" s="2">
        <v>44060</v>
      </c>
      <c r="AG44" s="2" t="s">
        <v>697</v>
      </c>
      <c r="AH44" s="2" t="s">
        <v>697</v>
      </c>
      <c r="AI44" s="5">
        <v>7330000</v>
      </c>
      <c r="AJ44" s="6" t="s">
        <v>777</v>
      </c>
      <c r="AK44" s="69" t="str">
        <f>MID(E44,5,LEN(E44)-4)</f>
        <v>RLOA2</v>
      </c>
    </row>
    <row r="45" spans="1:37" ht="118.95" customHeight="1" x14ac:dyDescent="0.3">
      <c r="B45" s="1">
        <f>MAX($C$2:$C$128)</f>
        <v>190</v>
      </c>
      <c r="C45" cm="1">
        <f t="array" ref="C45">IFERROR(MAX(--_xlfn.TEXTSPLIT(D45,";")),0)</f>
        <v>33</v>
      </c>
      <c r="D45" t="s">
        <v>1776</v>
      </c>
      <c r="E45" s="1" t="s">
        <v>495</v>
      </c>
      <c r="F45" s="1" t="s">
        <v>809</v>
      </c>
      <c r="G45" s="1">
        <v>2</v>
      </c>
      <c r="H45" s="1" t="s">
        <v>496</v>
      </c>
      <c r="I45" s="1" t="s">
        <v>497</v>
      </c>
      <c r="J45" s="1" t="s">
        <v>64</v>
      </c>
      <c r="K45" s="1" t="s">
        <v>75</v>
      </c>
      <c r="L45" s="1" t="s">
        <v>38</v>
      </c>
      <c r="M45" s="1" t="s">
        <v>39</v>
      </c>
      <c r="N45" s="2" t="s">
        <v>40</v>
      </c>
      <c r="O45" s="3">
        <v>441300</v>
      </c>
      <c r="P45" s="3" t="s">
        <v>41</v>
      </c>
      <c r="Q45" s="1" t="s">
        <v>498</v>
      </c>
      <c r="R45" s="1" t="s">
        <v>43</v>
      </c>
      <c r="S45" s="3" t="s">
        <v>123</v>
      </c>
      <c r="T45" s="3" t="s">
        <v>152</v>
      </c>
      <c r="U45" s="2">
        <v>39208</v>
      </c>
      <c r="V45" s="2">
        <v>39350</v>
      </c>
      <c r="W45" s="2">
        <v>39373</v>
      </c>
      <c r="X45" s="2">
        <v>39393</v>
      </c>
      <c r="Y45" s="2">
        <v>39475</v>
      </c>
      <c r="Z45" s="3" t="s">
        <v>499</v>
      </c>
      <c r="AA45" s="3" t="s">
        <v>500</v>
      </c>
      <c r="AB45" s="3" t="s">
        <v>501</v>
      </c>
      <c r="AC45" s="2">
        <v>39475</v>
      </c>
      <c r="AD45" s="2">
        <v>41759</v>
      </c>
      <c r="AE45" s="2" t="s">
        <v>106</v>
      </c>
      <c r="AF45" s="2" t="s">
        <v>50</v>
      </c>
      <c r="AG45" s="2">
        <v>40260</v>
      </c>
      <c r="AH45" s="2">
        <v>40492</v>
      </c>
      <c r="AI45" s="5">
        <v>594173.75</v>
      </c>
      <c r="AJ45" s="6">
        <v>1</v>
      </c>
      <c r="AK45" s="69" t="str">
        <f>MID(E45,5,LEN(E45)-4)</f>
        <v>ATEP2</v>
      </c>
    </row>
    <row r="46" spans="1:37" ht="168.6" customHeight="1" x14ac:dyDescent="0.3">
      <c r="B46" s="1">
        <f>MAX($C$2:$C$128)</f>
        <v>190</v>
      </c>
      <c r="C46" cm="1">
        <f t="array" ref="C46">IFERROR(MAX(--_xlfn.TEXTSPLIT(D46,";")),0)</f>
        <v>33</v>
      </c>
      <c r="D46" t="s">
        <v>1776</v>
      </c>
      <c r="E46" s="1" t="s">
        <v>681</v>
      </c>
      <c r="F46" s="1" t="s">
        <v>809</v>
      </c>
      <c r="G46" s="1">
        <v>3</v>
      </c>
      <c r="H46" s="1" t="s">
        <v>682</v>
      </c>
      <c r="I46" s="1" t="s">
        <v>683</v>
      </c>
      <c r="J46" s="1" t="s">
        <v>64</v>
      </c>
      <c r="K46" s="1" t="s">
        <v>75</v>
      </c>
      <c r="L46" s="1" t="s">
        <v>38</v>
      </c>
      <c r="M46" s="1" t="s">
        <v>39</v>
      </c>
      <c r="N46" s="2" t="s">
        <v>40</v>
      </c>
      <c r="O46" s="3">
        <v>92000</v>
      </c>
      <c r="P46" s="3" t="s">
        <v>41</v>
      </c>
      <c r="Q46" s="1" t="s">
        <v>684</v>
      </c>
      <c r="R46" s="1" t="s">
        <v>43</v>
      </c>
      <c r="S46" s="3" t="s">
        <v>123</v>
      </c>
      <c r="T46" s="3" t="s">
        <v>639</v>
      </c>
      <c r="U46" s="2">
        <v>41516</v>
      </c>
      <c r="V46" s="2">
        <v>41613</v>
      </c>
      <c r="W46" s="2">
        <v>41635</v>
      </c>
      <c r="X46" s="2">
        <v>41681</v>
      </c>
      <c r="Y46" s="2">
        <v>41726</v>
      </c>
      <c r="Z46" s="3" t="s">
        <v>685</v>
      </c>
      <c r="AA46" s="3" t="s">
        <v>686</v>
      </c>
      <c r="AB46" s="3" t="s">
        <v>687</v>
      </c>
      <c r="AC46" s="2">
        <v>41726</v>
      </c>
      <c r="AD46" s="2">
        <v>43220</v>
      </c>
      <c r="AE46" s="2" t="s">
        <v>49</v>
      </c>
      <c r="AF46" s="2">
        <v>41928</v>
      </c>
      <c r="AG46" s="2">
        <v>42415</v>
      </c>
      <c r="AH46" s="2">
        <v>41942</v>
      </c>
      <c r="AI46" s="5">
        <v>99685.88</v>
      </c>
      <c r="AJ46" s="6">
        <v>1</v>
      </c>
      <c r="AK46" s="69" t="str">
        <f>MID(E46,5,LEN(E46)-4)</f>
        <v>ATEP3</v>
      </c>
    </row>
    <row r="47" spans="1:37" ht="118.95" customHeight="1" x14ac:dyDescent="0.3">
      <c r="B47" s="1">
        <f>MAX($C$2:$C$128)</f>
        <v>190</v>
      </c>
      <c r="C47" cm="1">
        <f t="array" ref="C47">IFERROR(MAX(--_xlfn.TEXTSPLIT(D47,";")),0)</f>
        <v>33</v>
      </c>
      <c r="D47" t="s">
        <v>1776</v>
      </c>
      <c r="E47" s="1" t="s">
        <v>808</v>
      </c>
      <c r="F47" s="1" t="s">
        <v>809</v>
      </c>
      <c r="G47" s="1">
        <v>4</v>
      </c>
      <c r="H47" s="1" t="s">
        <v>810</v>
      </c>
      <c r="I47" s="1" t="s">
        <v>811</v>
      </c>
      <c r="J47" s="1" t="s">
        <v>64</v>
      </c>
      <c r="K47" s="1" t="s">
        <v>75</v>
      </c>
      <c r="L47" s="1" t="s">
        <v>38</v>
      </c>
      <c r="M47" s="1" t="s">
        <v>39</v>
      </c>
      <c r="N47" s="2" t="s">
        <v>40</v>
      </c>
      <c r="O47" s="3">
        <v>810000</v>
      </c>
      <c r="P47" s="3" t="s">
        <v>41</v>
      </c>
      <c r="Q47" s="1" t="s">
        <v>812</v>
      </c>
      <c r="R47" s="1" t="s">
        <v>133</v>
      </c>
      <c r="S47" s="3" t="s">
        <v>44</v>
      </c>
      <c r="T47" s="3" t="s">
        <v>114</v>
      </c>
      <c r="U47" s="2">
        <v>43033</v>
      </c>
      <c r="V47" s="2">
        <v>43126</v>
      </c>
      <c r="W47" s="2">
        <v>43146</v>
      </c>
      <c r="X47" s="2">
        <v>43160</v>
      </c>
      <c r="Y47" s="2">
        <v>43193</v>
      </c>
      <c r="Z47" s="3" t="s">
        <v>813</v>
      </c>
      <c r="AA47" s="3" t="s">
        <v>814</v>
      </c>
      <c r="AB47" s="3" t="s">
        <v>815</v>
      </c>
      <c r="AC47" s="2">
        <v>43221</v>
      </c>
      <c r="AD47" s="2">
        <v>46327</v>
      </c>
      <c r="AE47" s="2" t="s">
        <v>49</v>
      </c>
      <c r="AF47" s="2">
        <v>44421</v>
      </c>
      <c r="AG47" s="2">
        <v>44848</v>
      </c>
      <c r="AH47" s="2">
        <v>45521</v>
      </c>
      <c r="AI47" s="8">
        <v>1306596.7</v>
      </c>
      <c r="AJ47" s="6">
        <v>1</v>
      </c>
      <c r="AK47" s="69" t="str">
        <f>MID(E47,5,LEN(E47)-4)</f>
        <v>ATEP4</v>
      </c>
    </row>
    <row r="48" spans="1:37" ht="118.95" customHeight="1" x14ac:dyDescent="0.3">
      <c r="B48" s="1">
        <f>MAX($C$2:$C$128)</f>
        <v>190</v>
      </c>
      <c r="C48" cm="1">
        <f t="array" ref="C48">IFERROR(MAX(--_xlfn.TEXTSPLIT(D48,";")),0)</f>
        <v>129</v>
      </c>
      <c r="D48" t="s">
        <v>1826</v>
      </c>
      <c r="E48" s="1" t="s">
        <v>839</v>
      </c>
      <c r="F48" s="1" t="s">
        <v>1877</v>
      </c>
      <c r="G48" s="1">
        <v>1</v>
      </c>
      <c r="H48" s="1" t="s">
        <v>840</v>
      </c>
      <c r="I48" s="1" t="s">
        <v>841</v>
      </c>
      <c r="J48" s="1" t="s">
        <v>64</v>
      </c>
      <c r="K48" s="1" t="s">
        <v>842</v>
      </c>
      <c r="L48" s="1" t="s">
        <v>38</v>
      </c>
      <c r="M48" s="1" t="s">
        <v>39</v>
      </c>
      <c r="N48" s="2" t="s">
        <v>40</v>
      </c>
      <c r="O48" s="3">
        <v>3965000</v>
      </c>
      <c r="P48" s="3" t="s">
        <v>41</v>
      </c>
      <c r="Q48" s="1" t="s">
        <v>843</v>
      </c>
      <c r="R48" s="1" t="s">
        <v>662</v>
      </c>
      <c r="S48" s="3" t="s">
        <v>44</v>
      </c>
      <c r="T48" s="3" t="s">
        <v>152</v>
      </c>
      <c r="U48" s="2">
        <v>43694</v>
      </c>
      <c r="V48" s="2">
        <v>44155</v>
      </c>
      <c r="W48" s="2">
        <v>44187</v>
      </c>
      <c r="X48" s="2">
        <v>44218</v>
      </c>
      <c r="Y48" s="2">
        <v>44277</v>
      </c>
      <c r="Z48" s="3" t="s">
        <v>844</v>
      </c>
      <c r="AA48" s="3" t="s">
        <v>845</v>
      </c>
      <c r="AB48" s="3" t="s">
        <v>846</v>
      </c>
      <c r="AC48" s="2">
        <v>44277</v>
      </c>
      <c r="AD48" s="2">
        <v>55965</v>
      </c>
      <c r="AE48" s="2" t="s">
        <v>106</v>
      </c>
      <c r="AF48" s="2">
        <v>45072</v>
      </c>
      <c r="AG48" s="2" t="s">
        <v>697</v>
      </c>
      <c r="AH48" s="2" t="s">
        <v>697</v>
      </c>
      <c r="AI48" s="5">
        <v>3965000</v>
      </c>
      <c r="AJ48" s="6" t="s">
        <v>847</v>
      </c>
      <c r="AK48" s="69" t="str">
        <f>MID(E48,5,LEN(E48)-4)</f>
        <v>RAUS1</v>
      </c>
    </row>
    <row r="49" spans="2:37" ht="118.95" customHeight="1" x14ac:dyDescent="0.3">
      <c r="B49" s="1">
        <f>MAX($C$2:$C$128)</f>
        <v>190</v>
      </c>
      <c r="C49" cm="1">
        <f t="array" ref="C49">IFERROR(MAX(--_xlfn.TEXTSPLIT(D49,";")),0)</f>
        <v>34</v>
      </c>
      <c r="D49" t="s">
        <v>1778</v>
      </c>
      <c r="E49" s="1" t="s">
        <v>287</v>
      </c>
      <c r="F49" s="1" t="s">
        <v>288</v>
      </c>
      <c r="G49" s="1">
        <v>1</v>
      </c>
      <c r="H49" s="1" t="s">
        <v>289</v>
      </c>
      <c r="I49" s="1" t="s">
        <v>290</v>
      </c>
      <c r="J49" s="1" t="s">
        <v>111</v>
      </c>
      <c r="K49" s="1" t="s">
        <v>112</v>
      </c>
      <c r="L49" s="1" t="s">
        <v>38</v>
      </c>
      <c r="M49" s="1" t="s">
        <v>66</v>
      </c>
      <c r="N49" s="2" t="s">
        <v>40</v>
      </c>
      <c r="O49" s="3">
        <v>10350000</v>
      </c>
      <c r="P49" s="3" t="s">
        <v>41</v>
      </c>
      <c r="Q49" s="10" t="s">
        <v>291</v>
      </c>
      <c r="R49" s="1" t="s">
        <v>133</v>
      </c>
      <c r="S49" s="3" t="s">
        <v>123</v>
      </c>
      <c r="T49" s="3" t="s">
        <v>292</v>
      </c>
      <c r="U49" s="2">
        <v>36781</v>
      </c>
      <c r="V49" s="2">
        <v>37070</v>
      </c>
      <c r="W49" s="2">
        <v>37096</v>
      </c>
      <c r="X49" s="2">
        <v>37123</v>
      </c>
      <c r="Y49" s="2">
        <v>37170</v>
      </c>
      <c r="Z49" s="3" t="s">
        <v>293</v>
      </c>
      <c r="AA49" s="3" t="s">
        <v>294</v>
      </c>
      <c r="AB49" s="3" t="s">
        <v>295</v>
      </c>
      <c r="AC49" s="2">
        <v>37596</v>
      </c>
      <c r="AD49" s="2">
        <v>48553</v>
      </c>
      <c r="AE49" s="2" t="s">
        <v>106</v>
      </c>
      <c r="AF49" s="2" t="s">
        <v>50</v>
      </c>
      <c r="AG49" s="2">
        <v>38834</v>
      </c>
      <c r="AH49" s="2">
        <v>38959</v>
      </c>
      <c r="AI49" s="8">
        <v>21176669.43</v>
      </c>
      <c r="AJ49" s="6">
        <v>1</v>
      </c>
      <c r="AK49" s="69" t="str">
        <f>MID(E49,5,LEN(E49)-4)</f>
        <v>AVES1</v>
      </c>
    </row>
    <row r="50" spans="2:37" ht="118.95" customHeight="1" x14ac:dyDescent="0.3">
      <c r="B50" s="1">
        <f>MAX($C$2:$C$128)</f>
        <v>190</v>
      </c>
      <c r="C50" cm="1">
        <f t="array" ref="C50">IFERROR(MAX(--_xlfn.TEXTSPLIT(D50,";")),0)</f>
        <v>35</v>
      </c>
      <c r="D50" t="s">
        <v>1779</v>
      </c>
      <c r="E50" s="1" t="s">
        <v>316</v>
      </c>
      <c r="F50" s="1" t="s">
        <v>317</v>
      </c>
      <c r="G50" s="1">
        <v>1</v>
      </c>
      <c r="H50" s="1" t="s">
        <v>318</v>
      </c>
      <c r="I50" s="1" t="s">
        <v>319</v>
      </c>
      <c r="J50" s="1" t="s">
        <v>111</v>
      </c>
      <c r="K50" s="1" t="s">
        <v>112</v>
      </c>
      <c r="L50" s="1" t="s">
        <v>38</v>
      </c>
      <c r="M50" s="1" t="s">
        <v>66</v>
      </c>
      <c r="N50" s="2" t="s">
        <v>40</v>
      </c>
      <c r="O50" s="3">
        <v>10100000</v>
      </c>
      <c r="P50" s="3" t="s">
        <v>41</v>
      </c>
      <c r="Q50" s="1" t="s">
        <v>320</v>
      </c>
      <c r="R50" s="1" t="s">
        <v>133</v>
      </c>
      <c r="S50" s="3" t="s">
        <v>123</v>
      </c>
      <c r="T50" s="3" t="s">
        <v>275</v>
      </c>
      <c r="U50" s="2">
        <v>37077</v>
      </c>
      <c r="V50" s="2">
        <v>37224</v>
      </c>
      <c r="W50" s="2">
        <v>37246</v>
      </c>
      <c r="X50" s="2">
        <v>37320</v>
      </c>
      <c r="Y50" s="2">
        <v>37399</v>
      </c>
      <c r="Z50" s="3" t="s">
        <v>321</v>
      </c>
      <c r="AA50" s="3" t="s">
        <v>322</v>
      </c>
      <c r="AB50" s="3" t="s">
        <v>323</v>
      </c>
      <c r="AC50" s="2">
        <v>37734</v>
      </c>
      <c r="AD50" s="2">
        <v>48692</v>
      </c>
      <c r="AE50" s="2" t="s">
        <v>106</v>
      </c>
      <c r="AF50" s="2" t="s">
        <v>50</v>
      </c>
      <c r="AG50" s="2">
        <v>38721</v>
      </c>
      <c r="AH50" s="2">
        <v>42604</v>
      </c>
      <c r="AI50" s="8">
        <v>21794859.77</v>
      </c>
      <c r="AJ50" s="6">
        <v>1</v>
      </c>
      <c r="AK50" s="69" t="str">
        <f>MID(E50,5,LEN(E50)-4)</f>
        <v>AVNP1</v>
      </c>
    </row>
    <row r="51" spans="2:37" ht="118.95" customHeight="1" x14ac:dyDescent="0.3">
      <c r="B51" s="1">
        <f>MAX($C$2:$C$128)</f>
        <v>190</v>
      </c>
      <c r="C51" cm="1">
        <f t="array" ref="C51">IFERROR(MAX(--_xlfn.TEXTSPLIT(D51,";")),0)</f>
        <v>36</v>
      </c>
      <c r="D51" t="s">
        <v>1780</v>
      </c>
      <c r="E51" s="1" t="s">
        <v>51</v>
      </c>
      <c r="F51" s="57" t="s">
        <v>52</v>
      </c>
      <c r="G51" s="1">
        <v>1</v>
      </c>
      <c r="H51" s="1" t="s">
        <v>53</v>
      </c>
      <c r="I51" s="1" t="s">
        <v>54</v>
      </c>
      <c r="J51" s="1" t="s">
        <v>36</v>
      </c>
      <c r="K51" s="1" t="s">
        <v>55</v>
      </c>
      <c r="L51" s="1" t="s">
        <v>38</v>
      </c>
      <c r="M51" s="1" t="s">
        <v>39</v>
      </c>
      <c r="N51" s="2" t="s">
        <v>40</v>
      </c>
      <c r="O51" s="3">
        <v>600000</v>
      </c>
      <c r="P51" s="3" t="s">
        <v>41</v>
      </c>
      <c r="Q51" s="4" t="s">
        <v>56</v>
      </c>
      <c r="R51" s="1" t="s">
        <v>43</v>
      </c>
      <c r="S51" s="3" t="s">
        <v>44</v>
      </c>
      <c r="T51" s="3" t="s">
        <v>57</v>
      </c>
      <c r="U51" s="2">
        <v>34122</v>
      </c>
      <c r="V51" s="2">
        <v>34415</v>
      </c>
      <c r="W51" s="2">
        <v>34445</v>
      </c>
      <c r="X51" s="2">
        <v>34453</v>
      </c>
      <c r="Y51" s="2">
        <v>34519</v>
      </c>
      <c r="Z51" s="3" t="s">
        <v>58</v>
      </c>
      <c r="AA51" s="3" t="s">
        <v>59</v>
      </c>
      <c r="AB51" s="3" t="s">
        <v>60</v>
      </c>
      <c r="AC51" s="2">
        <v>34509</v>
      </c>
      <c r="AD51" s="2">
        <v>41274</v>
      </c>
      <c r="AE51" s="2" t="s">
        <v>49</v>
      </c>
      <c r="AF51" s="2" t="s">
        <v>50</v>
      </c>
      <c r="AG51" s="2">
        <v>35391</v>
      </c>
      <c r="AH51" s="2">
        <v>35248</v>
      </c>
      <c r="AI51" s="5">
        <v>1090333.0000000002</v>
      </c>
      <c r="AJ51" s="6">
        <v>1</v>
      </c>
      <c r="AK51" s="69" t="str">
        <f>MID(E51,5,LEN(E51)-4)</f>
        <v>CDMA1</v>
      </c>
    </row>
    <row r="52" spans="2:37" ht="118.95" customHeight="1" x14ac:dyDescent="0.3">
      <c r="B52" s="1">
        <f>MAX($C$2:$C$128)</f>
        <v>190</v>
      </c>
      <c r="C52" cm="1">
        <f t="array" ref="C52">IFERROR(MAX(--_xlfn.TEXTSPLIT(D52,";")),0)</f>
        <v>37</v>
      </c>
      <c r="D52" t="s">
        <v>1781</v>
      </c>
      <c r="E52" s="1" t="s">
        <v>156</v>
      </c>
      <c r="F52" s="1" t="s">
        <v>1855</v>
      </c>
      <c r="G52" s="1">
        <v>1</v>
      </c>
      <c r="H52" s="1" t="s">
        <v>157</v>
      </c>
      <c r="I52" s="1" t="s">
        <v>158</v>
      </c>
      <c r="J52" s="1" t="s">
        <v>36</v>
      </c>
      <c r="K52" s="1" t="s">
        <v>159</v>
      </c>
      <c r="L52" s="1" t="s">
        <v>38</v>
      </c>
      <c r="M52" s="1" t="s">
        <v>39</v>
      </c>
      <c r="N52" s="2" t="s">
        <v>40</v>
      </c>
      <c r="O52" s="3">
        <v>6640000</v>
      </c>
      <c r="P52" s="3" t="s">
        <v>41</v>
      </c>
      <c r="Q52" s="1" t="s">
        <v>160</v>
      </c>
      <c r="R52" s="1" t="s">
        <v>43</v>
      </c>
      <c r="S52" s="3" t="s">
        <v>123</v>
      </c>
      <c r="T52" s="3" t="s">
        <v>124</v>
      </c>
      <c r="U52" s="2">
        <v>35370</v>
      </c>
      <c r="V52" s="2">
        <v>35493</v>
      </c>
      <c r="W52" s="2">
        <v>35506</v>
      </c>
      <c r="X52" s="2">
        <v>35611</v>
      </c>
      <c r="Y52" s="2">
        <v>35717</v>
      </c>
      <c r="Z52" s="3" t="s">
        <v>161</v>
      </c>
      <c r="AA52" s="3" t="s">
        <v>162</v>
      </c>
      <c r="AB52" s="3" t="s">
        <v>163</v>
      </c>
      <c r="AC52" s="2">
        <v>35956</v>
      </c>
      <c r="AD52" s="2">
        <v>44971</v>
      </c>
      <c r="AE52" s="2" t="s">
        <v>49</v>
      </c>
      <c r="AF52" s="2" t="s">
        <v>50</v>
      </c>
      <c r="AG52" s="2">
        <v>37452</v>
      </c>
      <c r="AH52" s="2">
        <v>37812</v>
      </c>
      <c r="AI52" s="5">
        <v>9603667.0933703333</v>
      </c>
      <c r="AJ52" s="6">
        <v>1</v>
      </c>
      <c r="AK52" s="69" t="str">
        <f>MID(E52,5,LEN(E52)-4)</f>
        <v>CHCO1</v>
      </c>
    </row>
    <row r="53" spans="2:37" ht="242.4" customHeight="1" x14ac:dyDescent="0.3">
      <c r="B53" s="1">
        <f>MAX($C$2:$C$128)</f>
        <v>190</v>
      </c>
      <c r="C53" cm="1">
        <f t="array" ref="C53">IFERROR(MAX(--_xlfn.TEXTSPLIT(D53,";")),0)</f>
        <v>126</v>
      </c>
      <c r="D53" t="s">
        <v>1818</v>
      </c>
      <c r="E53" s="71" t="s">
        <v>1745</v>
      </c>
      <c r="F53" s="1" t="s">
        <v>1874</v>
      </c>
      <c r="G53" s="57"/>
      <c r="H53" s="60" t="s">
        <v>1737</v>
      </c>
      <c r="I53" s="1" t="s">
        <v>1990</v>
      </c>
      <c r="J53" s="57" t="s">
        <v>36</v>
      </c>
      <c r="K53" s="1" t="s">
        <v>198</v>
      </c>
      <c r="L53" s="57"/>
      <c r="M53" s="57" t="s">
        <v>39</v>
      </c>
      <c r="N53" s="58"/>
      <c r="O53" s="59"/>
      <c r="P53" s="57"/>
      <c r="Q53" s="57"/>
      <c r="R53" s="57" t="s">
        <v>662</v>
      </c>
      <c r="S53" s="57"/>
      <c r="T53" s="57"/>
      <c r="U53" s="58">
        <v>45835</v>
      </c>
      <c r="V53" s="58">
        <v>46085</v>
      </c>
      <c r="W53" s="58">
        <v>46113</v>
      </c>
      <c r="X53" s="58"/>
      <c r="Y53" s="58"/>
      <c r="Z53" s="57"/>
      <c r="AA53" s="57" t="s">
        <v>1991</v>
      </c>
      <c r="AB53" s="57"/>
      <c r="AC53" s="58">
        <v>46186</v>
      </c>
      <c r="AD53" s="58"/>
      <c r="AE53" s="57" t="s">
        <v>106</v>
      </c>
      <c r="AF53" s="57"/>
      <c r="AG53" s="57"/>
      <c r="AH53" s="57"/>
      <c r="AI53" s="22"/>
      <c r="AJ53" s="23"/>
      <c r="AK53" s="69" t="str">
        <f>MID(E53,5,LEN(E53)-4)</f>
        <v>RBPM2</v>
      </c>
    </row>
    <row r="54" spans="2:37" ht="118.95" customHeight="1" x14ac:dyDescent="0.3">
      <c r="B54" s="1">
        <f>MAX($C$2:$C$128)</f>
        <v>190</v>
      </c>
      <c r="C54" cm="1">
        <f t="array" ref="C54">IFERROR(MAX(--_xlfn.TEXTSPLIT(D54,";")),0)</f>
        <v>38</v>
      </c>
      <c r="D54" t="s">
        <v>1782</v>
      </c>
      <c r="E54" s="1" t="s">
        <v>98</v>
      </c>
      <c r="F54" s="1" t="s">
        <v>99</v>
      </c>
      <c r="G54" s="1">
        <v>1</v>
      </c>
      <c r="H54" s="1" t="s">
        <v>100</v>
      </c>
      <c r="I54" s="1" t="s">
        <v>101</v>
      </c>
      <c r="J54" s="1" t="s">
        <v>36</v>
      </c>
      <c r="K54" s="1" t="s">
        <v>37</v>
      </c>
      <c r="L54" s="1" t="s">
        <v>38</v>
      </c>
      <c r="M54" s="1" t="s">
        <v>39</v>
      </c>
      <c r="N54" s="2" t="s">
        <v>40</v>
      </c>
      <c r="O54" s="3">
        <v>298000</v>
      </c>
      <c r="P54" s="3" t="s">
        <v>41</v>
      </c>
      <c r="Q54" s="4" t="s">
        <v>102</v>
      </c>
      <c r="R54" s="1" t="s">
        <v>43</v>
      </c>
      <c r="S54" s="3" t="s">
        <v>44</v>
      </c>
      <c r="T54" s="3" t="s">
        <v>85</v>
      </c>
      <c r="U54" s="2">
        <v>34758</v>
      </c>
      <c r="V54" s="2">
        <v>34851</v>
      </c>
      <c r="W54" s="2">
        <v>34884</v>
      </c>
      <c r="X54" s="2">
        <v>34908</v>
      </c>
      <c r="Y54" s="2">
        <v>35006</v>
      </c>
      <c r="Z54" s="3" t="s">
        <v>103</v>
      </c>
      <c r="AA54" s="3" t="s">
        <v>104</v>
      </c>
      <c r="AB54" s="59" t="s">
        <v>105</v>
      </c>
      <c r="AC54" s="2">
        <v>35011</v>
      </c>
      <c r="AD54" s="2">
        <v>42613</v>
      </c>
      <c r="AE54" s="2" t="s">
        <v>106</v>
      </c>
      <c r="AF54" s="2" t="s">
        <v>50</v>
      </c>
      <c r="AG54" s="2">
        <v>35504</v>
      </c>
      <c r="AH54" s="2">
        <v>35732</v>
      </c>
      <c r="AI54" s="5">
        <v>430872.77</v>
      </c>
      <c r="AJ54" s="6">
        <v>1</v>
      </c>
      <c r="AK54" s="69" t="str">
        <f>MID(E54,5,LEN(E54)-4)</f>
        <v>CNPU1</v>
      </c>
    </row>
    <row r="55" spans="2:37" ht="118.95" customHeight="1" x14ac:dyDescent="0.3">
      <c r="B55" s="1">
        <f>MAX($C$2:$C$128)</f>
        <v>190</v>
      </c>
      <c r="C55" cm="1">
        <f t="array" ref="C55">IFERROR(MAX(--_xlfn.TEXTSPLIT(D55,";")),0)</f>
        <v>42</v>
      </c>
      <c r="D55" t="s">
        <v>1783</v>
      </c>
      <c r="E55" s="1" t="s">
        <v>666</v>
      </c>
      <c r="F55" s="1" t="s">
        <v>667</v>
      </c>
      <c r="G55" s="1">
        <v>1</v>
      </c>
      <c r="H55" s="1" t="s">
        <v>668</v>
      </c>
      <c r="I55" s="1" t="s">
        <v>669</v>
      </c>
      <c r="J55" s="1" t="s">
        <v>385</v>
      </c>
      <c r="K55" s="1" t="s">
        <v>37</v>
      </c>
      <c r="L55" s="1" t="s">
        <v>38</v>
      </c>
      <c r="M55" s="1" t="s">
        <v>39</v>
      </c>
      <c r="N55" s="2" t="s">
        <v>40</v>
      </c>
      <c r="O55" s="3">
        <v>1924500</v>
      </c>
      <c r="P55" s="3" t="s">
        <v>41</v>
      </c>
      <c r="Q55" s="1" t="s">
        <v>670</v>
      </c>
      <c r="R55" s="1" t="s">
        <v>133</v>
      </c>
      <c r="S55" s="3" t="s">
        <v>44</v>
      </c>
      <c r="T55" s="3" t="s">
        <v>301</v>
      </c>
      <c r="U55" s="2">
        <v>41274</v>
      </c>
      <c r="V55" s="2">
        <v>41969</v>
      </c>
      <c r="W55" s="2">
        <v>41992</v>
      </c>
      <c r="X55" s="2">
        <v>42082</v>
      </c>
      <c r="Y55" s="2">
        <v>42142</v>
      </c>
      <c r="Z55" s="3" t="s">
        <v>671</v>
      </c>
      <c r="AA55" s="3" t="s">
        <v>672</v>
      </c>
      <c r="AB55" s="3" t="s">
        <v>673</v>
      </c>
      <c r="AC55" s="2">
        <v>42142</v>
      </c>
      <c r="AD55" s="2">
        <v>47804</v>
      </c>
      <c r="AE55" s="2" t="s">
        <v>49</v>
      </c>
      <c r="AF55" s="2">
        <v>42748</v>
      </c>
      <c r="AG55" s="2">
        <v>43669</v>
      </c>
      <c r="AH55" s="2">
        <v>43793</v>
      </c>
      <c r="AI55" s="8">
        <v>2032422.63</v>
      </c>
      <c r="AJ55" s="6">
        <v>1</v>
      </c>
      <c r="AK55" s="69" t="str">
        <f>MID(E55,5,LEN(E55)-4)</f>
        <v>CFLL1</v>
      </c>
    </row>
    <row r="56" spans="2:37" ht="118.95" customHeight="1" x14ac:dyDescent="0.3">
      <c r="B56" s="1">
        <f>MAX($C$2:$C$128)</f>
        <v>190</v>
      </c>
      <c r="C56" cm="1">
        <f t="array" ref="C56">IFERROR(MAX(--_xlfn.TEXTSPLIT(D56,";")),0)</f>
        <v>124</v>
      </c>
      <c r="D56" t="s">
        <v>1816</v>
      </c>
      <c r="E56" s="44" t="s">
        <v>1007</v>
      </c>
      <c r="F56" s="45" t="s">
        <v>1008</v>
      </c>
      <c r="G56" s="1">
        <v>2</v>
      </c>
      <c r="H56" s="44" t="s">
        <v>1009</v>
      </c>
      <c r="I56" s="1" t="s">
        <v>1010</v>
      </c>
      <c r="J56" s="1" t="s">
        <v>64</v>
      </c>
      <c r="K56" s="1" t="s">
        <v>1011</v>
      </c>
      <c r="L56" s="1" t="s">
        <v>38</v>
      </c>
      <c r="M56" s="1" t="s">
        <v>39</v>
      </c>
      <c r="N56" s="2"/>
      <c r="O56" s="3">
        <v>3070000</v>
      </c>
      <c r="P56" s="1" t="s">
        <v>41</v>
      </c>
      <c r="Q56" s="1" t="s">
        <v>1012</v>
      </c>
      <c r="R56" s="1" t="s">
        <v>662</v>
      </c>
      <c r="S56" s="1" t="s">
        <v>44</v>
      </c>
      <c r="T56" s="1" t="s">
        <v>1013</v>
      </c>
      <c r="U56" s="2">
        <v>45233</v>
      </c>
      <c r="V56" s="2">
        <v>45252</v>
      </c>
      <c r="W56" s="2">
        <v>45646</v>
      </c>
      <c r="X56" s="2">
        <v>45737</v>
      </c>
      <c r="Y56" s="2">
        <v>45888</v>
      </c>
      <c r="Z56" s="1" t="s">
        <v>1014</v>
      </c>
      <c r="AA56" s="1" t="s">
        <v>1015</v>
      </c>
      <c r="AB56" s="1" t="s">
        <v>1016</v>
      </c>
      <c r="AC56" s="2">
        <v>45888</v>
      </c>
      <c r="AD56" s="2">
        <v>55384</v>
      </c>
      <c r="AE56" s="1" t="s">
        <v>106</v>
      </c>
      <c r="AF56" s="1" t="s">
        <v>855</v>
      </c>
      <c r="AG56" s="1" t="s">
        <v>697</v>
      </c>
      <c r="AH56" s="1" t="s">
        <v>697</v>
      </c>
      <c r="AI56" s="47">
        <v>3070000</v>
      </c>
      <c r="AJ56" s="23">
        <v>0</v>
      </c>
      <c r="AK56" s="69" t="str">
        <f>MID(E56,5,LEN(E56)-4)</f>
        <v>NARA2</v>
      </c>
    </row>
    <row r="57" spans="2:37" ht="118.95" customHeight="1" x14ac:dyDescent="0.3">
      <c r="B57" s="1">
        <f>MAX($C$2:$C$128)</f>
        <v>190</v>
      </c>
      <c r="C57" cm="1">
        <f t="array" ref="C57">IFERROR(MAX(--_xlfn.TEXTSPLIT(D57,";")),0)</f>
        <v>43</v>
      </c>
      <c r="D57" t="s">
        <v>1785</v>
      </c>
      <c r="E57" s="1" t="s">
        <v>600</v>
      </c>
      <c r="F57" s="1" t="s">
        <v>1856</v>
      </c>
      <c r="G57" s="1">
        <v>1</v>
      </c>
      <c r="H57" s="1" t="s">
        <v>601</v>
      </c>
      <c r="I57" s="1" t="s">
        <v>602</v>
      </c>
      <c r="J57" s="1" t="s">
        <v>36</v>
      </c>
      <c r="K57" s="1" t="s">
        <v>83</v>
      </c>
      <c r="L57" s="1" t="s">
        <v>38</v>
      </c>
      <c r="M57" s="1" t="s">
        <v>66</v>
      </c>
      <c r="N57" s="2">
        <v>38646</v>
      </c>
      <c r="O57" s="3">
        <v>8400000</v>
      </c>
      <c r="P57" s="3" t="s">
        <v>41</v>
      </c>
      <c r="Q57" s="1" t="s">
        <v>603</v>
      </c>
      <c r="R57" s="1" t="s">
        <v>133</v>
      </c>
      <c r="S57" s="3" t="s">
        <v>44</v>
      </c>
      <c r="T57" s="3" t="s">
        <v>484</v>
      </c>
      <c r="U57" s="2">
        <v>40186</v>
      </c>
      <c r="V57" s="2">
        <v>40539</v>
      </c>
      <c r="W57" s="2">
        <v>40560</v>
      </c>
      <c r="X57" s="2">
        <v>40701</v>
      </c>
      <c r="Y57" s="2">
        <v>40789</v>
      </c>
      <c r="Z57" s="3" t="s">
        <v>604</v>
      </c>
      <c r="AA57" s="3" t="s">
        <v>605</v>
      </c>
      <c r="AB57" s="3" t="s">
        <v>606</v>
      </c>
      <c r="AC57" s="2">
        <v>40789</v>
      </c>
      <c r="AD57" s="2">
        <v>54241</v>
      </c>
      <c r="AE57" s="2" t="s">
        <v>106</v>
      </c>
      <c r="AF57" s="2">
        <v>41086</v>
      </c>
      <c r="AG57" s="2">
        <v>42600</v>
      </c>
      <c r="AH57" s="2">
        <v>43320</v>
      </c>
      <c r="AI57" s="66">
        <v>9125338.2400000002</v>
      </c>
      <c r="AJ57" s="6">
        <v>1</v>
      </c>
      <c r="AK57" s="70" t="str">
        <f>MID(E57,5,LEN(E57)-4)</f>
        <v>COCA1</v>
      </c>
    </row>
    <row r="58" spans="2:37" ht="118.95" customHeight="1" x14ac:dyDescent="0.3">
      <c r="B58" s="1">
        <f>MAX($C$2:$C$128)</f>
        <v>190</v>
      </c>
      <c r="C58" cm="1">
        <f t="array" ref="C58">IFERROR(MAX(--_xlfn.TEXTSPLIT(D58,";")),0)</f>
        <v>44</v>
      </c>
      <c r="D58" t="s">
        <v>1786</v>
      </c>
      <c r="E58" s="1" t="s">
        <v>516</v>
      </c>
      <c r="F58" s="1" t="s">
        <v>517</v>
      </c>
      <c r="G58" s="1">
        <v>1</v>
      </c>
      <c r="H58" s="1" t="s">
        <v>518</v>
      </c>
      <c r="I58" s="1" t="s">
        <v>519</v>
      </c>
      <c r="J58" s="1" t="s">
        <v>385</v>
      </c>
      <c r="K58" s="1" t="s">
        <v>112</v>
      </c>
      <c r="L58" s="1" t="s">
        <v>38</v>
      </c>
      <c r="M58" s="1" t="s">
        <v>66</v>
      </c>
      <c r="N58" s="2">
        <v>37337</v>
      </c>
      <c r="O58" s="3">
        <v>482000</v>
      </c>
      <c r="P58" s="3" t="s">
        <v>41</v>
      </c>
      <c r="Q58" s="4" t="s">
        <v>520</v>
      </c>
      <c r="R58" s="1" t="s">
        <v>133</v>
      </c>
      <c r="S58" s="3" t="s">
        <v>44</v>
      </c>
      <c r="T58" s="3" t="s">
        <v>114</v>
      </c>
      <c r="U58" s="2">
        <v>39451</v>
      </c>
      <c r="V58" s="2">
        <v>40121</v>
      </c>
      <c r="W58" s="2">
        <v>40149</v>
      </c>
      <c r="X58" s="2">
        <v>40224</v>
      </c>
      <c r="Y58" s="2">
        <v>40303</v>
      </c>
      <c r="Z58" s="3" t="s">
        <v>521</v>
      </c>
      <c r="AA58" s="3" t="s">
        <v>522</v>
      </c>
      <c r="AB58" s="3" t="s">
        <v>523</v>
      </c>
      <c r="AC58" s="2">
        <v>40303</v>
      </c>
      <c r="AD58" s="2">
        <v>50987</v>
      </c>
      <c r="AE58" s="2" t="s">
        <v>49</v>
      </c>
      <c r="AF58" s="2">
        <v>41281</v>
      </c>
      <c r="AG58" s="2">
        <v>41856</v>
      </c>
      <c r="AH58" s="2">
        <v>42034</v>
      </c>
      <c r="AI58" s="8">
        <v>449094</v>
      </c>
      <c r="AJ58" s="6">
        <v>1</v>
      </c>
      <c r="AK58" s="69" t="str">
        <f>MID(E58,5,LEN(E58)-4)</f>
        <v>CMVR1</v>
      </c>
    </row>
    <row r="59" spans="2:37" ht="118.95" customHeight="1" x14ac:dyDescent="0.3">
      <c r="B59" s="1">
        <f>MAX($C$2:$C$128)</f>
        <v>190</v>
      </c>
      <c r="C59" cm="1">
        <f t="array" ref="C59">IFERROR(MAX(--_xlfn.TEXTSPLIT(D59,";")),0)</f>
        <v>45</v>
      </c>
      <c r="D59" t="s">
        <v>1787</v>
      </c>
      <c r="E59" s="1" t="s">
        <v>213</v>
      </c>
      <c r="F59" s="1" t="s">
        <v>1857</v>
      </c>
      <c r="G59" s="1">
        <v>1</v>
      </c>
      <c r="H59" s="1" t="s">
        <v>214</v>
      </c>
      <c r="I59" s="1" t="s">
        <v>215</v>
      </c>
      <c r="J59" s="1" t="s">
        <v>36</v>
      </c>
      <c r="K59" s="1" t="s">
        <v>216</v>
      </c>
      <c r="L59" s="1" t="s">
        <v>38</v>
      </c>
      <c r="M59" s="1" t="s">
        <v>39</v>
      </c>
      <c r="N59" s="2" t="s">
        <v>40</v>
      </c>
      <c r="O59" s="3">
        <v>7131000</v>
      </c>
      <c r="P59" s="3" t="s">
        <v>41</v>
      </c>
      <c r="Q59" s="1" t="s">
        <v>217</v>
      </c>
      <c r="R59" s="1" t="s">
        <v>133</v>
      </c>
      <c r="S59" s="3" t="s">
        <v>123</v>
      </c>
      <c r="T59" s="3" t="s">
        <v>200</v>
      </c>
      <c r="U59" s="2">
        <v>35707</v>
      </c>
      <c r="V59" s="2">
        <v>35748</v>
      </c>
      <c r="W59" s="2">
        <v>35769</v>
      </c>
      <c r="X59" s="2">
        <v>35905</v>
      </c>
      <c r="Y59" s="2">
        <v>35984</v>
      </c>
      <c r="Z59" s="3" t="s">
        <v>218</v>
      </c>
      <c r="AA59" s="3" t="s">
        <v>219</v>
      </c>
      <c r="AB59" s="3" t="s">
        <v>220</v>
      </c>
      <c r="AC59" s="2">
        <v>36236</v>
      </c>
      <c r="AD59" s="2">
        <v>46326</v>
      </c>
      <c r="AE59" s="2" t="s">
        <v>49</v>
      </c>
      <c r="AF59" s="2" t="s">
        <v>50</v>
      </c>
      <c r="AG59" s="2">
        <v>37620</v>
      </c>
      <c r="AH59" s="2">
        <v>37914</v>
      </c>
      <c r="AI59" s="9">
        <v>13949740.699999999</v>
      </c>
      <c r="AJ59" s="6">
        <v>1</v>
      </c>
      <c r="AK59" s="69" t="str">
        <f>MID(E59,5,LEN(E59)-4)</f>
        <v>COTE1</v>
      </c>
    </row>
    <row r="60" spans="2:37" ht="118.95" customHeight="1" x14ac:dyDescent="0.3">
      <c r="B60" s="1">
        <f>MAX($C$2:$C$128)</f>
        <v>190</v>
      </c>
      <c r="C60" cm="1">
        <f t="array" ref="C60">IFERROR(MAX(--_xlfn.TEXTSPLIT(D60,";")),0)</f>
        <v>48</v>
      </c>
      <c r="D60" t="s">
        <v>1788</v>
      </c>
      <c r="E60" s="1" t="s">
        <v>147</v>
      </c>
      <c r="F60" s="1" t="s">
        <v>148</v>
      </c>
      <c r="G60" s="1">
        <v>1</v>
      </c>
      <c r="H60" s="1" t="s">
        <v>149</v>
      </c>
      <c r="I60" s="1" t="s">
        <v>150</v>
      </c>
      <c r="J60" s="1" t="s">
        <v>36</v>
      </c>
      <c r="K60" s="1" t="s">
        <v>92</v>
      </c>
      <c r="L60" s="1" t="s">
        <v>38</v>
      </c>
      <c r="M60" s="1" t="s">
        <v>39</v>
      </c>
      <c r="N60" s="2" t="s">
        <v>40</v>
      </c>
      <c r="O60" s="3">
        <v>12090000</v>
      </c>
      <c r="P60" s="3" t="s">
        <v>41</v>
      </c>
      <c r="Q60" s="1" t="s">
        <v>151</v>
      </c>
      <c r="R60" s="1" t="s">
        <v>43</v>
      </c>
      <c r="S60" s="3" t="s">
        <v>123</v>
      </c>
      <c r="T60" s="3" t="s">
        <v>152</v>
      </c>
      <c r="U60" s="2">
        <v>35219</v>
      </c>
      <c r="V60" s="2">
        <v>35828</v>
      </c>
      <c r="W60" s="2">
        <v>35845</v>
      </c>
      <c r="X60" s="2">
        <v>35944</v>
      </c>
      <c r="Y60" s="2">
        <v>36038</v>
      </c>
      <c r="Z60" s="3" t="s">
        <v>153</v>
      </c>
      <c r="AA60" s="3" t="s">
        <v>154</v>
      </c>
      <c r="AB60" s="3" t="s">
        <v>155</v>
      </c>
      <c r="AC60" s="2">
        <v>36382</v>
      </c>
      <c r="AD60" s="2">
        <v>45838</v>
      </c>
      <c r="AE60" s="2" t="s">
        <v>49</v>
      </c>
      <c r="AF60" s="2" t="s">
        <v>50</v>
      </c>
      <c r="AG60" s="2">
        <v>37819</v>
      </c>
      <c r="AH60" s="2">
        <v>38090</v>
      </c>
      <c r="AI60" s="5">
        <v>15427175.559999999</v>
      </c>
      <c r="AJ60" s="6">
        <v>1</v>
      </c>
      <c r="AK60" s="69" t="str">
        <f>MID(E60,5,LEN(E60)-4)</f>
        <v>ISVV1</v>
      </c>
    </row>
    <row r="61" spans="2:37" ht="118.95" customHeight="1" x14ac:dyDescent="0.3">
      <c r="B61" s="1">
        <f>MAX($C$2:$C$128)</f>
        <v>190</v>
      </c>
      <c r="C61" cm="1">
        <f t="array" ref="C61">IFERROR(MAX(--_xlfn.TEXTSPLIT(D61,";")),0)</f>
        <v>123</v>
      </c>
      <c r="D61" t="s">
        <v>1815</v>
      </c>
      <c r="E61" s="20" t="s">
        <v>969</v>
      </c>
      <c r="F61" s="20" t="s">
        <v>970</v>
      </c>
      <c r="G61" s="1">
        <v>1</v>
      </c>
      <c r="H61" s="1" t="s">
        <v>971</v>
      </c>
      <c r="I61" s="1" t="s">
        <v>972</v>
      </c>
      <c r="J61" s="1" t="s">
        <v>111</v>
      </c>
      <c r="K61" s="25" t="s">
        <v>912</v>
      </c>
      <c r="L61" s="1" t="s">
        <v>38</v>
      </c>
      <c r="M61" s="1" t="s">
        <v>66</v>
      </c>
      <c r="N61" s="2">
        <v>42531</v>
      </c>
      <c r="O61" s="26">
        <v>11967720</v>
      </c>
      <c r="P61" s="1" t="s">
        <v>41</v>
      </c>
      <c r="Q61" s="1" t="s">
        <v>973</v>
      </c>
      <c r="R61" s="1" t="s">
        <v>693</v>
      </c>
      <c r="S61" s="3" t="s">
        <v>44</v>
      </c>
      <c r="T61" s="3" t="s">
        <v>152</v>
      </c>
      <c r="U61" s="2">
        <v>44989</v>
      </c>
      <c r="V61" s="2">
        <v>45230</v>
      </c>
      <c r="W61" s="2">
        <v>45260</v>
      </c>
      <c r="X61" s="2">
        <v>45388</v>
      </c>
      <c r="Y61" s="2">
        <v>45447</v>
      </c>
      <c r="Z61" s="3" t="s">
        <v>974</v>
      </c>
      <c r="AA61" s="3" t="s">
        <v>975</v>
      </c>
      <c r="AB61" s="7" t="s">
        <v>976</v>
      </c>
      <c r="AC61" s="2">
        <v>45447</v>
      </c>
      <c r="AD61" s="2">
        <v>62248</v>
      </c>
      <c r="AE61" s="2" t="s">
        <v>106</v>
      </c>
      <c r="AF61" s="1" t="s">
        <v>855</v>
      </c>
      <c r="AG61" s="1" t="s">
        <v>697</v>
      </c>
      <c r="AH61" s="1" t="s">
        <v>697</v>
      </c>
      <c r="AI61" s="64">
        <v>11967720</v>
      </c>
      <c r="AJ61" s="23">
        <v>0</v>
      </c>
      <c r="AK61" s="69" t="str">
        <f>MID(E61,5,LEN(E61)-4)</f>
        <v>ORSS1</v>
      </c>
    </row>
    <row r="62" spans="2:37" ht="118.95" customHeight="1" x14ac:dyDescent="0.3">
      <c r="B62" s="1">
        <f>MAX($C$2:$C$128)</f>
        <v>190</v>
      </c>
      <c r="C62" cm="1">
        <f t="array" ref="C62">IFERROR(MAX(--_xlfn.TEXTSPLIT(D62,";")),0)</f>
        <v>49</v>
      </c>
      <c r="D62" t="s">
        <v>1789</v>
      </c>
      <c r="E62" s="1" t="s">
        <v>172</v>
      </c>
      <c r="F62" s="1" t="s">
        <v>1858</v>
      </c>
      <c r="G62" s="1">
        <v>1</v>
      </c>
      <c r="H62" s="1" t="s">
        <v>173</v>
      </c>
      <c r="I62" s="1" t="s">
        <v>174</v>
      </c>
      <c r="J62" s="1" t="s">
        <v>36</v>
      </c>
      <c r="K62" s="1" t="s">
        <v>175</v>
      </c>
      <c r="L62" s="1" t="s">
        <v>38</v>
      </c>
      <c r="M62" s="1" t="s">
        <v>39</v>
      </c>
      <c r="N62" s="2" t="s">
        <v>40</v>
      </c>
      <c r="O62" s="3">
        <v>7986345</v>
      </c>
      <c r="P62" s="3" t="s">
        <v>41</v>
      </c>
      <c r="Q62" s="1" t="s">
        <v>176</v>
      </c>
      <c r="R62" s="1" t="s">
        <v>43</v>
      </c>
      <c r="S62" s="3" t="s">
        <v>123</v>
      </c>
      <c r="T62" s="3" t="s">
        <v>124</v>
      </c>
      <c r="U62" s="2">
        <v>35379</v>
      </c>
      <c r="V62" s="2">
        <v>35422</v>
      </c>
      <c r="W62" s="2">
        <v>35430</v>
      </c>
      <c r="X62" s="2">
        <v>35481</v>
      </c>
      <c r="Y62" s="2">
        <v>35543</v>
      </c>
      <c r="Z62" s="3" t="s">
        <v>177</v>
      </c>
      <c r="AA62" s="3" t="s">
        <v>178</v>
      </c>
      <c r="AB62" s="3" t="s">
        <v>179</v>
      </c>
      <c r="AC62" s="2">
        <v>35780</v>
      </c>
      <c r="AD62" s="2">
        <v>44910</v>
      </c>
      <c r="AE62" s="2" t="s">
        <v>49</v>
      </c>
      <c r="AF62" s="2" t="s">
        <v>50</v>
      </c>
      <c r="AG62" s="2">
        <v>36818</v>
      </c>
      <c r="AH62" s="2">
        <v>37326</v>
      </c>
      <c r="AI62" s="5">
        <v>8862210.7300000004</v>
      </c>
      <c r="AJ62" s="6">
        <v>1</v>
      </c>
      <c r="AK62" s="69" t="str">
        <f>MID(E62,5,LEN(E62)-4)</f>
        <v>LVLS1</v>
      </c>
    </row>
    <row r="63" spans="2:37" ht="118.95" customHeight="1" x14ac:dyDescent="0.3">
      <c r="B63" s="1">
        <f>MAX($C$2:$C$128)</f>
        <v>190</v>
      </c>
      <c r="C63" cm="1">
        <f t="array" ref="C63">IFERROR(MAX(--_xlfn.TEXTSPLIT(D63,";")),0)</f>
        <v>50</v>
      </c>
      <c r="D63" t="s">
        <v>1790</v>
      </c>
      <c r="E63" s="1" t="s">
        <v>406</v>
      </c>
      <c r="F63" s="1" t="s">
        <v>407</v>
      </c>
      <c r="G63" s="1">
        <v>1</v>
      </c>
      <c r="H63" s="1" t="s">
        <v>408</v>
      </c>
      <c r="I63" s="1" t="s">
        <v>409</v>
      </c>
      <c r="J63" s="1" t="s">
        <v>385</v>
      </c>
      <c r="K63" s="1" t="s">
        <v>112</v>
      </c>
      <c r="L63" s="1" t="s">
        <v>38</v>
      </c>
      <c r="M63" s="1" t="s">
        <v>39</v>
      </c>
      <c r="N63" s="2" t="s">
        <v>40</v>
      </c>
      <c r="O63" s="3">
        <v>2354000</v>
      </c>
      <c r="P63" s="3" t="s">
        <v>41</v>
      </c>
      <c r="Q63" s="1" t="s">
        <v>410</v>
      </c>
      <c r="R63" s="1" t="s">
        <v>133</v>
      </c>
      <c r="S63" s="3" t="s">
        <v>123</v>
      </c>
      <c r="T63" s="3" t="s">
        <v>301</v>
      </c>
      <c r="U63" s="2">
        <v>37831</v>
      </c>
      <c r="V63" s="2">
        <v>38050</v>
      </c>
      <c r="W63" s="2">
        <v>38065</v>
      </c>
      <c r="X63" s="2">
        <v>38072</v>
      </c>
      <c r="Y63" s="2">
        <v>38111</v>
      </c>
      <c r="Z63" s="3" t="s">
        <v>411</v>
      </c>
      <c r="AA63" s="3" t="s">
        <v>412</v>
      </c>
      <c r="AB63" s="3" t="s">
        <v>413</v>
      </c>
      <c r="AC63" s="2">
        <v>38111</v>
      </c>
      <c r="AD63" s="2">
        <v>46934</v>
      </c>
      <c r="AE63" s="2" t="s">
        <v>49</v>
      </c>
      <c r="AF63" s="2" t="s">
        <v>50</v>
      </c>
      <c r="AG63" s="2">
        <v>39254</v>
      </c>
      <c r="AH63" s="2">
        <v>39458</v>
      </c>
      <c r="AI63" s="8">
        <v>4551832.1300000008</v>
      </c>
      <c r="AJ63" s="6">
        <v>1</v>
      </c>
      <c r="AK63" s="69" t="str">
        <f>MID(E63,5,LEN(E63)-4)</f>
        <v>CSJS1</v>
      </c>
    </row>
    <row r="64" spans="2:37" ht="118.95" customHeight="1" x14ac:dyDescent="0.3">
      <c r="B64" s="1">
        <f>MAX($C$2:$C$128)</f>
        <v>190</v>
      </c>
      <c r="C64" cm="1">
        <f t="array" ref="C64">IFERROR(MAX(--_xlfn.TEXTSPLIT(D64,";")),0)</f>
        <v>52</v>
      </c>
      <c r="D64" t="s">
        <v>1791</v>
      </c>
      <c r="E64" s="1" t="s">
        <v>471</v>
      </c>
      <c r="F64" s="1" t="s">
        <v>472</v>
      </c>
      <c r="G64" s="1">
        <v>1</v>
      </c>
      <c r="H64" s="1" t="s">
        <v>473</v>
      </c>
      <c r="I64" s="1" t="s">
        <v>474</v>
      </c>
      <c r="J64" s="1" t="s">
        <v>385</v>
      </c>
      <c r="K64" s="1" t="s">
        <v>112</v>
      </c>
      <c r="L64" s="1" t="s">
        <v>38</v>
      </c>
      <c r="M64" s="1" t="s">
        <v>39</v>
      </c>
      <c r="N64" s="2" t="s">
        <v>40</v>
      </c>
      <c r="O64" s="3">
        <v>2261000</v>
      </c>
      <c r="P64" s="3" t="s">
        <v>41</v>
      </c>
      <c r="Q64" s="1" t="s">
        <v>475</v>
      </c>
      <c r="R64" s="1" t="s">
        <v>43</v>
      </c>
      <c r="S64" s="3" t="s">
        <v>123</v>
      </c>
      <c r="T64" s="3" t="s">
        <v>152</v>
      </c>
      <c r="U64" s="2">
        <v>38528</v>
      </c>
      <c r="V64" s="2">
        <v>38686</v>
      </c>
      <c r="W64" s="2">
        <v>38708</v>
      </c>
      <c r="X64" s="2">
        <v>38734</v>
      </c>
      <c r="Y64" s="2">
        <v>38820</v>
      </c>
      <c r="Z64" s="3" t="s">
        <v>476</v>
      </c>
      <c r="AA64" s="3" t="s">
        <v>477</v>
      </c>
      <c r="AB64" s="3" t="s">
        <v>478</v>
      </c>
      <c r="AC64" s="2">
        <v>38820</v>
      </c>
      <c r="AD64" s="2">
        <v>44621</v>
      </c>
      <c r="AE64" s="2" t="s">
        <v>106</v>
      </c>
      <c r="AF64" s="2" t="s">
        <v>50</v>
      </c>
      <c r="AG64" s="2">
        <v>39520</v>
      </c>
      <c r="AH64" s="2">
        <v>39723</v>
      </c>
      <c r="AI64" s="5">
        <v>3111969.2500000005</v>
      </c>
      <c r="AJ64" s="6">
        <v>1</v>
      </c>
      <c r="AK64" s="69" t="str">
        <f>MID(E64,5,LEN(E64)-4)</f>
        <v>CTSR1</v>
      </c>
    </row>
    <row r="65" spans="2:37" ht="118.95" customHeight="1" x14ac:dyDescent="0.3">
      <c r="B65" s="1">
        <f>MAX($C$2:$C$128)</f>
        <v>190</v>
      </c>
      <c r="C65" cm="1">
        <f t="array" ref="C65">IFERROR(MAX(--_xlfn.TEXTSPLIT(D65,";")),0)</f>
        <v>53</v>
      </c>
      <c r="D65" t="s">
        <v>1792</v>
      </c>
      <c r="E65" s="1" t="s">
        <v>455</v>
      </c>
      <c r="F65" s="1" t="s">
        <v>456</v>
      </c>
      <c r="G65" s="1">
        <v>1</v>
      </c>
      <c r="H65" s="1" t="s">
        <v>457</v>
      </c>
      <c r="I65" s="1" t="s">
        <v>458</v>
      </c>
      <c r="J65" s="1" t="s">
        <v>385</v>
      </c>
      <c r="K65" s="1" t="s">
        <v>112</v>
      </c>
      <c r="L65" s="1" t="s">
        <v>38</v>
      </c>
      <c r="M65" s="1" t="s">
        <v>39</v>
      </c>
      <c r="N65" s="2" t="s">
        <v>40</v>
      </c>
      <c r="O65" s="3">
        <v>770000</v>
      </c>
      <c r="P65" s="3" t="s">
        <v>41</v>
      </c>
      <c r="Q65" s="1" t="s">
        <v>459</v>
      </c>
      <c r="R65" s="1" t="s">
        <v>43</v>
      </c>
      <c r="S65" s="3" t="s">
        <v>123</v>
      </c>
      <c r="T65" s="3" t="s">
        <v>152</v>
      </c>
      <c r="U65" s="2">
        <v>38255</v>
      </c>
      <c r="V65" s="2">
        <v>38380</v>
      </c>
      <c r="W65" s="2">
        <v>38405</v>
      </c>
      <c r="X65" s="2">
        <v>38433</v>
      </c>
      <c r="Y65" s="2">
        <v>38505</v>
      </c>
      <c r="Z65" s="3" t="s">
        <v>460</v>
      </c>
      <c r="AA65" s="3" t="s">
        <v>461</v>
      </c>
      <c r="AB65" s="3" t="s">
        <v>462</v>
      </c>
      <c r="AC65" s="2">
        <v>38505</v>
      </c>
      <c r="AD65" s="2">
        <v>44165</v>
      </c>
      <c r="AE65" s="2" t="s">
        <v>106</v>
      </c>
      <c r="AF65" s="2" t="s">
        <v>50</v>
      </c>
      <c r="AG65" s="2">
        <v>39052</v>
      </c>
      <c r="AH65" s="2">
        <v>39430</v>
      </c>
      <c r="AI65" s="5">
        <v>846695.53999999992</v>
      </c>
      <c r="AJ65" s="6">
        <v>1</v>
      </c>
      <c r="AK65" s="69" t="str">
        <f>MID(E65,5,LEN(E65)-4)</f>
        <v>CVSR1</v>
      </c>
    </row>
    <row r="66" spans="2:37" ht="118.95" customHeight="1" x14ac:dyDescent="0.3">
      <c r="B66" s="1">
        <f>MAX($C$2:$C$128)</f>
        <v>190</v>
      </c>
      <c r="C66" cm="1">
        <f t="array" ref="C66">IFERROR(MAX(--_xlfn.TEXTSPLIT(D66,";")),0)</f>
        <v>54</v>
      </c>
      <c r="D66" t="s">
        <v>1793</v>
      </c>
      <c r="E66" s="1" t="s">
        <v>431</v>
      </c>
      <c r="F66" s="1" t="s">
        <v>1859</v>
      </c>
      <c r="G66" s="1">
        <v>1</v>
      </c>
      <c r="H66" s="1" t="s">
        <v>432</v>
      </c>
      <c r="I66" s="1" t="s">
        <v>433</v>
      </c>
      <c r="J66" s="1" t="s">
        <v>263</v>
      </c>
      <c r="K66" s="1" t="s">
        <v>434</v>
      </c>
      <c r="L66" s="1" t="s">
        <v>38</v>
      </c>
      <c r="M66" s="1" t="s">
        <v>39</v>
      </c>
      <c r="N66" s="2" t="s">
        <v>40</v>
      </c>
      <c r="O66" s="3">
        <v>4200000</v>
      </c>
      <c r="P66" s="3" t="s">
        <v>41</v>
      </c>
      <c r="Q66" s="1" t="s">
        <v>435</v>
      </c>
      <c r="R66" s="1" t="s">
        <v>133</v>
      </c>
      <c r="S66" s="3" t="s">
        <v>44</v>
      </c>
      <c r="T66" s="3" t="s">
        <v>301</v>
      </c>
      <c r="U66" s="2">
        <v>38014</v>
      </c>
      <c r="V66" s="2">
        <v>38303</v>
      </c>
      <c r="W66" s="2">
        <v>38331</v>
      </c>
      <c r="X66" s="2">
        <v>38469</v>
      </c>
      <c r="Y66" s="2">
        <v>38537</v>
      </c>
      <c r="Z66" s="3" t="s">
        <v>436</v>
      </c>
      <c r="AA66" s="3" t="s">
        <v>437</v>
      </c>
      <c r="AB66" s="3" t="s">
        <v>438</v>
      </c>
      <c r="AC66" s="2">
        <v>38537</v>
      </c>
      <c r="AD66" s="2">
        <v>50348</v>
      </c>
      <c r="AE66" s="2" t="s">
        <v>49</v>
      </c>
      <c r="AF66" s="2" t="s">
        <v>50</v>
      </c>
      <c r="AG66" s="2">
        <v>43780</v>
      </c>
      <c r="AH66" s="2">
        <v>44081</v>
      </c>
      <c r="AI66" s="8">
        <v>5931101.8199999994</v>
      </c>
      <c r="AJ66" s="6">
        <v>1</v>
      </c>
      <c r="AK66" s="69" t="str">
        <f>MID(E66,5,LEN(E66)-4)</f>
        <v>ECVI1</v>
      </c>
    </row>
    <row r="67" spans="2:37" ht="118.95" customHeight="1" x14ac:dyDescent="0.3">
      <c r="B67" s="1">
        <f>MAX($C$2:$C$128)</f>
        <v>190</v>
      </c>
      <c r="C67" cm="1">
        <f t="array" ref="C67">IFERROR(MAX(--_xlfn.TEXTSPLIT(D67,";")),0)</f>
        <v>121</v>
      </c>
      <c r="D67" t="s">
        <v>1813</v>
      </c>
      <c r="E67" s="1" t="s">
        <v>932</v>
      </c>
      <c r="F67" s="1" t="s">
        <v>1871</v>
      </c>
      <c r="G67" s="1">
        <v>1</v>
      </c>
      <c r="H67" s="1" t="s">
        <v>933</v>
      </c>
      <c r="I67" s="1" t="s">
        <v>934</v>
      </c>
      <c r="J67" s="1" t="s">
        <v>535</v>
      </c>
      <c r="K67" s="1" t="s">
        <v>112</v>
      </c>
      <c r="L67" s="1" t="s">
        <v>38</v>
      </c>
      <c r="M67" s="1" t="s">
        <v>39</v>
      </c>
      <c r="N67" s="2" t="s">
        <v>40</v>
      </c>
      <c r="O67" s="3">
        <v>4704824</v>
      </c>
      <c r="P67" s="3" t="s">
        <v>41</v>
      </c>
      <c r="Q67" s="1" t="s">
        <v>935</v>
      </c>
      <c r="R67" s="1" t="s">
        <v>693</v>
      </c>
      <c r="S67" s="3" t="s">
        <v>123</v>
      </c>
      <c r="T67" s="3" t="s">
        <v>301</v>
      </c>
      <c r="U67" s="2">
        <v>44490</v>
      </c>
      <c r="V67" s="2">
        <v>44749</v>
      </c>
      <c r="W67" s="2">
        <v>44769</v>
      </c>
      <c r="X67" s="2">
        <v>44861</v>
      </c>
      <c r="Y67" s="2">
        <v>44979</v>
      </c>
      <c r="Z67" s="3" t="s">
        <v>936</v>
      </c>
      <c r="AA67" s="3" t="s">
        <v>937</v>
      </c>
      <c r="AB67" s="3" t="s">
        <v>938</v>
      </c>
      <c r="AC67" s="2">
        <v>44979</v>
      </c>
      <c r="AD67" s="2">
        <v>53223</v>
      </c>
      <c r="AE67" s="2" t="s">
        <v>106</v>
      </c>
      <c r="AF67" s="2" t="s">
        <v>855</v>
      </c>
      <c r="AG67" s="2" t="s">
        <v>697</v>
      </c>
      <c r="AH67" s="2" t="s">
        <v>697</v>
      </c>
      <c r="AI67" s="5">
        <v>4704824</v>
      </c>
      <c r="AJ67" s="6">
        <v>0</v>
      </c>
      <c r="AK67" s="69" t="str">
        <f>MID(E67,5,LEN(E67)-4)</f>
        <v>INAC1</v>
      </c>
    </row>
    <row r="68" spans="2:37" ht="118.95" customHeight="1" x14ac:dyDescent="0.3">
      <c r="B68" s="1">
        <f>MAX($C$2:$C$128)</f>
        <v>190</v>
      </c>
      <c r="C68" cm="1">
        <f t="array" ref="C68">IFERROR(MAX(--_xlfn.TEXTSPLIT(D68,";")),0)</f>
        <v>56</v>
      </c>
      <c r="D68" t="s">
        <v>1795</v>
      </c>
      <c r="E68" s="1" t="s">
        <v>390</v>
      </c>
      <c r="F68" s="1" t="s">
        <v>391</v>
      </c>
      <c r="G68" s="1">
        <v>1</v>
      </c>
      <c r="H68" s="1" t="s">
        <v>392</v>
      </c>
      <c r="I68" s="1" t="s">
        <v>393</v>
      </c>
      <c r="J68" s="1" t="s">
        <v>385</v>
      </c>
      <c r="K68" s="1" t="s">
        <v>112</v>
      </c>
      <c r="L68" s="1" t="s">
        <v>38</v>
      </c>
      <c r="M68" s="1" t="s">
        <v>39</v>
      </c>
      <c r="N68" s="2" t="s">
        <v>40</v>
      </c>
      <c r="O68" s="3">
        <v>1150000</v>
      </c>
      <c r="P68" s="3" t="s">
        <v>41</v>
      </c>
      <c r="Q68" s="1" t="s">
        <v>394</v>
      </c>
      <c r="R68" s="1" t="s">
        <v>133</v>
      </c>
      <c r="S68" s="3" t="s">
        <v>123</v>
      </c>
      <c r="T68" s="3" t="s">
        <v>200</v>
      </c>
      <c r="U68" s="2">
        <v>37773</v>
      </c>
      <c r="V68" s="2">
        <v>37986</v>
      </c>
      <c r="W68" s="2">
        <v>38015</v>
      </c>
      <c r="X68" s="2">
        <v>38072</v>
      </c>
      <c r="Y68" s="2">
        <v>38138</v>
      </c>
      <c r="Z68" s="3" t="s">
        <v>395</v>
      </c>
      <c r="AA68" s="3" t="s">
        <v>396</v>
      </c>
      <c r="AB68" s="3" t="s">
        <v>397</v>
      </c>
      <c r="AC68" s="2">
        <v>38138</v>
      </c>
      <c r="AD68" s="2">
        <v>46532</v>
      </c>
      <c r="AE68" s="2" t="s">
        <v>49</v>
      </c>
      <c r="AF68" s="2" t="s">
        <v>50</v>
      </c>
      <c r="AG68" s="2">
        <v>39227</v>
      </c>
      <c r="AH68" s="2">
        <v>39470</v>
      </c>
      <c r="AI68" s="8">
        <v>2009130.69</v>
      </c>
      <c r="AJ68" s="6">
        <v>1</v>
      </c>
      <c r="AK68" s="69" t="str">
        <f>MID(E68,5,LEN(E68)-4)</f>
        <v>EIMC1</v>
      </c>
    </row>
    <row r="69" spans="2:37" ht="118.95" customHeight="1" x14ac:dyDescent="0.3">
      <c r="B69" s="1">
        <f>MAX($C$2:$C$128)</f>
        <v>190</v>
      </c>
      <c r="C69" cm="1">
        <f t="array" ref="C69">IFERROR(MAX(--_xlfn.TEXTSPLIT(D69,";")),0)</f>
        <v>120</v>
      </c>
      <c r="D69" t="s">
        <v>1812</v>
      </c>
      <c r="E69" s="1" t="s">
        <v>688</v>
      </c>
      <c r="F69" s="1" t="s">
        <v>689</v>
      </c>
      <c r="G69" s="1">
        <v>1</v>
      </c>
      <c r="H69" s="1" t="s">
        <v>690</v>
      </c>
      <c r="I69" s="1" t="s">
        <v>691</v>
      </c>
      <c r="J69" s="1" t="s">
        <v>535</v>
      </c>
      <c r="K69" s="1" t="s">
        <v>112</v>
      </c>
      <c r="L69" s="1" t="s">
        <v>38</v>
      </c>
      <c r="M69" s="1" t="s">
        <v>39</v>
      </c>
      <c r="N69" s="2" t="s">
        <v>40</v>
      </c>
      <c r="O69" s="3">
        <v>6714000</v>
      </c>
      <c r="P69" s="3" t="s">
        <v>41</v>
      </c>
      <c r="Q69" s="1" t="s">
        <v>692</v>
      </c>
      <c r="R69" s="1" t="s">
        <v>693</v>
      </c>
      <c r="S69" s="3" t="s">
        <v>123</v>
      </c>
      <c r="T69" s="3" t="s">
        <v>301</v>
      </c>
      <c r="U69" s="2">
        <v>41562</v>
      </c>
      <c r="V69" s="2">
        <v>41659</v>
      </c>
      <c r="W69" s="2">
        <v>41668</v>
      </c>
      <c r="X69" s="2">
        <v>41681</v>
      </c>
      <c r="Y69" s="2">
        <v>41787</v>
      </c>
      <c r="Z69" s="3" t="s">
        <v>694</v>
      </c>
      <c r="AA69" s="3" t="s">
        <v>695</v>
      </c>
      <c r="AB69" s="3" t="s">
        <v>696</v>
      </c>
      <c r="AC69" s="2">
        <v>41787</v>
      </c>
      <c r="AD69" s="2">
        <v>51703</v>
      </c>
      <c r="AE69" s="2" t="s">
        <v>106</v>
      </c>
      <c r="AF69" s="2">
        <v>43431</v>
      </c>
      <c r="AG69" s="2" t="s">
        <v>697</v>
      </c>
      <c r="AH69" s="2" t="s">
        <v>697</v>
      </c>
      <c r="AI69" s="46">
        <v>9755462.5999999996</v>
      </c>
      <c r="AJ69" s="13">
        <v>0.92200000000000004</v>
      </c>
      <c r="AK69" s="69" t="str">
        <f>MID(E69,5,LEN(E69)-4)</f>
        <v>HSSG1</v>
      </c>
    </row>
    <row r="70" spans="2:37" ht="118.95" customHeight="1" x14ac:dyDescent="0.3">
      <c r="B70" s="1">
        <f>MAX($C$2:$C$128)</f>
        <v>190</v>
      </c>
      <c r="C70" cm="1">
        <f t="array" ref="C70">IFERROR(MAX(--_xlfn.TEXTSPLIT(D70,";")),0)</f>
        <v>115</v>
      </c>
      <c r="D70" t="s">
        <v>1808</v>
      </c>
      <c r="E70" s="1" t="s">
        <v>887</v>
      </c>
      <c r="F70" s="1" t="s">
        <v>1870</v>
      </c>
      <c r="G70" s="1">
        <v>1</v>
      </c>
      <c r="H70" s="1" t="s">
        <v>888</v>
      </c>
      <c r="I70" s="1" t="s">
        <v>889</v>
      </c>
      <c r="J70" s="1" t="s">
        <v>535</v>
      </c>
      <c r="K70" s="1" t="s">
        <v>198</v>
      </c>
      <c r="L70" s="1" t="s">
        <v>38</v>
      </c>
      <c r="M70" s="1" t="s">
        <v>39</v>
      </c>
      <c r="N70" s="2" t="s">
        <v>40</v>
      </c>
      <c r="O70" s="3">
        <v>7092812</v>
      </c>
      <c r="P70" s="3" t="s">
        <v>41</v>
      </c>
      <c r="Q70" s="1" t="s">
        <v>890</v>
      </c>
      <c r="R70" s="1" t="s">
        <v>693</v>
      </c>
      <c r="S70" s="3" t="s">
        <v>123</v>
      </c>
      <c r="T70" s="3" t="s">
        <v>301</v>
      </c>
      <c r="U70" s="2">
        <v>44177</v>
      </c>
      <c r="V70" s="2">
        <v>44452</v>
      </c>
      <c r="W70" s="2">
        <v>44473</v>
      </c>
      <c r="X70" s="2">
        <v>44574</v>
      </c>
      <c r="Y70" s="2">
        <v>44631</v>
      </c>
      <c r="Z70" s="3" t="s">
        <v>891</v>
      </c>
      <c r="AA70" s="3" t="s">
        <v>892</v>
      </c>
      <c r="AB70" s="3" t="s">
        <v>893</v>
      </c>
      <c r="AC70" s="2">
        <v>44631</v>
      </c>
      <c r="AD70" s="2">
        <v>52729</v>
      </c>
      <c r="AE70" s="2" t="s">
        <v>106</v>
      </c>
      <c r="AF70" s="2">
        <v>45264</v>
      </c>
      <c r="AG70" s="2" t="s">
        <v>697</v>
      </c>
      <c r="AH70" s="2" t="s">
        <v>697</v>
      </c>
      <c r="AI70" s="5">
        <v>7092812</v>
      </c>
      <c r="AJ70" s="16" t="s">
        <v>894</v>
      </c>
      <c r="AK70" s="69" t="str">
        <f>MID(E70,5,LEN(E70)-4)</f>
        <v>HRRL1</v>
      </c>
    </row>
    <row r="71" spans="2:37" ht="118.95" customHeight="1" x14ac:dyDescent="0.3">
      <c r="B71" s="1">
        <f>MAX($C$2:$C$128)</f>
        <v>190</v>
      </c>
      <c r="C71" cm="1">
        <f t="array" ref="C71">IFERROR(MAX(--_xlfn.TEXTSPLIT(D71,";")),0)</f>
        <v>111</v>
      </c>
      <c r="D71" t="s">
        <v>1807</v>
      </c>
      <c r="E71" s="1" t="s">
        <v>902</v>
      </c>
      <c r="F71" s="1" t="s">
        <v>1869</v>
      </c>
      <c r="G71" s="1">
        <v>1</v>
      </c>
      <c r="H71" s="1" t="s">
        <v>903</v>
      </c>
      <c r="I71" s="1" t="s">
        <v>904</v>
      </c>
      <c r="J71" s="1" t="s">
        <v>535</v>
      </c>
      <c r="K71" s="1" t="s">
        <v>175</v>
      </c>
      <c r="L71" s="1" t="s">
        <v>38</v>
      </c>
      <c r="M71" s="1" t="s">
        <v>39</v>
      </c>
      <c r="N71" s="2" t="s">
        <v>40</v>
      </c>
      <c r="O71" s="3">
        <v>6146350</v>
      </c>
      <c r="P71" s="3" t="s">
        <v>41</v>
      </c>
      <c r="Q71" s="1" t="s">
        <v>905</v>
      </c>
      <c r="R71" s="1" t="s">
        <v>693</v>
      </c>
      <c r="S71" s="3" t="s">
        <v>123</v>
      </c>
      <c r="T71" s="3" t="s">
        <v>301</v>
      </c>
      <c r="U71" s="2">
        <v>44282</v>
      </c>
      <c r="V71" s="2">
        <v>44484</v>
      </c>
      <c r="W71" s="2">
        <v>44505</v>
      </c>
      <c r="X71" s="2">
        <v>44566</v>
      </c>
      <c r="Y71" s="2">
        <v>44609</v>
      </c>
      <c r="Z71" s="3" t="s">
        <v>906</v>
      </c>
      <c r="AA71" s="3" t="s">
        <v>907</v>
      </c>
      <c r="AB71" s="3" t="s">
        <v>908</v>
      </c>
      <c r="AC71" s="2">
        <v>44609</v>
      </c>
      <c r="AD71" s="2">
        <v>52035</v>
      </c>
      <c r="AE71" s="2" t="s">
        <v>106</v>
      </c>
      <c r="AF71" s="2">
        <v>45709</v>
      </c>
      <c r="AG71" s="2" t="s">
        <v>697</v>
      </c>
      <c r="AH71" s="2" t="s">
        <v>697</v>
      </c>
      <c r="AI71" s="5">
        <v>6146350</v>
      </c>
      <c r="AJ71" s="15">
        <v>0.14749999999999999</v>
      </c>
      <c r="AK71" s="69" t="str">
        <f>MID(E71,5,LEN(E71)-4)</f>
        <v>HRQS1</v>
      </c>
    </row>
    <row r="72" spans="2:37" ht="150" customHeight="1" x14ac:dyDescent="0.3">
      <c r="B72" s="1">
        <f>MAX($C$2:$C$128)</f>
        <v>190</v>
      </c>
      <c r="C72" cm="1">
        <f t="array" ref="C72">IFERROR(MAX(--_xlfn.TEXTSPLIT(D72,";")),0)</f>
        <v>60</v>
      </c>
      <c r="D72" t="s">
        <v>1799</v>
      </c>
      <c r="E72" s="1" t="s">
        <v>422</v>
      </c>
      <c r="F72" s="1" t="s">
        <v>423</v>
      </c>
      <c r="G72" s="1">
        <v>1</v>
      </c>
      <c r="H72" s="1" t="s">
        <v>424</v>
      </c>
      <c r="I72" s="1" t="s">
        <v>425</v>
      </c>
      <c r="J72" s="1" t="s">
        <v>385</v>
      </c>
      <c r="K72" s="1" t="s">
        <v>112</v>
      </c>
      <c r="L72" s="1" t="s">
        <v>38</v>
      </c>
      <c r="M72" s="1" t="s">
        <v>39</v>
      </c>
      <c r="N72" s="2" t="s">
        <v>40</v>
      </c>
      <c r="O72" s="3">
        <v>245000</v>
      </c>
      <c r="P72" s="3" t="s">
        <v>41</v>
      </c>
      <c r="Q72" s="1" t="s">
        <v>426</v>
      </c>
      <c r="R72" s="1" t="s">
        <v>133</v>
      </c>
      <c r="S72" s="3" t="s">
        <v>44</v>
      </c>
      <c r="T72" s="3" t="s">
        <v>427</v>
      </c>
      <c r="U72" s="2">
        <v>37994</v>
      </c>
      <c r="V72" s="2">
        <v>38126</v>
      </c>
      <c r="W72" s="2">
        <v>38147</v>
      </c>
      <c r="X72" s="2">
        <v>38177</v>
      </c>
      <c r="Y72" s="2">
        <v>38234</v>
      </c>
      <c r="Z72" s="3" t="s">
        <v>428</v>
      </c>
      <c r="AA72" s="3" t="s">
        <v>429</v>
      </c>
      <c r="AB72" s="3" t="s">
        <v>430</v>
      </c>
      <c r="AC72" s="2">
        <v>38234</v>
      </c>
      <c r="AD72" s="2">
        <v>46269</v>
      </c>
      <c r="AE72" s="2" t="s">
        <v>49</v>
      </c>
      <c r="AF72" s="2" t="s">
        <v>50</v>
      </c>
      <c r="AG72" s="2">
        <v>38782</v>
      </c>
      <c r="AH72" s="2">
        <v>38908</v>
      </c>
      <c r="AI72" s="8">
        <v>447674.44000000006</v>
      </c>
      <c r="AJ72" s="6">
        <v>1</v>
      </c>
      <c r="AK72" s="69" t="str">
        <f>MID(E72,5,LEN(E72)-4)</f>
        <v>ETPO1</v>
      </c>
    </row>
    <row r="73" spans="2:37" ht="118.95" customHeight="1" x14ac:dyDescent="0.3">
      <c r="B73" s="1">
        <f>MAX($C$2:$C$128)</f>
        <v>190</v>
      </c>
      <c r="C73" cm="1">
        <f t="array" ref="C73">IFERROR(MAX(--_xlfn.TEXTSPLIT(D73,";")),0)</f>
        <v>98</v>
      </c>
      <c r="D73" t="s">
        <v>1800</v>
      </c>
      <c r="E73" s="1" t="s">
        <v>463</v>
      </c>
      <c r="F73" s="1" t="s">
        <v>464</v>
      </c>
      <c r="G73" s="1">
        <v>1</v>
      </c>
      <c r="H73" s="1" t="s">
        <v>465</v>
      </c>
      <c r="I73" s="1" t="s">
        <v>466</v>
      </c>
      <c r="J73" s="1" t="s">
        <v>385</v>
      </c>
      <c r="K73" s="1" t="s">
        <v>112</v>
      </c>
      <c r="L73" s="1" t="s">
        <v>38</v>
      </c>
      <c r="M73" s="1" t="s">
        <v>39</v>
      </c>
      <c r="N73" s="2" t="s">
        <v>40</v>
      </c>
      <c r="O73" s="3">
        <v>989500</v>
      </c>
      <c r="P73" s="3" t="s">
        <v>41</v>
      </c>
      <c r="Q73" s="1" t="s">
        <v>467</v>
      </c>
      <c r="R73" s="1" t="s">
        <v>43</v>
      </c>
      <c r="S73" s="3" t="s">
        <v>123</v>
      </c>
      <c r="T73" s="3" t="s">
        <v>152</v>
      </c>
      <c r="U73" s="2">
        <v>38521</v>
      </c>
      <c r="V73" s="2">
        <v>38695</v>
      </c>
      <c r="W73" s="2">
        <v>38720</v>
      </c>
      <c r="X73" s="2">
        <v>38743</v>
      </c>
      <c r="Y73" s="2">
        <v>38820</v>
      </c>
      <c r="Z73" s="3" t="s">
        <v>468</v>
      </c>
      <c r="AA73" s="3" t="s">
        <v>469</v>
      </c>
      <c r="AB73" s="3" t="s">
        <v>470</v>
      </c>
      <c r="AC73" s="2">
        <v>38820</v>
      </c>
      <c r="AD73" s="2">
        <v>44298</v>
      </c>
      <c r="AE73" s="2" t="s">
        <v>49</v>
      </c>
      <c r="AF73" s="2" t="s">
        <v>50</v>
      </c>
      <c r="AG73" s="2">
        <v>39232</v>
      </c>
      <c r="AH73" s="2">
        <v>39483</v>
      </c>
      <c r="AI73" s="5">
        <v>1584805.25</v>
      </c>
      <c r="AJ73" s="6">
        <v>1</v>
      </c>
      <c r="AK73" s="69" t="str">
        <f>MID(E73,5,LEN(E73)-4)</f>
        <v>ETTT1</v>
      </c>
    </row>
    <row r="74" spans="2:37" ht="118.95" customHeight="1" x14ac:dyDescent="0.3">
      <c r="B74" s="1">
        <f>MAX($C$2:$C$128)</f>
        <v>190</v>
      </c>
      <c r="C74" cm="1">
        <f t="array" ref="C74">IFERROR(MAX(--_xlfn.TEXTSPLIT(D74,";")),0)</f>
        <v>110</v>
      </c>
      <c r="D74" t="s">
        <v>1806</v>
      </c>
      <c r="E74" s="1" t="s">
        <v>917</v>
      </c>
      <c r="F74" s="1" t="s">
        <v>1868</v>
      </c>
      <c r="G74" s="1">
        <v>1</v>
      </c>
      <c r="H74" s="1" t="s">
        <v>918</v>
      </c>
      <c r="I74" s="1" t="s">
        <v>919</v>
      </c>
      <c r="J74" s="1" t="s">
        <v>535</v>
      </c>
      <c r="K74" s="1" t="s">
        <v>175</v>
      </c>
      <c r="L74" s="1" t="s">
        <v>38</v>
      </c>
      <c r="M74" s="1" t="s">
        <v>39</v>
      </c>
      <c r="N74" s="2" t="s">
        <v>40</v>
      </c>
      <c r="O74" s="3">
        <v>6528211</v>
      </c>
      <c r="P74" s="3" t="s">
        <v>41</v>
      </c>
      <c r="Q74" s="1" t="s">
        <v>920</v>
      </c>
      <c r="R74" s="1" t="s">
        <v>693</v>
      </c>
      <c r="S74" s="3" t="s">
        <v>123</v>
      </c>
      <c r="T74" s="3" t="s">
        <v>301</v>
      </c>
      <c r="U74" s="2">
        <v>44338</v>
      </c>
      <c r="V74" s="2">
        <v>44571</v>
      </c>
      <c r="W74" s="2">
        <v>44592</v>
      </c>
      <c r="X74" s="2">
        <v>44683</v>
      </c>
      <c r="Y74" s="2">
        <v>44813</v>
      </c>
      <c r="Z74" s="3" t="s">
        <v>921</v>
      </c>
      <c r="AA74" s="3" t="s">
        <v>922</v>
      </c>
      <c r="AB74" s="3" t="s">
        <v>923</v>
      </c>
      <c r="AC74" s="2">
        <v>44813</v>
      </c>
      <c r="AD74" s="2">
        <v>52417</v>
      </c>
      <c r="AE74" s="2" t="s">
        <v>106</v>
      </c>
      <c r="AF74" s="2">
        <v>45246</v>
      </c>
      <c r="AG74" s="2" t="s">
        <v>697</v>
      </c>
      <c r="AH74" s="2" t="s">
        <v>697</v>
      </c>
      <c r="AI74" s="5">
        <v>6528211</v>
      </c>
      <c r="AJ74" s="13">
        <v>0.2389</v>
      </c>
      <c r="AK74" s="69" t="str">
        <f>MID(E74,5,LEN(E74)-4)</f>
        <v>HRQQ1</v>
      </c>
    </row>
    <row r="75" spans="2:37" ht="118.95" customHeight="1" x14ac:dyDescent="0.3">
      <c r="B75" s="1">
        <f>MAX($C$2:$C$128)</f>
        <v>190</v>
      </c>
      <c r="C75" cm="1">
        <f t="array" ref="C75">IFERROR(MAX(--_xlfn.TEXTSPLIT(D75,";")),0)</f>
        <v>109</v>
      </c>
      <c r="D75" t="s">
        <v>1805</v>
      </c>
      <c r="E75" s="1" t="s">
        <v>939</v>
      </c>
      <c r="F75" s="57" t="s">
        <v>1867</v>
      </c>
      <c r="G75" s="1">
        <v>1</v>
      </c>
      <c r="H75" s="1" t="s">
        <v>940</v>
      </c>
      <c r="I75" s="1" t="s">
        <v>941</v>
      </c>
      <c r="J75" s="1" t="s">
        <v>535</v>
      </c>
      <c r="K75" s="1" t="s">
        <v>434</v>
      </c>
      <c r="L75" s="1" t="s">
        <v>38</v>
      </c>
      <c r="M75" s="1" t="s">
        <v>39</v>
      </c>
      <c r="N75" s="2"/>
      <c r="O75" s="3">
        <v>4538569</v>
      </c>
      <c r="P75" s="3" t="s">
        <v>41</v>
      </c>
      <c r="Q75" s="1" t="s">
        <v>942</v>
      </c>
      <c r="R75" s="1" t="s">
        <v>693</v>
      </c>
      <c r="S75" s="3" t="s">
        <v>123</v>
      </c>
      <c r="T75" s="3" t="s">
        <v>301</v>
      </c>
      <c r="U75" s="2">
        <v>44497</v>
      </c>
      <c r="V75" s="2">
        <v>45163</v>
      </c>
      <c r="W75" s="2">
        <v>45184</v>
      </c>
      <c r="X75" s="2">
        <v>45237</v>
      </c>
      <c r="Y75" s="2">
        <v>45373</v>
      </c>
      <c r="Z75" s="3" t="s">
        <v>943</v>
      </c>
      <c r="AA75" s="59" t="s">
        <v>944</v>
      </c>
      <c r="AB75" s="3" t="s">
        <v>945</v>
      </c>
      <c r="AC75" s="2">
        <v>45373</v>
      </c>
      <c r="AD75" s="2">
        <v>52511</v>
      </c>
      <c r="AE75" s="2" t="s">
        <v>106</v>
      </c>
      <c r="AF75" s="2" t="s">
        <v>855</v>
      </c>
      <c r="AG75" s="2" t="s">
        <v>697</v>
      </c>
      <c r="AH75" s="2" t="s">
        <v>697</v>
      </c>
      <c r="AI75" s="5">
        <v>4538569</v>
      </c>
      <c r="AJ75" s="23">
        <v>0</v>
      </c>
      <c r="AK75" s="69" t="str">
        <f>MID(E75,5,LEN(E75)-4)</f>
        <v>HROG1</v>
      </c>
    </row>
    <row r="76" spans="2:37" ht="118.95" customHeight="1" x14ac:dyDescent="0.3">
      <c r="B76" s="1">
        <f>MAX($C$2:$C$128)</f>
        <v>190</v>
      </c>
      <c r="C76" cm="1">
        <f t="array" ref="C76">IFERROR(MAX(--_xlfn.TEXTSPLIT(D76,";")),0)</f>
        <v>107</v>
      </c>
      <c r="D76" t="s">
        <v>1804</v>
      </c>
      <c r="E76" s="1" t="s">
        <v>863</v>
      </c>
      <c r="F76" s="1" t="s">
        <v>1866</v>
      </c>
      <c r="G76" s="1">
        <v>1</v>
      </c>
      <c r="H76" s="1" t="s">
        <v>864</v>
      </c>
      <c r="I76" s="1" t="s">
        <v>865</v>
      </c>
      <c r="J76" s="1" t="s">
        <v>535</v>
      </c>
      <c r="K76" s="1" t="s">
        <v>866</v>
      </c>
      <c r="L76" s="1" t="s">
        <v>38</v>
      </c>
      <c r="M76" s="1" t="s">
        <v>39</v>
      </c>
      <c r="N76" s="2" t="s">
        <v>40</v>
      </c>
      <c r="O76" s="3">
        <v>6634394</v>
      </c>
      <c r="P76" s="3" t="s">
        <v>41</v>
      </c>
      <c r="Q76" s="1" t="s">
        <v>867</v>
      </c>
      <c r="R76" s="1" t="s">
        <v>693</v>
      </c>
      <c r="S76" s="3" t="s">
        <v>123</v>
      </c>
      <c r="T76" s="3" t="s">
        <v>301</v>
      </c>
      <c r="U76" s="2">
        <v>43818</v>
      </c>
      <c r="V76" s="2">
        <v>44050</v>
      </c>
      <c r="W76" s="2">
        <v>44070</v>
      </c>
      <c r="X76" s="2">
        <v>44166</v>
      </c>
      <c r="Y76" s="2">
        <v>44282</v>
      </c>
      <c r="Z76" s="3" t="s">
        <v>868</v>
      </c>
      <c r="AA76" s="3" t="s">
        <v>869</v>
      </c>
      <c r="AB76" s="3" t="s">
        <v>870</v>
      </c>
      <c r="AC76" s="2">
        <v>44282</v>
      </c>
      <c r="AD76" s="2">
        <v>51460</v>
      </c>
      <c r="AE76" s="2" t="s">
        <v>106</v>
      </c>
      <c r="AF76" s="2">
        <v>44960</v>
      </c>
      <c r="AG76" s="2" t="s">
        <v>697</v>
      </c>
      <c r="AH76" s="2" t="s">
        <v>697</v>
      </c>
      <c r="AI76" s="5">
        <v>6634394</v>
      </c>
      <c r="AJ76" s="6" t="s">
        <v>871</v>
      </c>
      <c r="AK76" s="69" t="str">
        <f>MID(E76,5,LEN(E76)-4)</f>
        <v>HRMA1</v>
      </c>
    </row>
    <row r="77" spans="2:37" ht="118.95" customHeight="1" x14ac:dyDescent="0.3">
      <c r="B77" s="1">
        <f>MAX($C$2:$C$128)</f>
        <v>190</v>
      </c>
      <c r="C77" cm="1">
        <f t="array" ref="C77">IFERROR(MAX(--_xlfn.TEXTSPLIT(D77,";")),0)</f>
        <v>104</v>
      </c>
      <c r="D77" t="s">
        <v>1803</v>
      </c>
      <c r="E77" s="1" t="s">
        <v>879</v>
      </c>
      <c r="F77" s="1" t="s">
        <v>1865</v>
      </c>
      <c r="G77" s="1">
        <v>1</v>
      </c>
      <c r="H77" s="1" t="s">
        <v>880</v>
      </c>
      <c r="I77" s="1" t="s">
        <v>881</v>
      </c>
      <c r="J77" s="1" t="s">
        <v>535</v>
      </c>
      <c r="K77" s="1" t="s">
        <v>55</v>
      </c>
      <c r="L77" s="1" t="s">
        <v>38</v>
      </c>
      <c r="M77" s="1" t="s">
        <v>39</v>
      </c>
      <c r="N77" s="2" t="s">
        <v>40</v>
      </c>
      <c r="O77" s="3">
        <v>7754848</v>
      </c>
      <c r="P77" s="3" t="s">
        <v>41</v>
      </c>
      <c r="Q77" s="1" t="s">
        <v>882</v>
      </c>
      <c r="R77" s="1" t="s">
        <v>693</v>
      </c>
      <c r="S77" s="3" t="s">
        <v>123</v>
      </c>
      <c r="T77" s="3" t="s">
        <v>301</v>
      </c>
      <c r="U77" s="2">
        <v>44064</v>
      </c>
      <c r="V77" s="2">
        <v>44330</v>
      </c>
      <c r="W77" s="2">
        <v>44350</v>
      </c>
      <c r="X77" s="2">
        <v>44454</v>
      </c>
      <c r="Y77" s="2">
        <v>44537</v>
      </c>
      <c r="Z77" s="3" t="s">
        <v>883</v>
      </c>
      <c r="AA77" s="3" t="s">
        <v>884</v>
      </c>
      <c r="AB77" s="3" t="s">
        <v>885</v>
      </c>
      <c r="AC77" s="2">
        <v>44537</v>
      </c>
      <c r="AD77" s="2">
        <v>59147</v>
      </c>
      <c r="AE77" s="2" t="s">
        <v>106</v>
      </c>
      <c r="AF77" s="2">
        <v>45010</v>
      </c>
      <c r="AG77" s="2" t="s">
        <v>697</v>
      </c>
      <c r="AH77" s="2" t="s">
        <v>697</v>
      </c>
      <c r="AI77" s="5">
        <v>7754848</v>
      </c>
      <c r="AJ77" s="6" t="s">
        <v>886</v>
      </c>
      <c r="AK77" s="69" t="str">
        <f>MID(E77,5,LEN(E77)-4)</f>
        <v>HRBB1</v>
      </c>
    </row>
    <row r="78" spans="2:37" ht="118.95" customHeight="1" x14ac:dyDescent="0.3">
      <c r="B78" s="1">
        <f>MAX($C$2:$C$128)</f>
        <v>190</v>
      </c>
      <c r="C78" cm="1">
        <f t="array" ref="C78">IFERROR(MAX(--_xlfn.TEXTSPLIT(D78,";")),0)</f>
        <v>100</v>
      </c>
      <c r="D78" t="s">
        <v>1802</v>
      </c>
      <c r="E78" s="1" t="s">
        <v>954</v>
      </c>
      <c r="F78" s="1" t="s">
        <v>955</v>
      </c>
      <c r="G78" s="1">
        <v>1</v>
      </c>
      <c r="H78" s="1" t="s">
        <v>956</v>
      </c>
      <c r="I78" s="1" t="s">
        <v>957</v>
      </c>
      <c r="J78" s="1" t="s">
        <v>535</v>
      </c>
      <c r="K78" s="1" t="s">
        <v>112</v>
      </c>
      <c r="L78" s="1" t="s">
        <v>38</v>
      </c>
      <c r="M78" s="1" t="s">
        <v>39</v>
      </c>
      <c r="N78" s="2" t="s">
        <v>40</v>
      </c>
      <c r="O78" s="3">
        <v>3509321</v>
      </c>
      <c r="P78" s="3" t="s">
        <v>41</v>
      </c>
      <c r="Q78" s="1" t="s">
        <v>958</v>
      </c>
      <c r="R78" s="1" t="s">
        <v>693</v>
      </c>
      <c r="S78" s="3" t="s">
        <v>123</v>
      </c>
      <c r="T78" s="3" t="s">
        <v>301</v>
      </c>
      <c r="U78" s="2">
        <v>44559</v>
      </c>
      <c r="V78" s="2">
        <v>44831</v>
      </c>
      <c r="W78" s="2">
        <v>44852</v>
      </c>
      <c r="X78" s="2">
        <v>44949</v>
      </c>
      <c r="Y78" s="2">
        <v>45070</v>
      </c>
      <c r="Z78" s="3" t="s">
        <v>959</v>
      </c>
      <c r="AA78" s="3" t="s">
        <v>960</v>
      </c>
      <c r="AB78" s="3" t="s">
        <v>961</v>
      </c>
      <c r="AC78" s="2">
        <v>45070</v>
      </c>
      <c r="AD78" s="2">
        <v>53330</v>
      </c>
      <c r="AE78" s="2" t="s">
        <v>106</v>
      </c>
      <c r="AF78" s="2" t="s">
        <v>855</v>
      </c>
      <c r="AG78" s="2" t="s">
        <v>697</v>
      </c>
      <c r="AH78" s="2" t="s">
        <v>697</v>
      </c>
      <c r="AI78" s="5">
        <v>3509321</v>
      </c>
      <c r="AJ78" s="6">
        <v>0</v>
      </c>
      <c r="AK78" s="69" t="str">
        <f>MID(E78,5,LEN(E78)-4)</f>
        <v>HINN1</v>
      </c>
    </row>
    <row r="79" spans="2:37" ht="118.95" customHeight="1" x14ac:dyDescent="0.3">
      <c r="B79" s="1">
        <f>MAX($C$2:$C$128)</f>
        <v>190</v>
      </c>
      <c r="C79" cm="1">
        <f t="array" ref="C79">IFERROR(MAX(--_xlfn.TEXTSPLIT(D79,";")),0)</f>
        <v>99</v>
      </c>
      <c r="D79" t="s">
        <v>1801</v>
      </c>
      <c r="E79" s="1" t="s">
        <v>872</v>
      </c>
      <c r="F79" s="1" t="s">
        <v>1864</v>
      </c>
      <c r="G79" s="1">
        <v>1</v>
      </c>
      <c r="H79" s="1" t="s">
        <v>873</v>
      </c>
      <c r="I79" s="1" t="s">
        <v>874</v>
      </c>
      <c r="J79" s="1" t="s">
        <v>535</v>
      </c>
      <c r="K79" s="1" t="s">
        <v>112</v>
      </c>
      <c r="L79" s="1" t="s">
        <v>38</v>
      </c>
      <c r="M79" s="1" t="s">
        <v>39</v>
      </c>
      <c r="N79" s="2" t="s">
        <v>40</v>
      </c>
      <c r="O79" s="3">
        <v>2944034</v>
      </c>
      <c r="P79" s="3" t="s">
        <v>41</v>
      </c>
      <c r="Q79" s="1" t="s">
        <v>875</v>
      </c>
      <c r="R79" s="1" t="s">
        <v>693</v>
      </c>
      <c r="S79" s="3" t="s">
        <v>123</v>
      </c>
      <c r="T79" s="3" t="s">
        <v>301</v>
      </c>
      <c r="U79" s="2">
        <v>43951</v>
      </c>
      <c r="V79" s="2">
        <v>44123</v>
      </c>
      <c r="W79" s="2">
        <v>44145</v>
      </c>
      <c r="X79" s="2">
        <v>44194</v>
      </c>
      <c r="Y79" s="2">
        <v>44282</v>
      </c>
      <c r="Z79" s="3" t="s">
        <v>876</v>
      </c>
      <c r="AA79" s="3" t="s">
        <v>877</v>
      </c>
      <c r="AB79" s="3" t="s">
        <v>878</v>
      </c>
      <c r="AC79" s="2">
        <v>44282</v>
      </c>
      <c r="AD79" s="2">
        <v>51634</v>
      </c>
      <c r="AE79" s="2" t="s">
        <v>106</v>
      </c>
      <c r="AF79" s="2">
        <v>44986</v>
      </c>
      <c r="AG79" s="2" t="s">
        <v>697</v>
      </c>
      <c r="AH79" s="2" t="s">
        <v>697</v>
      </c>
      <c r="AI79" s="5">
        <v>2944034</v>
      </c>
      <c r="AJ79" s="13">
        <v>0.82579999999999998</v>
      </c>
      <c r="AK79" s="69" t="str">
        <f>MID(E79,5,LEN(E79)-4)</f>
        <v>HBUP1</v>
      </c>
    </row>
    <row r="80" spans="2:37" ht="118.95" customHeight="1" x14ac:dyDescent="0.3">
      <c r="B80" s="1">
        <f>MAX($C$2:$C$128)</f>
        <v>190</v>
      </c>
      <c r="C80" cm="1">
        <f t="array" ref="C80">IFERROR(MAX(--_xlfn.TEXTSPLIT(D80,";")),0)</f>
        <v>59</v>
      </c>
      <c r="D80" t="s">
        <v>1798</v>
      </c>
      <c r="E80" s="1" t="s">
        <v>714</v>
      </c>
      <c r="F80" s="1" t="s">
        <v>1863</v>
      </c>
      <c r="G80" s="1">
        <v>1</v>
      </c>
      <c r="H80" s="1" t="s">
        <v>715</v>
      </c>
      <c r="I80" s="1" t="s">
        <v>716</v>
      </c>
      <c r="J80" s="1" t="s">
        <v>263</v>
      </c>
      <c r="K80" s="1" t="s">
        <v>717</v>
      </c>
      <c r="L80" s="1" t="s">
        <v>38</v>
      </c>
      <c r="M80" s="1" t="s">
        <v>39</v>
      </c>
      <c r="N80" s="2" t="s">
        <v>40</v>
      </c>
      <c r="O80" s="3">
        <v>9410000</v>
      </c>
      <c r="P80" s="3" t="s">
        <v>41</v>
      </c>
      <c r="Q80" s="1" t="s">
        <v>718</v>
      </c>
      <c r="R80" s="1" t="s">
        <v>43</v>
      </c>
      <c r="S80" s="3" t="s">
        <v>123</v>
      </c>
      <c r="T80" s="3" t="s">
        <v>265</v>
      </c>
      <c r="U80" s="2">
        <v>42093</v>
      </c>
      <c r="V80" s="2">
        <v>42355</v>
      </c>
      <c r="W80" s="2">
        <v>42383</v>
      </c>
      <c r="X80" s="2">
        <v>42450</v>
      </c>
      <c r="Y80" s="2">
        <v>42543</v>
      </c>
      <c r="Z80" s="3" t="s">
        <v>719</v>
      </c>
      <c r="AA80" s="3" t="s">
        <v>720</v>
      </c>
      <c r="AB80" s="3" t="s">
        <v>721</v>
      </c>
      <c r="AC80" s="2">
        <v>42543</v>
      </c>
      <c r="AD80" s="2">
        <v>44478</v>
      </c>
      <c r="AE80" s="2" t="s">
        <v>49</v>
      </c>
      <c r="AF80" s="2" t="s">
        <v>269</v>
      </c>
      <c r="AG80" s="2" t="s">
        <v>269</v>
      </c>
      <c r="AH80" s="2" t="s">
        <v>269</v>
      </c>
      <c r="AI80" s="5">
        <v>512516</v>
      </c>
      <c r="AJ80" s="6">
        <v>0</v>
      </c>
      <c r="AK80" s="69" t="str">
        <f>MID(E80,5,LEN(E80)-4)</f>
        <v>EPUN1</v>
      </c>
    </row>
    <row r="81" spans="1:37" ht="118.95" customHeight="1" x14ac:dyDescent="0.3">
      <c r="B81" s="1">
        <f>MAX($C$2:$C$128)</f>
        <v>190</v>
      </c>
      <c r="C81" cm="1">
        <f t="array" ref="C81">IFERROR(MAX(--_xlfn.TEXTSPLIT(D81,";")),0)</f>
        <v>58</v>
      </c>
      <c r="D81" t="s">
        <v>1797</v>
      </c>
      <c r="E81" s="45" t="s">
        <v>1026</v>
      </c>
      <c r="F81" s="45" t="s">
        <v>1862</v>
      </c>
      <c r="G81" s="1">
        <v>1</v>
      </c>
      <c r="H81" s="45" t="s">
        <v>1027</v>
      </c>
      <c r="I81" s="1" t="s">
        <v>1028</v>
      </c>
      <c r="J81" s="1" t="s">
        <v>309</v>
      </c>
      <c r="K81" s="1" t="s">
        <v>344</v>
      </c>
      <c r="L81" s="1" t="s">
        <v>38</v>
      </c>
      <c r="M81" s="1" t="s">
        <v>39</v>
      </c>
      <c r="N81" s="2"/>
      <c r="O81" s="3">
        <v>7120300</v>
      </c>
      <c r="P81" s="1" t="s">
        <v>41</v>
      </c>
      <c r="Q81" s="1" t="s">
        <v>1029</v>
      </c>
      <c r="R81" s="1" t="s">
        <v>693</v>
      </c>
      <c r="S81" s="1" t="s">
        <v>44</v>
      </c>
      <c r="T81" s="1" t="s">
        <v>1030</v>
      </c>
      <c r="U81" s="2">
        <v>45617</v>
      </c>
      <c r="V81" s="2">
        <v>45867</v>
      </c>
      <c r="W81" s="2">
        <v>45889</v>
      </c>
      <c r="X81" s="2">
        <v>45953</v>
      </c>
      <c r="Y81" s="2">
        <v>46178</v>
      </c>
      <c r="Z81" s="1" t="s">
        <v>1031</v>
      </c>
      <c r="AA81" s="1" t="s">
        <v>1032</v>
      </c>
      <c r="AB81" s="1" t="s">
        <v>1033</v>
      </c>
      <c r="AC81" s="2">
        <v>46027</v>
      </c>
      <c r="AD81" s="2">
        <v>55217</v>
      </c>
      <c r="AE81" s="1" t="s">
        <v>106</v>
      </c>
      <c r="AF81" s="1" t="s">
        <v>855</v>
      </c>
      <c r="AG81" s="1" t="s">
        <v>697</v>
      </c>
      <c r="AH81" s="1" t="s">
        <v>697</v>
      </c>
      <c r="AI81" s="22">
        <v>7120300</v>
      </c>
      <c r="AJ81" s="23">
        <v>0</v>
      </c>
      <c r="AK81" s="69" t="str">
        <f>MID(E81,5,LEN(E81)-4)</f>
        <v>EPCO1</v>
      </c>
    </row>
    <row r="82" spans="1:37" ht="118.95" customHeight="1" x14ac:dyDescent="0.3">
      <c r="B82" s="1">
        <f>MAX($C$2:$C$128)</f>
        <v>190</v>
      </c>
      <c r="C82" cm="1">
        <f t="array" ref="C82">IFERROR(MAX(--_xlfn.TEXTSPLIT(D82,";")),0)</f>
        <v>116</v>
      </c>
      <c r="D82" t="s">
        <v>1809</v>
      </c>
      <c r="E82" s="1" t="s">
        <v>650</v>
      </c>
      <c r="F82" s="1" t="s">
        <v>651</v>
      </c>
      <c r="G82" s="1">
        <v>1</v>
      </c>
      <c r="H82" s="1" t="s">
        <v>652</v>
      </c>
      <c r="I82" s="1" t="s">
        <v>653</v>
      </c>
      <c r="J82" s="1" t="s">
        <v>535</v>
      </c>
      <c r="K82" s="1" t="s">
        <v>190</v>
      </c>
      <c r="L82" s="1" t="s">
        <v>38</v>
      </c>
      <c r="M82" s="1" t="s">
        <v>39</v>
      </c>
      <c r="N82" s="2" t="s">
        <v>40</v>
      </c>
      <c r="O82" s="3">
        <v>5300000</v>
      </c>
      <c r="P82" s="3" t="s">
        <v>41</v>
      </c>
      <c r="Q82" s="1" t="s">
        <v>654</v>
      </c>
      <c r="R82" s="1" t="s">
        <v>133</v>
      </c>
      <c r="S82" s="3" t="s">
        <v>123</v>
      </c>
      <c r="T82" s="3" t="s">
        <v>301</v>
      </c>
      <c r="U82" s="2">
        <v>40908</v>
      </c>
      <c r="V82" s="2">
        <v>41183</v>
      </c>
      <c r="W82" s="2">
        <v>41201</v>
      </c>
      <c r="X82" s="2">
        <v>41331</v>
      </c>
      <c r="Y82" s="2">
        <v>41446</v>
      </c>
      <c r="Z82" s="3" t="s">
        <v>655</v>
      </c>
      <c r="AA82" s="3" t="s">
        <v>656</v>
      </c>
      <c r="AB82" s="3" t="s">
        <v>657</v>
      </c>
      <c r="AC82" s="2">
        <v>41446</v>
      </c>
      <c r="AD82" s="2">
        <v>48571</v>
      </c>
      <c r="AE82" s="2" t="s">
        <v>49</v>
      </c>
      <c r="AF82" s="2" t="s">
        <v>50</v>
      </c>
      <c r="AG82" s="2">
        <v>43024</v>
      </c>
      <c r="AH82" s="2">
        <v>43462</v>
      </c>
      <c r="AI82" s="8">
        <v>6438587.2999999998</v>
      </c>
      <c r="AJ82" s="6">
        <v>1</v>
      </c>
      <c r="AK82" s="69" t="str">
        <f>MID(E82,5,LEN(E82)-4)</f>
        <v>HSAN1</v>
      </c>
    </row>
    <row r="83" spans="1:37" ht="118.95" customHeight="1" x14ac:dyDescent="0.3">
      <c r="B83" s="1">
        <f>MAX($C$2:$C$128)</f>
        <v>190</v>
      </c>
      <c r="C83" cm="1">
        <f t="array" ref="C83">IFERROR(MAX(--_xlfn.TEXTSPLIT(D83,";")),0)</f>
        <v>117</v>
      </c>
      <c r="D83" t="s">
        <v>1810</v>
      </c>
      <c r="E83" s="1" t="s">
        <v>698</v>
      </c>
      <c r="F83" s="1" t="s">
        <v>699</v>
      </c>
      <c r="G83" s="1">
        <v>1</v>
      </c>
      <c r="H83" s="1" t="s">
        <v>700</v>
      </c>
      <c r="I83" s="1" t="s">
        <v>701</v>
      </c>
      <c r="J83" s="1" t="s">
        <v>535</v>
      </c>
      <c r="K83" s="1" t="s">
        <v>112</v>
      </c>
      <c r="L83" s="1" t="s">
        <v>38</v>
      </c>
      <c r="M83" s="1" t="s">
        <v>39</v>
      </c>
      <c r="N83" s="2" t="s">
        <v>40</v>
      </c>
      <c r="O83" s="3">
        <v>5300000</v>
      </c>
      <c r="P83" s="3" t="s">
        <v>41</v>
      </c>
      <c r="Q83" s="1" t="s">
        <v>702</v>
      </c>
      <c r="R83" s="1" t="s">
        <v>133</v>
      </c>
      <c r="S83" s="3" t="s">
        <v>123</v>
      </c>
      <c r="T83" s="3" t="s">
        <v>301</v>
      </c>
      <c r="U83" s="2">
        <v>41592</v>
      </c>
      <c r="V83" s="2">
        <v>41669</v>
      </c>
      <c r="W83" s="2">
        <v>41682</v>
      </c>
      <c r="X83" s="2">
        <v>41697</v>
      </c>
      <c r="Y83" s="2">
        <v>41796</v>
      </c>
      <c r="Z83" s="3" t="s">
        <v>703</v>
      </c>
      <c r="AA83" s="3" t="s">
        <v>704</v>
      </c>
      <c r="AB83" s="3" t="s">
        <v>705</v>
      </c>
      <c r="AC83" s="2">
        <v>41796</v>
      </c>
      <c r="AD83" s="2">
        <v>49631</v>
      </c>
      <c r="AE83" s="2" t="s">
        <v>49</v>
      </c>
      <c r="AF83" s="2">
        <v>41934</v>
      </c>
      <c r="AG83" s="2">
        <v>43914</v>
      </c>
      <c r="AH83" s="2">
        <v>44519</v>
      </c>
      <c r="AI83" s="8">
        <v>5718390.9000000004</v>
      </c>
      <c r="AJ83" s="6">
        <v>1</v>
      </c>
      <c r="AK83" s="69" t="str">
        <f>MID(E83,5,LEN(E83)-4)</f>
        <v>HSFB1</v>
      </c>
    </row>
    <row r="84" spans="1:37" ht="223.2" customHeight="1" x14ac:dyDescent="0.3">
      <c r="B84" s="1">
        <f>MAX($C$2:$C$128)</f>
        <v>190</v>
      </c>
      <c r="C84" cm="1">
        <f t="array" ref="C84">IFERROR(MAX(--_xlfn.TEXTSPLIT(D84,";")),0)</f>
        <v>119</v>
      </c>
      <c r="D84" t="s">
        <v>1811</v>
      </c>
      <c r="E84" s="1" t="s">
        <v>532</v>
      </c>
      <c r="F84" s="1" t="s">
        <v>533</v>
      </c>
      <c r="G84" s="1">
        <v>1</v>
      </c>
      <c r="H84" s="1" t="s">
        <v>533</v>
      </c>
      <c r="I84" s="1" t="s">
        <v>534</v>
      </c>
      <c r="J84" s="1" t="s">
        <v>535</v>
      </c>
      <c r="K84" s="1" t="s">
        <v>112</v>
      </c>
      <c r="L84" s="1" t="s">
        <v>38</v>
      </c>
      <c r="M84" s="1" t="s">
        <v>39</v>
      </c>
      <c r="N84" s="2" t="s">
        <v>40</v>
      </c>
      <c r="O84" s="3">
        <v>6568000</v>
      </c>
      <c r="P84" s="3" t="s">
        <v>41</v>
      </c>
      <c r="Q84" s="4" t="s">
        <v>536</v>
      </c>
      <c r="R84" s="1" t="s">
        <v>133</v>
      </c>
      <c r="S84" s="3" t="s">
        <v>123</v>
      </c>
      <c r="T84" s="3" t="s">
        <v>301</v>
      </c>
      <c r="U84" s="2">
        <v>39592</v>
      </c>
      <c r="V84" s="2">
        <v>39951</v>
      </c>
      <c r="W84" s="2">
        <v>39976</v>
      </c>
      <c r="X84" s="2">
        <v>40036</v>
      </c>
      <c r="Y84" s="2">
        <v>40122</v>
      </c>
      <c r="Z84" s="3" t="s">
        <v>537</v>
      </c>
      <c r="AA84" s="3" t="s">
        <v>538</v>
      </c>
      <c r="AB84" s="3" t="s">
        <v>539</v>
      </c>
      <c r="AC84" s="2">
        <v>40122</v>
      </c>
      <c r="AD84" s="2">
        <v>47528</v>
      </c>
      <c r="AE84" s="2" t="s">
        <v>49</v>
      </c>
      <c r="AF84" s="2" t="s">
        <v>50</v>
      </c>
      <c r="AG84" s="2">
        <v>41618</v>
      </c>
      <c r="AH84" s="2">
        <v>42048</v>
      </c>
      <c r="AI84" s="8">
        <v>6244764.4299999997</v>
      </c>
      <c r="AJ84" s="6">
        <v>1</v>
      </c>
      <c r="AK84" s="69" t="str">
        <f>MID(E84,5,LEN(E84)-4)</f>
        <v>HSMF1</v>
      </c>
    </row>
    <row r="85" spans="1:37" ht="118.95" customHeight="1" x14ac:dyDescent="0.3">
      <c r="B85" s="1">
        <f>MAX($C$2:$C$128)</f>
        <v>190</v>
      </c>
      <c r="C85" cm="1">
        <f t="array" ref="C85">IFERROR(MAX(--_xlfn.TEXTSPLIT(D85,";")),0)</f>
        <v>57</v>
      </c>
      <c r="D85" t="s">
        <v>1796</v>
      </c>
      <c r="E85" s="1" t="s">
        <v>785</v>
      </c>
      <c r="F85" s="1" t="s">
        <v>1861</v>
      </c>
      <c r="G85" s="1">
        <v>1</v>
      </c>
      <c r="H85" s="1" t="s">
        <v>786</v>
      </c>
      <c r="I85" s="1" t="s">
        <v>787</v>
      </c>
      <c r="J85" s="1" t="s">
        <v>263</v>
      </c>
      <c r="K85" s="1" t="s">
        <v>37</v>
      </c>
      <c r="L85" s="1" t="s">
        <v>38</v>
      </c>
      <c r="M85" s="1" t="s">
        <v>39</v>
      </c>
      <c r="N85" s="2" t="s">
        <v>40</v>
      </c>
      <c r="O85" s="3">
        <v>3880000</v>
      </c>
      <c r="P85" s="3" t="s">
        <v>41</v>
      </c>
      <c r="Q85" s="1" t="s">
        <v>788</v>
      </c>
      <c r="R85" s="1" t="s">
        <v>693</v>
      </c>
      <c r="S85" s="3" t="s">
        <v>44</v>
      </c>
      <c r="T85" s="3" t="s">
        <v>301</v>
      </c>
      <c r="U85" s="2">
        <v>42944</v>
      </c>
      <c r="V85" s="2">
        <v>43089</v>
      </c>
      <c r="W85" s="2">
        <v>43118</v>
      </c>
      <c r="X85" s="2">
        <v>43165</v>
      </c>
      <c r="Y85" s="2">
        <v>43224</v>
      </c>
      <c r="Z85" s="3" t="s">
        <v>789</v>
      </c>
      <c r="AA85" s="3" t="s">
        <v>790</v>
      </c>
      <c r="AB85" s="3" t="s">
        <v>791</v>
      </c>
      <c r="AC85" s="2">
        <v>43224</v>
      </c>
      <c r="AD85" s="2">
        <v>50256</v>
      </c>
      <c r="AE85" s="2" t="s">
        <v>49</v>
      </c>
      <c r="AF85" s="2">
        <v>43731</v>
      </c>
      <c r="AG85" s="2" t="s">
        <v>697</v>
      </c>
      <c r="AH85" s="2" t="s">
        <v>697</v>
      </c>
      <c r="AI85" s="5">
        <v>3880000</v>
      </c>
      <c r="AJ85" s="13">
        <v>0.21240000000000001</v>
      </c>
      <c r="AK85" s="1" t="str">
        <f>MID(E85,5,LEN(E85)-4)</f>
        <v>ELPA1</v>
      </c>
    </row>
    <row r="86" spans="1:37" ht="148.94999999999999" customHeight="1" x14ac:dyDescent="0.3">
      <c r="B86" s="1">
        <f>MAX($C$2:$C$128)</f>
        <v>190</v>
      </c>
      <c r="C86" cm="1">
        <f t="array" ref="C86">IFERROR(MAX(--_xlfn.TEXTSPLIT(D86,";")),0)</f>
        <v>55</v>
      </c>
      <c r="D86" t="s">
        <v>1794</v>
      </c>
      <c r="E86" s="1" t="s">
        <v>261</v>
      </c>
      <c r="F86" s="1" t="s">
        <v>1860</v>
      </c>
      <c r="G86" s="1">
        <v>1</v>
      </c>
      <c r="H86" s="1" t="s">
        <v>262</v>
      </c>
      <c r="I86" s="1">
        <v>0</v>
      </c>
      <c r="J86" s="1" t="s">
        <v>263</v>
      </c>
      <c r="K86" s="1" t="s">
        <v>175</v>
      </c>
      <c r="L86" s="1" t="s">
        <v>38</v>
      </c>
      <c r="M86" s="1" t="s">
        <v>39</v>
      </c>
      <c r="N86" s="2" t="s">
        <v>40</v>
      </c>
      <c r="O86" s="3">
        <v>1319600</v>
      </c>
      <c r="P86" s="3" t="s">
        <v>41</v>
      </c>
      <c r="Q86" s="1" t="s">
        <v>264</v>
      </c>
      <c r="R86" s="1" t="s">
        <v>43</v>
      </c>
      <c r="S86" s="3" t="s">
        <v>123</v>
      </c>
      <c r="T86" s="3" t="s">
        <v>265</v>
      </c>
      <c r="U86" s="2">
        <v>36401</v>
      </c>
      <c r="V86" s="2">
        <v>36979</v>
      </c>
      <c r="W86" s="2">
        <v>37008</v>
      </c>
      <c r="X86" s="2">
        <v>37081</v>
      </c>
      <c r="Y86" s="2">
        <v>37172</v>
      </c>
      <c r="Z86" s="3" t="s">
        <v>266</v>
      </c>
      <c r="AA86" s="3" t="s">
        <v>267</v>
      </c>
      <c r="AB86" s="48" t="s">
        <v>268</v>
      </c>
      <c r="AC86" s="2">
        <v>37164</v>
      </c>
      <c r="AD86" s="2">
        <v>38699</v>
      </c>
      <c r="AE86" s="2" t="s">
        <v>49</v>
      </c>
      <c r="AF86" s="2" t="s">
        <v>269</v>
      </c>
      <c r="AG86" s="2" t="s">
        <v>269</v>
      </c>
      <c r="AH86" s="2" t="s">
        <v>269</v>
      </c>
      <c r="AI86" s="5">
        <v>232211.22</v>
      </c>
      <c r="AJ86" s="6">
        <v>0</v>
      </c>
      <c r="AK86" s="69" t="str">
        <f>MID(E86,5,LEN(E86)-4)</f>
        <v>EEBA1</v>
      </c>
    </row>
    <row r="87" spans="1:37" ht="148.19999999999999" customHeight="1" x14ac:dyDescent="0.3">
      <c r="B87" s="1">
        <f>MAX($C$2:$C$128)</f>
        <v>190</v>
      </c>
      <c r="C87" cm="1">
        <f t="array" ref="C87">IFERROR(MAX(--_xlfn.TEXTSPLIT(D87,";")),0)</f>
        <v>49</v>
      </c>
      <c r="D87" t="s">
        <v>1789</v>
      </c>
      <c r="E87" s="1" t="s">
        <v>824</v>
      </c>
      <c r="F87" s="1" t="s">
        <v>1872</v>
      </c>
      <c r="G87" s="1">
        <v>2</v>
      </c>
      <c r="H87" s="1" t="s">
        <v>825</v>
      </c>
      <c r="I87" s="1" t="s">
        <v>826</v>
      </c>
      <c r="J87" s="1" t="s">
        <v>36</v>
      </c>
      <c r="K87" s="1" t="s">
        <v>175</v>
      </c>
      <c r="L87" s="1" t="s">
        <v>38</v>
      </c>
      <c r="M87" s="1" t="s">
        <v>39</v>
      </c>
      <c r="N87" s="2" t="s">
        <v>40</v>
      </c>
      <c r="O87" s="3">
        <v>12155000</v>
      </c>
      <c r="P87" s="3" t="s">
        <v>41</v>
      </c>
      <c r="Q87" s="1" t="s">
        <v>827</v>
      </c>
      <c r="R87" s="1" t="s">
        <v>662</v>
      </c>
      <c r="S87" s="3" t="s">
        <v>44</v>
      </c>
      <c r="T87" s="3" t="s">
        <v>152</v>
      </c>
      <c r="U87" s="2">
        <v>43232</v>
      </c>
      <c r="V87" s="2">
        <v>43434</v>
      </c>
      <c r="W87" s="2">
        <v>43460</v>
      </c>
      <c r="X87" s="2">
        <v>43585</v>
      </c>
      <c r="Y87" s="2">
        <v>43766</v>
      </c>
      <c r="Z87" s="3" t="s">
        <v>828</v>
      </c>
      <c r="AA87" s="3" t="s">
        <v>829</v>
      </c>
      <c r="AB87" s="3" t="s">
        <v>830</v>
      </c>
      <c r="AC87" s="2">
        <v>43766</v>
      </c>
      <c r="AD87" s="2">
        <v>54723</v>
      </c>
      <c r="AE87" s="2" t="s">
        <v>106</v>
      </c>
      <c r="AF87" s="2">
        <v>45797</v>
      </c>
      <c r="AG87" s="2" t="s">
        <v>697</v>
      </c>
      <c r="AH87" s="2" t="s">
        <v>697</v>
      </c>
      <c r="AI87" s="5">
        <v>12155000</v>
      </c>
      <c r="AJ87" s="6" t="s">
        <v>831</v>
      </c>
      <c r="AK87" s="69" t="str">
        <f>MID(E87,5,LEN(E87)-4)</f>
        <v>LVLS2</v>
      </c>
    </row>
    <row r="88" spans="1:37" ht="118.95" customHeight="1" x14ac:dyDescent="0.3">
      <c r="A88" t="s">
        <v>1907</v>
      </c>
      <c r="B88" s="1">
        <f>MAX($C$2:$C$128)</f>
        <v>190</v>
      </c>
      <c r="C88" cm="1">
        <f t="array" ref="C88">IFERROR(MAX(--_xlfn.TEXTSPLIT(D88,";")),0)</f>
        <v>122</v>
      </c>
      <c r="D88" t="s">
        <v>1814</v>
      </c>
      <c r="E88" s="1" t="s">
        <v>658</v>
      </c>
      <c r="F88" s="1" t="s">
        <v>1873</v>
      </c>
      <c r="G88" s="1">
        <v>1</v>
      </c>
      <c r="H88" s="1" t="s">
        <v>659</v>
      </c>
      <c r="I88" s="1" t="s">
        <v>660</v>
      </c>
      <c r="J88" s="1" t="s">
        <v>111</v>
      </c>
      <c r="K88" s="1" t="s">
        <v>55</v>
      </c>
      <c r="L88" s="1" t="s">
        <v>38</v>
      </c>
      <c r="M88" s="1" t="s">
        <v>39</v>
      </c>
      <c r="N88" s="2" t="s">
        <v>40</v>
      </c>
      <c r="O88" s="3">
        <v>4420000</v>
      </c>
      <c r="P88" s="3" t="s">
        <v>41</v>
      </c>
      <c r="Q88" s="1" t="s">
        <v>661</v>
      </c>
      <c r="R88" s="1" t="s">
        <v>662</v>
      </c>
      <c r="S88" s="3" t="s">
        <v>44</v>
      </c>
      <c r="T88" s="3" t="s">
        <v>484</v>
      </c>
      <c r="U88" s="2">
        <v>41271</v>
      </c>
      <c r="V88" s="2">
        <v>41593</v>
      </c>
      <c r="W88" s="2">
        <v>41621</v>
      </c>
      <c r="X88" s="2">
        <v>41828</v>
      </c>
      <c r="Y88" s="2">
        <v>41975</v>
      </c>
      <c r="Z88" s="3" t="s">
        <v>663</v>
      </c>
      <c r="AA88" s="3" t="s">
        <v>664</v>
      </c>
      <c r="AB88" s="3" t="s">
        <v>665</v>
      </c>
      <c r="AC88" s="2">
        <v>41975</v>
      </c>
      <c r="AD88" s="2">
        <v>56585</v>
      </c>
      <c r="AE88" s="2" t="s">
        <v>106</v>
      </c>
      <c r="AF88" s="2">
        <v>44378</v>
      </c>
      <c r="AG88" s="2">
        <v>45985</v>
      </c>
      <c r="AH88" s="2" t="s">
        <v>531</v>
      </c>
      <c r="AI88" s="9">
        <v>6057865.2999999998</v>
      </c>
      <c r="AJ88" s="13">
        <v>0.93169999999999997</v>
      </c>
      <c r="AK88" s="69" t="str">
        <f>MID(E88,5,LEN(E88)-4)</f>
        <v>NPIB1</v>
      </c>
    </row>
    <row r="89" spans="1:37" ht="118.95" customHeight="1" x14ac:dyDescent="0.3">
      <c r="B89" s="1">
        <f>MAX($C$2:$C$128)</f>
        <v>190</v>
      </c>
      <c r="C89" cm="1">
        <f t="array" ref="C89">IFERROR(MAX(--_xlfn.TEXTSPLIT(D89,";")),0)</f>
        <v>48</v>
      </c>
      <c r="D89" t="s">
        <v>1788</v>
      </c>
      <c r="E89" s="57" t="s">
        <v>962</v>
      </c>
      <c r="F89" s="1" t="s">
        <v>148</v>
      </c>
      <c r="G89" s="1">
        <v>2</v>
      </c>
      <c r="H89" s="1" t="s">
        <v>963</v>
      </c>
      <c r="I89" s="1" t="s">
        <v>964</v>
      </c>
      <c r="J89" s="1" t="s">
        <v>36</v>
      </c>
      <c r="K89" s="1" t="s">
        <v>92</v>
      </c>
      <c r="L89" s="1" t="s">
        <v>38</v>
      </c>
      <c r="M89" s="1" t="s">
        <v>39</v>
      </c>
      <c r="N89" s="2"/>
      <c r="O89" s="3">
        <v>35970000</v>
      </c>
      <c r="P89" s="24" t="s">
        <v>41</v>
      </c>
      <c r="Q89" s="1" t="s">
        <v>965</v>
      </c>
      <c r="R89" s="1" t="s">
        <v>662</v>
      </c>
      <c r="S89" s="3" t="s">
        <v>44</v>
      </c>
      <c r="T89" s="3" t="s">
        <v>152</v>
      </c>
      <c r="U89" s="2">
        <v>44561</v>
      </c>
      <c r="V89" s="2">
        <v>45580</v>
      </c>
      <c r="W89" s="2">
        <v>45608</v>
      </c>
      <c r="X89" s="2">
        <v>45674</v>
      </c>
      <c r="Y89" s="2">
        <v>45786</v>
      </c>
      <c r="Z89" s="1" t="s">
        <v>966</v>
      </c>
      <c r="AA89" s="1" t="s">
        <v>967</v>
      </c>
      <c r="AB89" s="63" t="s">
        <v>968</v>
      </c>
      <c r="AC89" s="2">
        <v>45786</v>
      </c>
      <c r="AD89" s="2">
        <v>56743</v>
      </c>
      <c r="AE89" s="2" t="s">
        <v>106</v>
      </c>
      <c r="AF89" s="2" t="s">
        <v>855</v>
      </c>
      <c r="AG89" s="2" t="s">
        <v>697</v>
      </c>
      <c r="AH89" s="2" t="s">
        <v>697</v>
      </c>
      <c r="AI89" s="22">
        <v>35970000</v>
      </c>
      <c r="AJ89" s="6">
        <v>0</v>
      </c>
      <c r="AK89" s="69" t="str">
        <f>MID(E89,5,LEN(E89)-4)</f>
        <v>ISVV2</v>
      </c>
    </row>
    <row r="90" spans="1:37" ht="118.95" customHeight="1" x14ac:dyDescent="0.3">
      <c r="B90" s="1">
        <f>MAX($C$2:$C$128)</f>
        <v>190</v>
      </c>
      <c r="C90" cm="1">
        <f t="array" ref="C90">IFERROR(MAX(--_xlfn.TEXTSPLIT(D90,";")),0)</f>
        <v>124</v>
      </c>
      <c r="D90" t="s">
        <v>1816</v>
      </c>
      <c r="E90" s="1" t="s">
        <v>554</v>
      </c>
      <c r="F90" s="45" t="s">
        <v>1008</v>
      </c>
      <c r="G90" s="1">
        <v>1</v>
      </c>
      <c r="H90" s="1" t="s">
        <v>555</v>
      </c>
      <c r="I90" s="1" t="s">
        <v>556</v>
      </c>
      <c r="J90" s="1" t="s">
        <v>64</v>
      </c>
      <c r="K90" s="1" t="s">
        <v>216</v>
      </c>
      <c r="L90" s="1" t="s">
        <v>38</v>
      </c>
      <c r="M90" s="1" t="s">
        <v>39</v>
      </c>
      <c r="N90" s="2" t="s">
        <v>40</v>
      </c>
      <c r="O90" s="3">
        <v>2681000</v>
      </c>
      <c r="P90" s="3" t="s">
        <v>41</v>
      </c>
      <c r="Q90" s="1" t="s">
        <v>557</v>
      </c>
      <c r="R90" s="1" t="s">
        <v>43</v>
      </c>
      <c r="S90" s="3" t="s">
        <v>123</v>
      </c>
      <c r="T90" s="3" t="s">
        <v>301</v>
      </c>
      <c r="U90" s="2">
        <v>39800</v>
      </c>
      <c r="V90" s="2">
        <v>40095</v>
      </c>
      <c r="W90" s="2">
        <v>40147</v>
      </c>
      <c r="X90" s="2">
        <v>40211</v>
      </c>
      <c r="Y90" s="2">
        <v>40285</v>
      </c>
      <c r="Z90" s="3" t="s">
        <v>558</v>
      </c>
      <c r="AA90" s="3" t="s">
        <v>559</v>
      </c>
      <c r="AB90" s="3" t="s">
        <v>560</v>
      </c>
      <c r="AC90" s="2">
        <v>40285</v>
      </c>
      <c r="AD90" s="2">
        <v>45900</v>
      </c>
      <c r="AE90" s="2" t="s">
        <v>49</v>
      </c>
      <c r="AF90" s="2">
        <v>41016</v>
      </c>
      <c r="AG90" s="2">
        <v>41779</v>
      </c>
      <c r="AH90" s="2">
        <v>42025</v>
      </c>
      <c r="AI90" s="5">
        <v>2623962.17</v>
      </c>
      <c r="AJ90" s="6">
        <v>1</v>
      </c>
      <c r="AK90" s="69" t="str">
        <f>MID(E90,5,LEN(E90)-4)</f>
        <v>NARA1</v>
      </c>
    </row>
    <row r="91" spans="1:37" ht="118.95" customHeight="1" x14ac:dyDescent="0.3">
      <c r="B91" s="1">
        <f>MAX($C$2:$C$128)</f>
        <v>190</v>
      </c>
      <c r="C91" cm="1">
        <f t="array" ref="C91">IFERROR(MAX(--_xlfn.TEXTSPLIT(D91,";")),0)</f>
        <v>41</v>
      </c>
      <c r="D91" t="s">
        <v>1784</v>
      </c>
      <c r="E91" s="1" t="s">
        <v>729</v>
      </c>
      <c r="F91" s="1" t="s">
        <v>99</v>
      </c>
      <c r="G91" s="1">
        <v>2</v>
      </c>
      <c r="H91" s="1" t="s">
        <v>730</v>
      </c>
      <c r="I91" s="1" t="s">
        <v>731</v>
      </c>
      <c r="J91" s="1" t="s">
        <v>36</v>
      </c>
      <c r="K91" s="1" t="s">
        <v>37</v>
      </c>
      <c r="L91" s="1" t="s">
        <v>38</v>
      </c>
      <c r="M91" s="1" t="s">
        <v>39</v>
      </c>
      <c r="N91" s="2" t="s">
        <v>40</v>
      </c>
      <c r="O91" s="3">
        <v>5250000</v>
      </c>
      <c r="P91" s="3" t="s">
        <v>41</v>
      </c>
      <c r="Q91" s="1" t="s">
        <v>732</v>
      </c>
      <c r="R91" s="1" t="s">
        <v>662</v>
      </c>
      <c r="S91" s="3" t="s">
        <v>44</v>
      </c>
      <c r="T91" s="3" t="s">
        <v>484</v>
      </c>
      <c r="U91" s="2">
        <v>42335</v>
      </c>
      <c r="V91" s="2">
        <v>42458</v>
      </c>
      <c r="W91" s="2">
        <v>42482</v>
      </c>
      <c r="X91" s="2">
        <v>42528</v>
      </c>
      <c r="Y91" s="2">
        <v>42605</v>
      </c>
      <c r="Z91" s="3" t="s">
        <v>733</v>
      </c>
      <c r="AA91" s="3" t="s">
        <v>734</v>
      </c>
      <c r="AB91" s="3" t="s">
        <v>735</v>
      </c>
      <c r="AC91" s="2">
        <v>42605</v>
      </c>
      <c r="AD91" s="2">
        <v>53197</v>
      </c>
      <c r="AE91" s="2" t="s">
        <v>106</v>
      </c>
      <c r="AF91" s="2">
        <v>44006</v>
      </c>
      <c r="AG91" s="2" t="s">
        <v>697</v>
      </c>
      <c r="AH91" s="2" t="s">
        <v>697</v>
      </c>
      <c r="AI91" s="5">
        <v>5250000</v>
      </c>
      <c r="AJ91" s="6" t="s">
        <v>736</v>
      </c>
      <c r="AK91" s="69" t="str">
        <f>MID(E91,5,LEN(E91)-4)</f>
        <v>CNPU2</v>
      </c>
    </row>
    <row r="92" spans="1:37" ht="118.95" customHeight="1" x14ac:dyDescent="0.3">
      <c r="B92" s="1">
        <f>MAX($C$2:$C$128)</f>
        <v>190</v>
      </c>
      <c r="C92" cm="1">
        <f t="array" ref="C92">IFERROR(MAX(--_xlfn.TEXTSPLIT(D92,";")),0)</f>
        <v>125</v>
      </c>
      <c r="D92" t="s">
        <v>1817</v>
      </c>
      <c r="E92" s="1" t="s">
        <v>547</v>
      </c>
      <c r="F92" s="1" t="s">
        <v>1875</v>
      </c>
      <c r="G92" s="1">
        <v>1</v>
      </c>
      <c r="H92" s="1" t="s">
        <v>548</v>
      </c>
      <c r="I92" s="1" t="s">
        <v>549</v>
      </c>
      <c r="J92" s="1" t="s">
        <v>36</v>
      </c>
      <c r="K92" s="1" t="s">
        <v>75</v>
      </c>
      <c r="L92" s="1" t="s">
        <v>38</v>
      </c>
      <c r="M92" s="1" t="s">
        <v>66</v>
      </c>
      <c r="N92" s="2">
        <v>38427</v>
      </c>
      <c r="O92" s="3">
        <v>4125000</v>
      </c>
      <c r="P92" s="3" t="s">
        <v>41</v>
      </c>
      <c r="Q92" s="1" t="s">
        <v>550</v>
      </c>
      <c r="R92" s="1" t="s">
        <v>133</v>
      </c>
      <c r="S92" s="3" t="s">
        <v>44</v>
      </c>
      <c r="T92" s="3" t="s">
        <v>484</v>
      </c>
      <c r="U92" s="2">
        <v>39781</v>
      </c>
      <c r="V92" s="2">
        <v>40115</v>
      </c>
      <c r="W92" s="2">
        <v>40142</v>
      </c>
      <c r="X92" s="2">
        <v>40219</v>
      </c>
      <c r="Y92" s="2">
        <v>40302</v>
      </c>
      <c r="Z92" s="3" t="s">
        <v>551</v>
      </c>
      <c r="AA92" s="3" t="s">
        <v>552</v>
      </c>
      <c r="AB92" s="3" t="s">
        <v>553</v>
      </c>
      <c r="AC92" s="2">
        <v>40302</v>
      </c>
      <c r="AD92" s="2">
        <v>55096</v>
      </c>
      <c r="AE92" s="2" t="s">
        <v>106</v>
      </c>
      <c r="AF92" s="2" t="s">
        <v>50</v>
      </c>
      <c r="AG92" s="2">
        <v>41810</v>
      </c>
      <c r="AH92" s="2">
        <v>41954</v>
      </c>
      <c r="AI92" s="8">
        <v>5248461.3500000006</v>
      </c>
      <c r="AJ92" s="6">
        <v>1</v>
      </c>
      <c r="AK92" s="69" t="str">
        <f>MID(E92,5,LEN(E92)-4)</f>
        <v>PMPA1</v>
      </c>
    </row>
    <row r="93" spans="1:37" ht="118.95" customHeight="1" x14ac:dyDescent="0.3">
      <c r="B93" s="1">
        <f>MAX($C$2:$C$128)</f>
        <v>190</v>
      </c>
      <c r="C93" cm="1">
        <f t="array" ref="C93">IFERROR(MAX(--_xlfn.TEXTSPLIT(D93,";")),0)</f>
        <v>126</v>
      </c>
      <c r="D93" t="s">
        <v>1818</v>
      </c>
      <c r="E93" s="1" t="s">
        <v>195</v>
      </c>
      <c r="F93" s="1" t="s">
        <v>1874</v>
      </c>
      <c r="G93" s="1">
        <v>1</v>
      </c>
      <c r="H93" s="1" t="s">
        <v>196</v>
      </c>
      <c r="I93" s="1" t="s">
        <v>197</v>
      </c>
      <c r="J93" s="1" t="s">
        <v>36</v>
      </c>
      <c r="K93" s="1" t="s">
        <v>198</v>
      </c>
      <c r="L93" s="1" t="s">
        <v>38</v>
      </c>
      <c r="M93" s="1" t="s">
        <v>39</v>
      </c>
      <c r="N93" s="2" t="s">
        <v>40</v>
      </c>
      <c r="O93" s="3">
        <v>5782000</v>
      </c>
      <c r="P93" s="3" t="s">
        <v>41</v>
      </c>
      <c r="Q93" s="1" t="s">
        <v>199</v>
      </c>
      <c r="R93" s="1" t="s">
        <v>133</v>
      </c>
      <c r="S93" s="3" t="s">
        <v>123</v>
      </c>
      <c r="T93" s="3" t="s">
        <v>200</v>
      </c>
      <c r="U93" s="2">
        <v>35593</v>
      </c>
      <c r="V93" s="2">
        <v>35626</v>
      </c>
      <c r="W93" s="2">
        <v>35647</v>
      </c>
      <c r="X93" s="2">
        <v>35748</v>
      </c>
      <c r="Y93" s="2">
        <v>35808</v>
      </c>
      <c r="Z93" s="3" t="s">
        <v>201</v>
      </c>
      <c r="AA93" s="3" t="s">
        <v>202</v>
      </c>
      <c r="AB93" s="3" t="s">
        <v>203</v>
      </c>
      <c r="AC93" s="2">
        <v>36058</v>
      </c>
      <c r="AD93" s="2">
        <v>46203</v>
      </c>
      <c r="AE93" s="2" t="s">
        <v>49</v>
      </c>
      <c r="AF93" s="2" t="s">
        <v>50</v>
      </c>
      <c r="AG93" s="2">
        <v>37194</v>
      </c>
      <c r="AH93" s="2">
        <v>37522</v>
      </c>
      <c r="AI93" s="9">
        <v>9212080.3000000007</v>
      </c>
      <c r="AJ93" s="6">
        <v>1</v>
      </c>
      <c r="AK93" s="70" t="str">
        <f>MID(E93,5,LEN(E93)-4)</f>
        <v>RBPM1</v>
      </c>
    </row>
    <row r="94" spans="1:37" ht="118.95" customHeight="1" x14ac:dyDescent="0.3">
      <c r="B94" s="1">
        <f>MAX($C$2:$C$128)</f>
        <v>190</v>
      </c>
      <c r="C94" cm="1">
        <f t="array" ref="C94">IFERROR(MAX(--_xlfn.TEXTSPLIT(D94,";")),0)</f>
        <v>37</v>
      </c>
      <c r="D94" t="s">
        <v>1781</v>
      </c>
      <c r="E94" s="1" t="s">
        <v>946</v>
      </c>
      <c r="F94" s="1" t="s">
        <v>1855</v>
      </c>
      <c r="G94" s="1">
        <v>2</v>
      </c>
      <c r="H94" s="1" t="s">
        <v>947</v>
      </c>
      <c r="I94" s="1" t="s">
        <v>948</v>
      </c>
      <c r="J94" s="1" t="s">
        <v>36</v>
      </c>
      <c r="K94" s="1" t="s">
        <v>949</v>
      </c>
      <c r="L94" s="1" t="s">
        <v>38</v>
      </c>
      <c r="M94" s="1" t="s">
        <v>39</v>
      </c>
      <c r="N94" s="2" t="s">
        <v>40</v>
      </c>
      <c r="O94" s="3">
        <v>14215000</v>
      </c>
      <c r="P94" s="3" t="s">
        <v>41</v>
      </c>
      <c r="Q94" s="1" t="s">
        <v>950</v>
      </c>
      <c r="R94" s="1" t="s">
        <v>662</v>
      </c>
      <c r="S94" s="3" t="s">
        <v>44</v>
      </c>
      <c r="T94" s="3" t="s">
        <v>152</v>
      </c>
      <c r="U94" s="2">
        <v>44498</v>
      </c>
      <c r="V94" s="2">
        <v>44827</v>
      </c>
      <c r="W94" s="2">
        <v>44855</v>
      </c>
      <c r="X94" s="2">
        <v>44909</v>
      </c>
      <c r="Y94" s="2">
        <v>44968</v>
      </c>
      <c r="Z94" s="3" t="s">
        <v>951</v>
      </c>
      <c r="AA94" s="59" t="s">
        <v>952</v>
      </c>
      <c r="AB94" s="3" t="s">
        <v>953</v>
      </c>
      <c r="AC94" s="2">
        <v>44968</v>
      </c>
      <c r="AD94" s="2">
        <v>55926</v>
      </c>
      <c r="AE94" s="2" t="s">
        <v>106</v>
      </c>
      <c r="AF94" s="2" t="s">
        <v>855</v>
      </c>
      <c r="AG94" s="2" t="s">
        <v>697</v>
      </c>
      <c r="AH94" s="2" t="s">
        <v>697</v>
      </c>
      <c r="AI94" s="5">
        <v>14215000</v>
      </c>
      <c r="AJ94" s="6">
        <v>0</v>
      </c>
      <c r="AK94" s="69" t="str">
        <f>MID(E94,5,LEN(E94)-4)</f>
        <v>CHCO2</v>
      </c>
    </row>
    <row r="95" spans="1:37" ht="118.95" customHeight="1" x14ac:dyDescent="0.3">
      <c r="B95" s="1">
        <f>MAX($C$2:$C$128)</f>
        <v>190</v>
      </c>
      <c r="C95" cm="1">
        <f t="array" ref="C95">IFERROR(MAX(--_xlfn.TEXTSPLIT(D95,";")),0)</f>
        <v>175</v>
      </c>
      <c r="D95" t="s">
        <v>1819</v>
      </c>
      <c r="E95" s="1" t="s">
        <v>414</v>
      </c>
      <c r="F95" s="1" t="s">
        <v>415</v>
      </c>
      <c r="G95" s="1">
        <v>1</v>
      </c>
      <c r="H95" s="1" t="s">
        <v>416</v>
      </c>
      <c r="I95" s="1" t="s">
        <v>417</v>
      </c>
      <c r="J95" s="1" t="s">
        <v>385</v>
      </c>
      <c r="K95" s="1" t="s">
        <v>112</v>
      </c>
      <c r="L95" s="1" t="s">
        <v>38</v>
      </c>
      <c r="M95" s="1" t="s">
        <v>39</v>
      </c>
      <c r="N95" s="2" t="s">
        <v>40</v>
      </c>
      <c r="O95" s="3">
        <v>520628</v>
      </c>
      <c r="P95" s="3" t="s">
        <v>41</v>
      </c>
      <c r="Q95" s="1" t="s">
        <v>418</v>
      </c>
      <c r="R95" s="1" t="s">
        <v>133</v>
      </c>
      <c r="S95" s="3" t="s">
        <v>44</v>
      </c>
      <c r="T95" s="3" t="s">
        <v>301</v>
      </c>
      <c r="U95" s="2">
        <v>37903</v>
      </c>
      <c r="V95" s="2">
        <v>38048</v>
      </c>
      <c r="W95" s="2">
        <v>38071</v>
      </c>
      <c r="X95" s="2">
        <v>38096</v>
      </c>
      <c r="Y95" s="2">
        <v>38126</v>
      </c>
      <c r="Z95" s="3" t="s">
        <v>419</v>
      </c>
      <c r="AA95" s="3" t="s">
        <v>420</v>
      </c>
      <c r="AB95" s="3" t="s">
        <v>421</v>
      </c>
      <c r="AC95" s="2">
        <v>38126</v>
      </c>
      <c r="AD95" s="2">
        <v>49082</v>
      </c>
      <c r="AE95" s="2" t="s">
        <v>49</v>
      </c>
      <c r="AF95" s="2" t="s">
        <v>50</v>
      </c>
      <c r="AG95" s="2">
        <v>38674</v>
      </c>
      <c r="AH95" s="2">
        <v>38713</v>
      </c>
      <c r="AI95" s="8">
        <v>591239.70000000007</v>
      </c>
      <c r="AJ95" s="6">
        <v>1</v>
      </c>
      <c r="AK95" s="1" t="str">
        <f>MID(E95,5,LEN(E95)-4)</f>
        <v>PCIS1</v>
      </c>
    </row>
    <row r="96" spans="1:37" ht="118.95" customHeight="1" x14ac:dyDescent="0.3">
      <c r="B96" s="1">
        <f>MAX($C$2:$C$128)</f>
        <v>190</v>
      </c>
      <c r="C96" cm="1">
        <f t="array" ref="C96">IFERROR(MAX(--_xlfn.TEXTSPLIT(D96,";")),0)</f>
        <v>128</v>
      </c>
      <c r="D96" t="s">
        <v>1820</v>
      </c>
      <c r="E96" s="1" t="s">
        <v>324</v>
      </c>
      <c r="F96" s="1" t="s">
        <v>325</v>
      </c>
      <c r="G96" s="1">
        <v>1</v>
      </c>
      <c r="H96" s="1" t="s">
        <v>326</v>
      </c>
      <c r="I96" s="1" t="s">
        <v>327</v>
      </c>
      <c r="J96" s="1" t="s">
        <v>36</v>
      </c>
      <c r="K96" s="1" t="s">
        <v>55</v>
      </c>
      <c r="L96" s="1" t="s">
        <v>38</v>
      </c>
      <c r="M96" s="1" t="s">
        <v>66</v>
      </c>
      <c r="N96" s="2" t="s">
        <v>40</v>
      </c>
      <c r="O96" s="3">
        <v>648250</v>
      </c>
      <c r="P96" s="3" t="s">
        <v>41</v>
      </c>
      <c r="Q96" s="1" t="s">
        <v>328</v>
      </c>
      <c r="R96" s="1" t="s">
        <v>133</v>
      </c>
      <c r="S96" s="3" t="s">
        <v>44</v>
      </c>
      <c r="T96" s="3" t="s">
        <v>329</v>
      </c>
      <c r="U96" s="2">
        <v>37120</v>
      </c>
      <c r="V96" s="2">
        <v>37231</v>
      </c>
      <c r="W96" s="2">
        <v>37253</v>
      </c>
      <c r="X96" s="2">
        <v>37287</v>
      </c>
      <c r="Y96" s="2">
        <v>37366</v>
      </c>
      <c r="Z96" s="3" t="s">
        <v>330</v>
      </c>
      <c r="AA96" s="3" t="s">
        <v>331</v>
      </c>
      <c r="AB96" s="3" t="s">
        <v>332</v>
      </c>
      <c r="AC96" s="2">
        <v>37366</v>
      </c>
      <c r="AD96" s="2">
        <v>48871</v>
      </c>
      <c r="AE96" s="2" t="s">
        <v>49</v>
      </c>
      <c r="AF96" s="2" t="s">
        <v>50</v>
      </c>
      <c r="AG96" s="2">
        <v>38499</v>
      </c>
      <c r="AH96" s="2">
        <v>38712</v>
      </c>
      <c r="AI96" s="8">
        <v>946633.08000000007</v>
      </c>
      <c r="AJ96" s="6">
        <v>1</v>
      </c>
      <c r="AK96" s="1" t="str">
        <f>MID(E96,5,LEN(E96)-4)</f>
        <v>RITP1</v>
      </c>
    </row>
    <row r="97" spans="2:37" ht="187.2" x14ac:dyDescent="0.3">
      <c r="B97" s="1">
        <f>MAX($C$2:$C$128)</f>
        <v>190</v>
      </c>
      <c r="C97" cm="1">
        <f t="array" ref="C97">IFERROR(MAX(--_xlfn.TEXTSPLIT(D97,";")),0)</f>
        <v>178</v>
      </c>
      <c r="D97" t="s">
        <v>1821</v>
      </c>
      <c r="E97" s="1" t="s">
        <v>305</v>
      </c>
      <c r="F97" s="1" t="s">
        <v>306</v>
      </c>
      <c r="G97" s="1">
        <v>1</v>
      </c>
      <c r="H97" s="1" t="s">
        <v>307</v>
      </c>
      <c r="I97" s="1" t="s">
        <v>308</v>
      </c>
      <c r="J97" s="1" t="s">
        <v>309</v>
      </c>
      <c r="K97" s="1" t="s">
        <v>310</v>
      </c>
      <c r="L97" s="1" t="s">
        <v>38</v>
      </c>
      <c r="M97" s="1" t="s">
        <v>39</v>
      </c>
      <c r="N97" s="2" t="s">
        <v>40</v>
      </c>
      <c r="O97" s="3">
        <v>2800000</v>
      </c>
      <c r="P97" s="3" t="s">
        <v>41</v>
      </c>
      <c r="Q97" s="1" t="s">
        <v>311</v>
      </c>
      <c r="R97" s="1" t="s">
        <v>133</v>
      </c>
      <c r="S97" s="3" t="s">
        <v>123</v>
      </c>
      <c r="T97" s="3" t="s">
        <v>312</v>
      </c>
      <c r="U97" s="2">
        <v>36975</v>
      </c>
      <c r="V97" s="2">
        <v>37181</v>
      </c>
      <c r="W97" s="2">
        <v>37229</v>
      </c>
      <c r="X97" s="2">
        <v>37343</v>
      </c>
      <c r="Y97" s="2">
        <v>37422</v>
      </c>
      <c r="Z97" s="3" t="s">
        <v>313</v>
      </c>
      <c r="AA97" s="3" t="s">
        <v>314</v>
      </c>
      <c r="AB97" s="3" t="s">
        <v>315</v>
      </c>
      <c r="AC97" s="2">
        <v>37422</v>
      </c>
      <c r="AD97" s="2">
        <v>46752</v>
      </c>
      <c r="AE97" s="2" t="s">
        <v>49</v>
      </c>
      <c r="AF97" s="2" t="s">
        <v>50</v>
      </c>
      <c r="AG97" s="2">
        <v>38637</v>
      </c>
      <c r="AH97" s="2">
        <v>38741</v>
      </c>
      <c r="AI97" s="5">
        <v>5723554.5199999996</v>
      </c>
      <c r="AJ97" s="6">
        <v>1</v>
      </c>
      <c r="AK97" s="69" t="str">
        <f>MID(E97,5,LEN(E97)-4)</f>
        <v>PP1G1</v>
      </c>
    </row>
    <row r="98" spans="2:37" ht="118.95" customHeight="1" x14ac:dyDescent="0.3">
      <c r="B98" s="1">
        <f>MAX($C$2:$C$128)</f>
        <v>190</v>
      </c>
      <c r="C98" cm="1">
        <f t="array" ref="C98">IFERROR(MAX(--_xlfn.TEXTSPLIT(D98,";")),0)</f>
        <v>33</v>
      </c>
      <c r="D98" t="s">
        <v>1776</v>
      </c>
      <c r="E98" s="1" t="s">
        <v>72</v>
      </c>
      <c r="F98" s="1" t="s">
        <v>809</v>
      </c>
      <c r="G98" s="1">
        <v>1</v>
      </c>
      <c r="H98" s="1" t="s">
        <v>73</v>
      </c>
      <c r="I98" s="1" t="s">
        <v>74</v>
      </c>
      <c r="J98" s="1" t="s">
        <v>64</v>
      </c>
      <c r="K98" s="1" t="s">
        <v>75</v>
      </c>
      <c r="L98" s="1" t="s">
        <v>38</v>
      </c>
      <c r="M98" s="1" t="s">
        <v>66</v>
      </c>
      <c r="N98" s="2" t="s">
        <v>40</v>
      </c>
      <c r="O98" s="3">
        <v>164021</v>
      </c>
      <c r="P98" s="3" t="s">
        <v>41</v>
      </c>
      <c r="Q98" s="4" t="s">
        <v>76</v>
      </c>
      <c r="R98" s="1" t="s">
        <v>43</v>
      </c>
      <c r="S98" s="3" t="s">
        <v>44</v>
      </c>
      <c r="T98" s="3" t="s">
        <v>68</v>
      </c>
      <c r="U98" s="2">
        <v>34639</v>
      </c>
      <c r="V98" s="2">
        <v>34762</v>
      </c>
      <c r="W98" s="2">
        <v>34838</v>
      </c>
      <c r="X98" s="2">
        <v>34880</v>
      </c>
      <c r="Y98" s="2">
        <v>35003</v>
      </c>
      <c r="Z98" s="3" t="s">
        <v>77</v>
      </c>
      <c r="AA98" s="3" t="s">
        <v>78</v>
      </c>
      <c r="AB98" s="3" t="s">
        <v>79</v>
      </c>
      <c r="AC98" s="2">
        <v>35114</v>
      </c>
      <c r="AD98" s="2">
        <v>39496</v>
      </c>
      <c r="AE98" s="2" t="s">
        <v>49</v>
      </c>
      <c r="AF98" s="2" t="s">
        <v>50</v>
      </c>
      <c r="AG98" s="2" t="s">
        <v>50</v>
      </c>
      <c r="AH98" s="2" t="s">
        <v>50</v>
      </c>
      <c r="AI98" s="5">
        <v>205506.48</v>
      </c>
      <c r="AJ98" s="6">
        <v>1</v>
      </c>
      <c r="AK98" s="69" t="str">
        <f>MID(E98,5,LEN(E98)-4)</f>
        <v>ATEP1</v>
      </c>
    </row>
    <row r="99" spans="2:37" ht="118.95" customHeight="1" x14ac:dyDescent="0.3">
      <c r="B99" s="1">
        <f>MAX($C$2:$C$128)</f>
        <v>190</v>
      </c>
      <c r="C99" cm="1">
        <f t="array" ref="C99">IFERROR(MAX(--_xlfn.TEXTSPLIT(D99,";")),0)</f>
        <v>32</v>
      </c>
      <c r="D99" t="s">
        <v>1775</v>
      </c>
      <c r="E99" s="1" t="s">
        <v>990</v>
      </c>
      <c r="F99" s="1" t="s">
        <v>991</v>
      </c>
      <c r="G99" s="1">
        <v>1</v>
      </c>
      <c r="H99" s="1" t="s">
        <v>992</v>
      </c>
      <c r="I99" s="1" t="s">
        <v>993</v>
      </c>
      <c r="J99" s="1" t="s">
        <v>64</v>
      </c>
      <c r="K99" s="1" t="s">
        <v>994</v>
      </c>
      <c r="L99" s="1" t="s">
        <v>38</v>
      </c>
      <c r="M99" s="1" t="s">
        <v>39</v>
      </c>
      <c r="N99" s="2"/>
      <c r="O99" s="26">
        <v>7012000</v>
      </c>
      <c r="P99" s="1" t="s">
        <v>41</v>
      </c>
      <c r="Q99" s="4" t="s">
        <v>995</v>
      </c>
      <c r="R99" s="1" t="s">
        <v>662</v>
      </c>
      <c r="S99" s="3" t="s">
        <v>44</v>
      </c>
      <c r="T99" s="3" t="s">
        <v>152</v>
      </c>
      <c r="U99" s="2">
        <v>45289</v>
      </c>
      <c r="V99" s="2">
        <v>45483</v>
      </c>
      <c r="W99" s="2">
        <v>45506</v>
      </c>
      <c r="X99" s="2">
        <v>45569</v>
      </c>
      <c r="Y99" s="2">
        <v>45609</v>
      </c>
      <c r="Z99" s="1" t="s">
        <v>996</v>
      </c>
      <c r="AA99" s="1" t="s">
        <v>997</v>
      </c>
      <c r="AB99" s="7" t="s">
        <v>998</v>
      </c>
      <c r="AC99" s="2">
        <v>45609</v>
      </c>
      <c r="AD99" s="2">
        <v>55105</v>
      </c>
      <c r="AE99" s="2" t="s">
        <v>106</v>
      </c>
      <c r="AF99" s="1" t="s">
        <v>855</v>
      </c>
      <c r="AG99" s="1" t="s">
        <v>697</v>
      </c>
      <c r="AH99" s="1" t="s">
        <v>697</v>
      </c>
      <c r="AI99" s="22">
        <v>7012000</v>
      </c>
      <c r="AJ99" s="23">
        <v>0</v>
      </c>
      <c r="AK99" s="1" t="str">
        <f>MID(E99,5,LEN(E99)-4)</f>
        <v>ARNO1</v>
      </c>
    </row>
    <row r="100" spans="2:37" ht="118.95" customHeight="1" x14ac:dyDescent="0.3">
      <c r="B100" s="1">
        <f>MAX($C$2:$C$128)</f>
        <v>190</v>
      </c>
      <c r="C100" cm="1">
        <f t="array" ref="C100">IFERROR(MAX(--_xlfn.TEXTSPLIT(D100,";")),0)</f>
        <v>31</v>
      </c>
      <c r="D100" t="s">
        <v>1773</v>
      </c>
      <c r="E100" s="1" t="s">
        <v>107</v>
      </c>
      <c r="F100" s="1" t="s">
        <v>108</v>
      </c>
      <c r="G100" s="1">
        <v>1</v>
      </c>
      <c r="H100" s="1" t="s">
        <v>109</v>
      </c>
      <c r="I100" s="1" t="s">
        <v>110</v>
      </c>
      <c r="J100" s="1" t="s">
        <v>111</v>
      </c>
      <c r="K100" s="1" t="s">
        <v>112</v>
      </c>
      <c r="L100" s="1" t="s">
        <v>38</v>
      </c>
      <c r="M100" s="1" t="s">
        <v>66</v>
      </c>
      <c r="N100" s="2" t="s">
        <v>40</v>
      </c>
      <c r="O100" s="3">
        <v>279990</v>
      </c>
      <c r="P100" s="3" t="s">
        <v>41</v>
      </c>
      <c r="Q100" s="4" t="s">
        <v>113</v>
      </c>
      <c r="R100" s="1" t="s">
        <v>43</v>
      </c>
      <c r="S100" s="3" t="s">
        <v>44</v>
      </c>
      <c r="T100" s="3" t="s">
        <v>114</v>
      </c>
      <c r="U100" s="2">
        <v>34881</v>
      </c>
      <c r="V100" s="2">
        <v>34954</v>
      </c>
      <c r="W100" s="2">
        <v>34999</v>
      </c>
      <c r="X100" s="2">
        <v>35076</v>
      </c>
      <c r="Y100" s="2">
        <v>35132</v>
      </c>
      <c r="Z100" s="3" t="s">
        <v>115</v>
      </c>
      <c r="AA100" s="3" t="s">
        <v>116</v>
      </c>
      <c r="AB100" s="3" t="s">
        <v>117</v>
      </c>
      <c r="AC100" s="2">
        <v>35159</v>
      </c>
      <c r="AD100" s="2">
        <v>39742</v>
      </c>
      <c r="AE100" s="2" t="s">
        <v>49</v>
      </c>
      <c r="AF100" s="2" t="s">
        <v>50</v>
      </c>
      <c r="AG100" s="2" t="s">
        <v>50</v>
      </c>
      <c r="AH100" s="2" t="s">
        <v>50</v>
      </c>
      <c r="AI100" s="5">
        <v>349331.12000000005</v>
      </c>
      <c r="AJ100" s="6">
        <v>1</v>
      </c>
      <c r="AK100" s="69" t="str">
        <f>MID(E100,5,LEN(E100)-4)</f>
        <v>AVAM1</v>
      </c>
    </row>
    <row r="101" spans="2:37" ht="168.6" customHeight="1" x14ac:dyDescent="0.3">
      <c r="B101" s="1">
        <f>MAX($C$2:$C$128)</f>
        <v>190</v>
      </c>
      <c r="C101" cm="1">
        <f t="array" ref="C101">IFERROR(MAX(--_xlfn.TEXTSPLIT(D101,";")),0)</f>
        <v>31</v>
      </c>
      <c r="D101" t="s">
        <v>1777</v>
      </c>
      <c r="E101" s="1" t="s">
        <v>909</v>
      </c>
      <c r="F101" s="1" t="s">
        <v>108</v>
      </c>
      <c r="G101" s="1">
        <v>3</v>
      </c>
      <c r="H101" s="1" t="s">
        <v>910</v>
      </c>
      <c r="I101" s="1" t="s">
        <v>911</v>
      </c>
      <c r="J101" s="1" t="s">
        <v>111</v>
      </c>
      <c r="K101" s="18" t="s">
        <v>912</v>
      </c>
      <c r="L101" s="1" t="s">
        <v>38</v>
      </c>
      <c r="M101" s="1" t="s">
        <v>39</v>
      </c>
      <c r="N101" s="2" t="s">
        <v>40</v>
      </c>
      <c r="O101" s="3">
        <v>843000</v>
      </c>
      <c r="P101" s="3" t="s">
        <v>41</v>
      </c>
      <c r="Q101" s="1" t="s">
        <v>913</v>
      </c>
      <c r="R101" s="1" t="s">
        <v>693</v>
      </c>
      <c r="S101" s="3" t="s">
        <v>44</v>
      </c>
      <c r="T101" s="3" t="s">
        <v>152</v>
      </c>
      <c r="U101" s="2">
        <v>44335</v>
      </c>
      <c r="V101" s="2">
        <v>44904</v>
      </c>
      <c r="W101" s="2">
        <v>44932</v>
      </c>
      <c r="X101" s="2">
        <v>45085</v>
      </c>
      <c r="Y101" s="2">
        <v>45185</v>
      </c>
      <c r="Z101" s="3" t="s">
        <v>914</v>
      </c>
      <c r="AA101" s="19" t="s">
        <v>915</v>
      </c>
      <c r="AB101" s="3" t="s">
        <v>916</v>
      </c>
      <c r="AC101" s="2">
        <v>45185</v>
      </c>
      <c r="AD101" s="2">
        <v>49810</v>
      </c>
      <c r="AE101" s="2" t="s">
        <v>106</v>
      </c>
      <c r="AF101" s="2">
        <v>45548</v>
      </c>
      <c r="AG101" s="2" t="s">
        <v>697</v>
      </c>
      <c r="AH101" s="2" t="s">
        <v>697</v>
      </c>
      <c r="AI101" s="5">
        <v>843000</v>
      </c>
      <c r="AJ101" s="13">
        <v>0.55930000000000002</v>
      </c>
      <c r="AK101" s="69" t="str">
        <f>MID(E101,5,LEN(E101)-4)</f>
        <v>AVAM3</v>
      </c>
    </row>
    <row r="102" spans="2:37" ht="131.4" customHeight="1" x14ac:dyDescent="0.3">
      <c r="B102" s="1">
        <f>MAX($C$2:$C$128)</f>
        <v>190</v>
      </c>
      <c r="C102" cm="1">
        <f t="array" ref="C102">IFERROR(MAX(--_xlfn.TEXTSPLIT(D102,";")),0)</f>
        <v>186</v>
      </c>
      <c r="D102" t="s">
        <v>1825</v>
      </c>
      <c r="E102" s="1" t="s">
        <v>439</v>
      </c>
      <c r="F102" s="1" t="s">
        <v>440</v>
      </c>
      <c r="G102" s="1">
        <v>1</v>
      </c>
      <c r="H102" s="1" t="s">
        <v>441</v>
      </c>
      <c r="I102" s="1" t="s">
        <v>442</v>
      </c>
      <c r="J102" s="1" t="s">
        <v>385</v>
      </c>
      <c r="K102" s="1" t="s">
        <v>37</v>
      </c>
      <c r="L102" s="1" t="s">
        <v>38</v>
      </c>
      <c r="M102" s="1" t="s">
        <v>39</v>
      </c>
      <c r="N102" s="2" t="s">
        <v>40</v>
      </c>
      <c r="O102" s="3">
        <v>390562</v>
      </c>
      <c r="P102" s="3" t="s">
        <v>41</v>
      </c>
      <c r="Q102" s="1" t="s">
        <v>443</v>
      </c>
      <c r="R102" s="1" t="s">
        <v>133</v>
      </c>
      <c r="S102" s="3" t="s">
        <v>44</v>
      </c>
      <c r="T102" s="3" t="s">
        <v>114</v>
      </c>
      <c r="U102" s="2">
        <v>38055</v>
      </c>
      <c r="V102" s="2">
        <v>38245</v>
      </c>
      <c r="W102" s="2">
        <v>38274</v>
      </c>
      <c r="X102" s="2">
        <v>38321</v>
      </c>
      <c r="Y102" s="2">
        <v>38406</v>
      </c>
      <c r="Z102" s="3" t="s">
        <v>444</v>
      </c>
      <c r="AA102" s="3" t="s">
        <v>445</v>
      </c>
      <c r="AB102" s="3" t="s">
        <v>446</v>
      </c>
      <c r="AC102" s="2">
        <v>38406</v>
      </c>
      <c r="AD102" s="2">
        <v>46996</v>
      </c>
      <c r="AE102" s="2" t="s">
        <v>49</v>
      </c>
      <c r="AF102" s="2" t="s">
        <v>50</v>
      </c>
      <c r="AG102" s="2">
        <v>39290</v>
      </c>
      <c r="AH102" s="2">
        <v>39415</v>
      </c>
      <c r="AI102" s="8">
        <v>1404626.9200000002</v>
      </c>
      <c r="AJ102" s="6">
        <v>1</v>
      </c>
      <c r="AK102" s="1" t="str">
        <f>MID(E102,5,LEN(E102)-4)</f>
        <v>PTLA1</v>
      </c>
    </row>
    <row r="103" spans="2:37" ht="118.95" customHeight="1" x14ac:dyDescent="0.3">
      <c r="B103" s="1">
        <f>MAX($C$2:$C$128)</f>
        <v>190</v>
      </c>
      <c r="C103" cm="1">
        <f t="array" ref="C103">IFERROR(MAX(--_xlfn.TEXTSPLIT(D103,";")),0)</f>
        <v>28</v>
      </c>
      <c r="D103" t="s">
        <v>1772</v>
      </c>
      <c r="E103" s="1" t="s">
        <v>924</v>
      </c>
      <c r="F103" s="1" t="s">
        <v>585</v>
      </c>
      <c r="G103" s="1">
        <v>3</v>
      </c>
      <c r="H103" s="1" t="s">
        <v>925</v>
      </c>
      <c r="I103" s="1" t="s">
        <v>926</v>
      </c>
      <c r="J103" s="1" t="s">
        <v>64</v>
      </c>
      <c r="K103" s="1" t="s">
        <v>190</v>
      </c>
      <c r="L103" s="1" t="s">
        <v>38</v>
      </c>
      <c r="M103" s="1" t="s">
        <v>39</v>
      </c>
      <c r="N103" s="2" t="s">
        <v>40</v>
      </c>
      <c r="O103" s="3">
        <v>2650000</v>
      </c>
      <c r="P103" s="3" t="s">
        <v>41</v>
      </c>
      <c r="Q103" s="1" t="s">
        <v>927</v>
      </c>
      <c r="R103" s="1" t="s">
        <v>133</v>
      </c>
      <c r="S103" s="3" t="s">
        <v>44</v>
      </c>
      <c r="T103" s="3" t="s">
        <v>152</v>
      </c>
      <c r="U103" s="2">
        <v>44431</v>
      </c>
      <c r="V103" s="2">
        <v>45030</v>
      </c>
      <c r="W103" s="2">
        <v>45058</v>
      </c>
      <c r="X103" s="2">
        <v>45139</v>
      </c>
      <c r="Y103" s="2">
        <v>45197</v>
      </c>
      <c r="Z103" s="3" t="s">
        <v>928</v>
      </c>
      <c r="AA103" s="19" t="s">
        <v>929</v>
      </c>
      <c r="AB103" s="3" t="s">
        <v>930</v>
      </c>
      <c r="AC103" s="2">
        <v>45227</v>
      </c>
      <c r="AD103" s="2">
        <v>54694</v>
      </c>
      <c r="AE103" s="2" t="s">
        <v>106</v>
      </c>
      <c r="AF103" s="2" t="s">
        <v>855</v>
      </c>
      <c r="AG103" s="2" t="s">
        <v>931</v>
      </c>
      <c r="AH103" s="2" t="s">
        <v>531</v>
      </c>
      <c r="AI103" s="8">
        <v>2650000</v>
      </c>
      <c r="AJ103" s="6">
        <v>0</v>
      </c>
      <c r="AK103" s="69" t="str">
        <f>MID(E103,5,LEN(E103)-4)</f>
        <v>ALOA3</v>
      </c>
    </row>
    <row r="104" spans="2:37" ht="118.95" customHeight="1" x14ac:dyDescent="0.3">
      <c r="B104" s="1">
        <f>MAX($C$2:$C$128)</f>
        <v>190</v>
      </c>
      <c r="C104" cm="1">
        <f t="array" ref="C104">IFERROR(MAX(--_xlfn.TEXTSPLIT(D104,";")),0)</f>
        <v>27</v>
      </c>
      <c r="D104" t="s">
        <v>1771</v>
      </c>
      <c r="E104" s="1" t="s">
        <v>856</v>
      </c>
      <c r="F104" s="1" t="s">
        <v>1853</v>
      </c>
      <c r="G104" s="1">
        <v>3</v>
      </c>
      <c r="H104" s="1" t="s">
        <v>857</v>
      </c>
      <c r="I104" s="1" t="s">
        <v>858</v>
      </c>
      <c r="J104" s="1" t="s">
        <v>64</v>
      </c>
      <c r="K104" s="1" t="s">
        <v>175</v>
      </c>
      <c r="L104" s="1" t="s">
        <v>38</v>
      </c>
      <c r="M104" s="1" t="s">
        <v>39</v>
      </c>
      <c r="N104" s="2" t="s">
        <v>40</v>
      </c>
      <c r="O104" s="3">
        <v>1415000</v>
      </c>
      <c r="P104" s="3" t="s">
        <v>41</v>
      </c>
      <c r="Q104" s="1" t="s">
        <v>859</v>
      </c>
      <c r="R104" s="1" t="s">
        <v>662</v>
      </c>
      <c r="S104" s="3" t="s">
        <v>44</v>
      </c>
      <c r="T104" s="3" t="s">
        <v>152</v>
      </c>
      <c r="U104" s="2">
        <v>43796</v>
      </c>
      <c r="V104" s="2">
        <v>44225</v>
      </c>
      <c r="W104" s="2">
        <v>44260</v>
      </c>
      <c r="X104" s="2">
        <v>44316</v>
      </c>
      <c r="Y104" s="2">
        <v>44419</v>
      </c>
      <c r="Z104" s="3" t="s">
        <v>860</v>
      </c>
      <c r="AA104" s="3" t="s">
        <v>861</v>
      </c>
      <c r="AB104" s="3" t="s">
        <v>862</v>
      </c>
      <c r="AC104" s="2">
        <v>44419</v>
      </c>
      <c r="AD104" s="2">
        <v>48679</v>
      </c>
      <c r="AE104" s="2" t="s">
        <v>106</v>
      </c>
      <c r="AF104" s="2">
        <v>45533</v>
      </c>
      <c r="AG104" s="2" t="s">
        <v>697</v>
      </c>
      <c r="AH104" s="2" t="s">
        <v>697</v>
      </c>
      <c r="AI104" s="5">
        <v>1415000</v>
      </c>
      <c r="AJ104" s="15">
        <v>0.13500000000000001</v>
      </c>
      <c r="AK104" s="69" t="str">
        <f>MID(E104,5,LEN(E104)-4)</f>
        <v>ALFS3</v>
      </c>
    </row>
    <row r="105" spans="2:37" ht="118.95" customHeight="1" x14ac:dyDescent="0.3">
      <c r="B105" s="1">
        <f>MAX($C$2:$C$128)</f>
        <v>190</v>
      </c>
      <c r="C105" cm="1">
        <f t="array" ref="C105">IFERROR(MAX(--_xlfn.TEXTSPLIT(D105,";")),0)</f>
        <v>18</v>
      </c>
      <c r="D105" t="s">
        <v>1765</v>
      </c>
      <c r="E105" s="1" t="s">
        <v>832</v>
      </c>
      <c r="F105" s="1" t="s">
        <v>1846</v>
      </c>
      <c r="G105" s="1">
        <v>2</v>
      </c>
      <c r="H105" s="1" t="s">
        <v>833</v>
      </c>
      <c r="I105" s="1" t="s">
        <v>834</v>
      </c>
      <c r="J105" s="1" t="s">
        <v>64</v>
      </c>
      <c r="K105" s="1" t="s">
        <v>401</v>
      </c>
      <c r="L105" s="1" t="s">
        <v>38</v>
      </c>
      <c r="M105" s="1" t="s">
        <v>39</v>
      </c>
      <c r="N105" s="2" t="s">
        <v>40</v>
      </c>
      <c r="O105" s="3">
        <v>2031000</v>
      </c>
      <c r="P105" s="3" t="s">
        <v>41</v>
      </c>
      <c r="Q105" s="1" t="s">
        <v>835</v>
      </c>
      <c r="R105" s="1" t="s">
        <v>662</v>
      </c>
      <c r="S105" s="3" t="s">
        <v>44</v>
      </c>
      <c r="T105" s="3" t="s">
        <v>124</v>
      </c>
      <c r="U105" s="2">
        <v>43364</v>
      </c>
      <c r="V105" s="2">
        <v>43455</v>
      </c>
      <c r="W105" s="2">
        <v>43481</v>
      </c>
      <c r="X105" s="2">
        <v>43500</v>
      </c>
      <c r="Y105" s="2">
        <v>43544</v>
      </c>
      <c r="Z105" s="3" t="s">
        <v>836</v>
      </c>
      <c r="AA105" s="3" t="s">
        <v>837</v>
      </c>
      <c r="AB105" s="3" t="s">
        <v>838</v>
      </c>
      <c r="AC105" s="2">
        <v>43544</v>
      </c>
      <c r="AD105" s="2">
        <v>49035</v>
      </c>
      <c r="AE105" s="2" t="s">
        <v>49</v>
      </c>
      <c r="AF105" s="2">
        <v>44127</v>
      </c>
      <c r="AG105" s="2" t="s">
        <v>697</v>
      </c>
      <c r="AH105" s="2" t="s">
        <v>697</v>
      </c>
      <c r="AI105" s="5">
        <v>2031000</v>
      </c>
      <c r="AJ105" s="15">
        <v>1</v>
      </c>
      <c r="AK105" s="69" t="str">
        <f>MID(E105,5,LEN(E105)-4)</f>
        <v>ACHA2</v>
      </c>
    </row>
    <row r="106" spans="2:37" ht="118.95" customHeight="1" x14ac:dyDescent="0.3">
      <c r="B106" s="1">
        <f>MAX($C$2:$C$128)</f>
        <v>190</v>
      </c>
      <c r="C106" cm="1">
        <f t="array" ref="C106">IFERROR(MAX(--_xlfn.TEXTSPLIT(D106,";")),0)</f>
        <v>17</v>
      </c>
      <c r="D106" t="s">
        <v>1764</v>
      </c>
      <c r="E106" s="1" t="s">
        <v>204</v>
      </c>
      <c r="F106" s="1" t="s">
        <v>205</v>
      </c>
      <c r="G106" s="1">
        <v>1</v>
      </c>
      <c r="H106" s="1" t="s">
        <v>206</v>
      </c>
      <c r="I106" s="1" t="s">
        <v>207</v>
      </c>
      <c r="J106" s="1" t="s">
        <v>64</v>
      </c>
      <c r="K106" s="1" t="s">
        <v>112</v>
      </c>
      <c r="L106" s="1" t="s">
        <v>38</v>
      </c>
      <c r="M106" s="1" t="s">
        <v>39</v>
      </c>
      <c r="N106" s="2" t="s">
        <v>40</v>
      </c>
      <c r="O106" s="3">
        <v>4600000</v>
      </c>
      <c r="P106" s="3" t="s">
        <v>41</v>
      </c>
      <c r="Q106" s="1" t="s">
        <v>208</v>
      </c>
      <c r="R106" s="1" t="s">
        <v>43</v>
      </c>
      <c r="S106" s="3" t="s">
        <v>123</v>
      </c>
      <c r="T106" s="3" t="s">
        <v>209</v>
      </c>
      <c r="U106" s="2">
        <v>35598</v>
      </c>
      <c r="V106" s="2">
        <v>35718</v>
      </c>
      <c r="W106" s="2">
        <v>35752</v>
      </c>
      <c r="X106" s="2">
        <v>35769</v>
      </c>
      <c r="Y106" s="2">
        <v>35846</v>
      </c>
      <c r="Z106" s="3" t="s">
        <v>210</v>
      </c>
      <c r="AA106" s="3" t="s">
        <v>211</v>
      </c>
      <c r="AB106" s="3" t="s">
        <v>212</v>
      </c>
      <c r="AC106" s="2">
        <v>35983</v>
      </c>
      <c r="AD106" s="2">
        <v>42277</v>
      </c>
      <c r="AE106" s="2" t="s">
        <v>106</v>
      </c>
      <c r="AF106" s="2" t="s">
        <v>50</v>
      </c>
      <c r="AG106" s="2" t="s">
        <v>50</v>
      </c>
      <c r="AH106" s="2" t="s">
        <v>50</v>
      </c>
      <c r="AI106" s="5">
        <v>8543190.5899999999</v>
      </c>
      <c r="AJ106" s="6">
        <v>1</v>
      </c>
      <c r="AK106" s="69" t="str">
        <f>MID(E106,5,LEN(E106)-4)</f>
        <v>AAMB1</v>
      </c>
    </row>
    <row r="107" spans="2:37" ht="273.60000000000002" x14ac:dyDescent="0.3">
      <c r="B107" s="1">
        <f>MAX($C$2:$C$128)</f>
        <v>190</v>
      </c>
      <c r="C107" cm="1">
        <f t="array" ref="C107">IFERROR(MAX(--_xlfn.TEXTSPLIT(D107,";")),0)</f>
        <v>16</v>
      </c>
      <c r="D107" t="s">
        <v>1763</v>
      </c>
      <c r="E107" s="1" t="s">
        <v>983</v>
      </c>
      <c r="F107" s="1" t="s">
        <v>1847</v>
      </c>
      <c r="G107" s="1">
        <v>2</v>
      </c>
      <c r="H107" s="1" t="s">
        <v>984</v>
      </c>
      <c r="I107" s="1" t="s">
        <v>985</v>
      </c>
      <c r="J107" s="1" t="s">
        <v>36</v>
      </c>
      <c r="K107" s="1" t="s">
        <v>83</v>
      </c>
      <c r="L107" s="1" t="s">
        <v>38</v>
      </c>
      <c r="M107" s="1" t="s">
        <v>39</v>
      </c>
      <c r="N107" s="2" t="s">
        <v>40</v>
      </c>
      <c r="O107" s="3">
        <v>12527000</v>
      </c>
      <c r="P107" s="3" t="s">
        <v>41</v>
      </c>
      <c r="Q107" s="1" t="s">
        <v>986</v>
      </c>
      <c r="R107" s="1" t="s">
        <v>662</v>
      </c>
      <c r="S107" s="3" t="s">
        <v>44</v>
      </c>
      <c r="T107" s="3" t="s">
        <v>152</v>
      </c>
      <c r="U107" s="2">
        <v>45155</v>
      </c>
      <c r="V107" s="2">
        <v>45548</v>
      </c>
      <c r="W107" s="2">
        <v>45576</v>
      </c>
      <c r="X107" s="2">
        <v>45636</v>
      </c>
      <c r="Y107" s="2">
        <v>45730</v>
      </c>
      <c r="Z107" s="1" t="s">
        <v>987</v>
      </c>
      <c r="AA107" s="27" t="s">
        <v>988</v>
      </c>
      <c r="AB107" s="62" t="s">
        <v>989</v>
      </c>
      <c r="AC107" s="2">
        <v>45730</v>
      </c>
      <c r="AD107" s="2">
        <v>62166</v>
      </c>
      <c r="AE107" s="1" t="s">
        <v>106</v>
      </c>
      <c r="AF107" s="2" t="s">
        <v>855</v>
      </c>
      <c r="AG107" s="2" t="s">
        <v>697</v>
      </c>
      <c r="AH107" s="2" t="s">
        <v>697</v>
      </c>
      <c r="AI107" s="22">
        <v>12527000</v>
      </c>
      <c r="AJ107" s="17">
        <v>0</v>
      </c>
      <c r="AK107" s="69" t="str">
        <f>MID(E107,5,LEN(E107)-4)</f>
        <v>ANCO2</v>
      </c>
    </row>
    <row r="108" spans="2:37" ht="118.95" customHeight="1" x14ac:dyDescent="0.3">
      <c r="B108" s="1">
        <f>MAX($C$2:$C$128)</f>
        <v>190</v>
      </c>
      <c r="C108" cm="1">
        <f t="array" ref="C108">IFERROR(MAX(--_xlfn.TEXTSPLIT(D108,";")),0)</f>
        <v>11</v>
      </c>
      <c r="D108" t="s">
        <v>1760</v>
      </c>
      <c r="E108" s="1" t="s">
        <v>792</v>
      </c>
      <c r="F108" s="1" t="s">
        <v>793</v>
      </c>
      <c r="G108" s="1">
        <v>1</v>
      </c>
      <c r="H108" s="1" t="s">
        <v>794</v>
      </c>
      <c r="I108" s="1" t="s">
        <v>795</v>
      </c>
      <c r="J108" s="1" t="s">
        <v>111</v>
      </c>
      <c r="K108" s="1" t="s">
        <v>112</v>
      </c>
      <c r="L108" s="1" t="s">
        <v>38</v>
      </c>
      <c r="M108" s="1" t="s">
        <v>66</v>
      </c>
      <c r="N108" s="2">
        <v>39826</v>
      </c>
      <c r="O108" s="3">
        <v>6100000</v>
      </c>
      <c r="P108" s="3" t="s">
        <v>41</v>
      </c>
      <c r="Q108" s="1" t="s">
        <v>796</v>
      </c>
      <c r="R108" s="1" t="s">
        <v>693</v>
      </c>
      <c r="S108" s="3" t="s">
        <v>44</v>
      </c>
      <c r="T108" s="3" t="s">
        <v>152</v>
      </c>
      <c r="U108" s="2">
        <v>42990</v>
      </c>
      <c r="V108" s="2">
        <v>43111</v>
      </c>
      <c r="W108" s="2">
        <v>43132</v>
      </c>
      <c r="X108" s="2">
        <v>43164</v>
      </c>
      <c r="Y108" s="2">
        <v>43211</v>
      </c>
      <c r="Z108" s="3" t="s">
        <v>797</v>
      </c>
      <c r="AA108" s="3" t="s">
        <v>798</v>
      </c>
      <c r="AB108" s="3" t="s">
        <v>799</v>
      </c>
      <c r="AC108" s="2">
        <v>43211</v>
      </c>
      <c r="AD108" s="2">
        <v>59646</v>
      </c>
      <c r="AE108" s="2" t="s">
        <v>106</v>
      </c>
      <c r="AF108" s="2">
        <v>45972</v>
      </c>
      <c r="AG108" s="2" t="s">
        <v>697</v>
      </c>
      <c r="AH108" s="2" t="s">
        <v>697</v>
      </c>
      <c r="AI108" s="5">
        <v>6100000</v>
      </c>
      <c r="AJ108" s="13">
        <v>2.8500000000000001E-2</v>
      </c>
      <c r="AK108" s="1" t="str">
        <f>MID(E108,5,LEN(E108)-4)</f>
        <v>67CV1</v>
      </c>
    </row>
    <row r="109" spans="2:37" ht="118.95" customHeight="1" x14ac:dyDescent="0.3">
      <c r="B109" s="1">
        <f>MAX($C$2:$C$128)</f>
        <v>190</v>
      </c>
      <c r="C109" cm="1">
        <f t="array" ref="C109">IFERROR(MAX(--_xlfn.TEXTSPLIT(D109,";")),0)</f>
        <v>143</v>
      </c>
      <c r="D109" t="s">
        <v>1831</v>
      </c>
      <c r="E109" s="1" t="s">
        <v>279</v>
      </c>
      <c r="F109" s="1" t="s">
        <v>280</v>
      </c>
      <c r="G109" s="1">
        <v>1</v>
      </c>
      <c r="H109" s="1" t="s">
        <v>281</v>
      </c>
      <c r="I109" s="1" t="s">
        <v>282</v>
      </c>
      <c r="J109" s="1" t="s">
        <v>36</v>
      </c>
      <c r="K109" s="1" t="s">
        <v>37</v>
      </c>
      <c r="L109" s="1" t="s">
        <v>38</v>
      </c>
      <c r="M109" s="1" t="s">
        <v>39</v>
      </c>
      <c r="N109" s="2" t="s">
        <v>40</v>
      </c>
      <c r="O109" s="3">
        <v>2383470</v>
      </c>
      <c r="P109" s="3" t="s">
        <v>41</v>
      </c>
      <c r="Q109" s="1" t="s">
        <v>283</v>
      </c>
      <c r="R109" s="1" t="s">
        <v>133</v>
      </c>
      <c r="S109" s="3" t="s">
        <v>123</v>
      </c>
      <c r="T109" s="3" t="s">
        <v>85</v>
      </c>
      <c r="U109" s="2">
        <v>36500</v>
      </c>
      <c r="V109" s="2">
        <v>36692</v>
      </c>
      <c r="W109" s="2">
        <v>36707</v>
      </c>
      <c r="X109" s="2">
        <v>36756</v>
      </c>
      <c r="Y109" s="2">
        <v>36841</v>
      </c>
      <c r="Z109" s="3" t="s">
        <v>284</v>
      </c>
      <c r="AA109" s="3" t="s">
        <v>285</v>
      </c>
      <c r="AB109" s="3" t="s">
        <v>286</v>
      </c>
      <c r="AC109" s="2">
        <v>37211</v>
      </c>
      <c r="AD109" s="2">
        <v>48163</v>
      </c>
      <c r="AE109" s="2" t="s">
        <v>49</v>
      </c>
      <c r="AF109" s="2">
        <v>37228</v>
      </c>
      <c r="AG109" s="2">
        <v>38035</v>
      </c>
      <c r="AH109" s="2">
        <v>38349</v>
      </c>
      <c r="AI109" s="8">
        <v>3715501.1199999996</v>
      </c>
      <c r="AJ109" s="6">
        <v>1</v>
      </c>
      <c r="AK109" s="69" t="str">
        <f>MID(E109,5,LEN(E109)-4)</f>
        <v>RVLC1</v>
      </c>
    </row>
    <row r="110" spans="2:37" ht="118.95" customHeight="1" x14ac:dyDescent="0.3">
      <c r="B110" s="1">
        <f>MAX($C$2:$C$128)</f>
        <v>190</v>
      </c>
      <c r="C110" cm="1">
        <f t="array" ref="C110">IFERROR(MAX(--_xlfn.TEXTSPLIT(D110,";")),0)</f>
        <v>144</v>
      </c>
      <c r="D110" t="s">
        <v>1832</v>
      </c>
      <c r="E110" s="1" t="s">
        <v>138</v>
      </c>
      <c r="F110" s="1" t="s">
        <v>1879</v>
      </c>
      <c r="G110" s="1">
        <v>1</v>
      </c>
      <c r="H110" s="1" t="s">
        <v>139</v>
      </c>
      <c r="I110" s="1" t="s">
        <v>140</v>
      </c>
      <c r="J110" s="1" t="s">
        <v>36</v>
      </c>
      <c r="K110" s="1" t="s">
        <v>141</v>
      </c>
      <c r="L110" s="1" t="s">
        <v>38</v>
      </c>
      <c r="M110" s="1" t="s">
        <v>39</v>
      </c>
      <c r="N110" s="2" t="s">
        <v>40</v>
      </c>
      <c r="O110" s="3">
        <v>8200000</v>
      </c>
      <c r="P110" s="3" t="s">
        <v>41</v>
      </c>
      <c r="Q110" s="1" t="s">
        <v>142</v>
      </c>
      <c r="R110" s="1" t="s">
        <v>43</v>
      </c>
      <c r="S110" s="3" t="s">
        <v>123</v>
      </c>
      <c r="T110" s="3" t="s">
        <v>143</v>
      </c>
      <c r="U110" s="2">
        <v>35215</v>
      </c>
      <c r="V110" s="2">
        <v>35244</v>
      </c>
      <c r="W110" s="2">
        <v>35263</v>
      </c>
      <c r="X110" s="2">
        <v>35352</v>
      </c>
      <c r="Y110" s="2">
        <v>35492</v>
      </c>
      <c r="Z110" s="3" t="s">
        <v>144</v>
      </c>
      <c r="AA110" s="59" t="s">
        <v>145</v>
      </c>
      <c r="AB110" s="3" t="s">
        <v>146</v>
      </c>
      <c r="AC110" s="2">
        <v>35492</v>
      </c>
      <c r="AD110" s="2">
        <v>45747</v>
      </c>
      <c r="AE110" s="2" t="s">
        <v>49</v>
      </c>
      <c r="AF110" s="2" t="s">
        <v>50</v>
      </c>
      <c r="AG110" s="2">
        <v>37256</v>
      </c>
      <c r="AH110" s="2">
        <v>37614</v>
      </c>
      <c r="AI110" s="5">
        <v>20847627.600917093</v>
      </c>
      <c r="AJ110" s="6">
        <v>1</v>
      </c>
      <c r="AK110" s="69" t="str">
        <f>MID(E110,5,LEN(E110)-4)</f>
        <v>SALV1</v>
      </c>
    </row>
    <row r="111" spans="2:37" ht="118.95" customHeight="1" x14ac:dyDescent="0.3">
      <c r="B111" s="1">
        <f>MAX($C$2:$C$128)</f>
        <v>190</v>
      </c>
      <c r="C111" cm="1">
        <f t="array" ref="C111">IFERROR(MAX(--_xlfn.TEXTSPLIT(D111,";")),0)</f>
        <v>10</v>
      </c>
      <c r="D111" t="s">
        <v>1759</v>
      </c>
      <c r="E111" s="1" t="s">
        <v>540</v>
      </c>
      <c r="F111" s="1" t="s">
        <v>541</v>
      </c>
      <c r="G111" s="1">
        <v>1</v>
      </c>
      <c r="H111" s="1" t="s">
        <v>542</v>
      </c>
      <c r="I111" s="1">
        <v>0</v>
      </c>
      <c r="J111" s="1" t="s">
        <v>36</v>
      </c>
      <c r="K111" s="1" t="s">
        <v>543</v>
      </c>
      <c r="L111" s="1" t="s">
        <v>38</v>
      </c>
      <c r="M111" s="1" t="s">
        <v>39</v>
      </c>
      <c r="N111" s="2" t="s">
        <v>40</v>
      </c>
      <c r="O111" s="3">
        <v>8653000</v>
      </c>
      <c r="P111" s="3" t="s">
        <v>41</v>
      </c>
      <c r="Q111" s="1" t="s">
        <v>264</v>
      </c>
      <c r="R111" s="1" t="s">
        <v>43</v>
      </c>
      <c r="S111" s="3" t="s">
        <v>44</v>
      </c>
      <c r="T111" s="3" t="s">
        <v>484</v>
      </c>
      <c r="U111" s="2">
        <v>39781</v>
      </c>
      <c r="V111" s="2">
        <v>40169</v>
      </c>
      <c r="W111" s="2">
        <v>40197</v>
      </c>
      <c r="X111" s="2">
        <v>40219</v>
      </c>
      <c r="Y111" s="2">
        <v>40285</v>
      </c>
      <c r="Z111" s="3" t="s">
        <v>544</v>
      </c>
      <c r="AA111" s="3" t="s">
        <v>545</v>
      </c>
      <c r="AB111" s="3" t="s">
        <v>546</v>
      </c>
      <c r="AC111" s="2">
        <v>40285</v>
      </c>
      <c r="AD111" s="2">
        <v>41668</v>
      </c>
      <c r="AE111" s="2" t="s">
        <v>106</v>
      </c>
      <c r="AF111" s="2" t="s">
        <v>269</v>
      </c>
      <c r="AG111" s="2" t="s">
        <v>269</v>
      </c>
      <c r="AH111" s="2" t="s">
        <v>269</v>
      </c>
      <c r="AI111" s="5">
        <v>1639583.19</v>
      </c>
      <c r="AJ111" s="6">
        <v>0</v>
      </c>
      <c r="AK111" s="70" t="str">
        <f>MID(E111,5,LEN(E111)-4)</f>
        <v>66RF1</v>
      </c>
    </row>
    <row r="112" spans="2:37" ht="118.95" customHeight="1" x14ac:dyDescent="0.3">
      <c r="B112" s="1">
        <f>MAX($C$2:$C$128)</f>
        <v>190</v>
      </c>
      <c r="C112" cm="1">
        <f t="array" ref="C112">IFERROR(MAX(--_xlfn.TEXTSPLIT(D112,";")),0)</f>
        <v>147</v>
      </c>
      <c r="D112" t="s">
        <v>1833</v>
      </c>
      <c r="E112" s="57" t="s">
        <v>89</v>
      </c>
      <c r="F112" s="57" t="s">
        <v>1739</v>
      </c>
      <c r="G112" s="1">
        <v>1</v>
      </c>
      <c r="H112" s="57" t="s">
        <v>1740</v>
      </c>
      <c r="I112" s="1" t="s">
        <v>91</v>
      </c>
      <c r="J112" s="1" t="s">
        <v>36</v>
      </c>
      <c r="K112" s="1" t="s">
        <v>92</v>
      </c>
      <c r="L112" s="1" t="s">
        <v>38</v>
      </c>
      <c r="M112" s="1" t="s">
        <v>39</v>
      </c>
      <c r="N112" s="2" t="s">
        <v>40</v>
      </c>
      <c r="O112" s="3">
        <v>3654770</v>
      </c>
      <c r="P112" s="3" t="s">
        <v>41</v>
      </c>
      <c r="Q112" s="4" t="s">
        <v>93</v>
      </c>
      <c r="R112" s="1" t="s">
        <v>43</v>
      </c>
      <c r="S112" s="3" t="s">
        <v>44</v>
      </c>
      <c r="T112" s="3" t="s">
        <v>94</v>
      </c>
      <c r="U112" s="2">
        <v>34691</v>
      </c>
      <c r="V112" s="2">
        <v>34801</v>
      </c>
      <c r="W112" s="2">
        <v>34850</v>
      </c>
      <c r="X112" s="2">
        <v>34866</v>
      </c>
      <c r="Y112" s="2">
        <v>34935</v>
      </c>
      <c r="Z112" s="3" t="s">
        <v>95</v>
      </c>
      <c r="AA112" s="3" t="s">
        <v>96</v>
      </c>
      <c r="AB112" s="3" t="s">
        <v>97</v>
      </c>
      <c r="AC112" s="2">
        <v>34963</v>
      </c>
      <c r="AD112" s="2">
        <v>44641</v>
      </c>
      <c r="AE112" s="2" t="s">
        <v>49</v>
      </c>
      <c r="AF112" s="2" t="s">
        <v>50</v>
      </c>
      <c r="AG112" s="2">
        <v>36393</v>
      </c>
      <c r="AH112" s="2">
        <v>37050</v>
      </c>
      <c r="AI112" s="5">
        <v>7424103.2967182985</v>
      </c>
      <c r="AJ112" s="6">
        <v>1</v>
      </c>
      <c r="AK112" s="69" t="str">
        <f>MID(E112,5,LEN(E112)-4)</f>
        <v>SASA1</v>
      </c>
    </row>
    <row r="113" spans="1:37" ht="118.95" customHeight="1" x14ac:dyDescent="0.3">
      <c r="B113" s="1">
        <f>MAX($C$2:$C$128)</f>
        <v>190</v>
      </c>
      <c r="C113" cm="1">
        <f t="array" ref="C113">IFERROR(MAX(--_xlfn.TEXTSPLIT(D113,";")),0)</f>
        <v>10</v>
      </c>
      <c r="D113" t="s">
        <v>1759</v>
      </c>
      <c r="E113" s="1" t="s">
        <v>800</v>
      </c>
      <c r="F113" s="1" t="s">
        <v>541</v>
      </c>
      <c r="G113" s="1">
        <v>2</v>
      </c>
      <c r="H113" s="1" t="s">
        <v>801</v>
      </c>
      <c r="I113" s="1" t="s">
        <v>802</v>
      </c>
      <c r="J113" s="1" t="s">
        <v>36</v>
      </c>
      <c r="K113" s="1" t="s">
        <v>543</v>
      </c>
      <c r="L113" s="1" t="s">
        <v>38</v>
      </c>
      <c r="M113" s="1" t="s">
        <v>39</v>
      </c>
      <c r="N113" s="2" t="s">
        <v>40</v>
      </c>
      <c r="O113" s="3">
        <v>13425000</v>
      </c>
      <c r="P113" s="3" t="s">
        <v>41</v>
      </c>
      <c r="Q113" s="1" t="s">
        <v>803</v>
      </c>
      <c r="R113" s="1" t="s">
        <v>662</v>
      </c>
      <c r="S113" s="3" t="s">
        <v>44</v>
      </c>
      <c r="T113" s="3" t="s">
        <v>484</v>
      </c>
      <c r="U113" s="2">
        <v>43020</v>
      </c>
      <c r="V113" s="2">
        <v>43616</v>
      </c>
      <c r="W113" s="2">
        <v>43642</v>
      </c>
      <c r="X113" s="2">
        <v>43697</v>
      </c>
      <c r="Y113" s="2">
        <v>43778</v>
      </c>
      <c r="Z113" s="3" t="s">
        <v>804</v>
      </c>
      <c r="AA113" s="22" t="s">
        <v>805</v>
      </c>
      <c r="AB113" s="3" t="s">
        <v>806</v>
      </c>
      <c r="AC113" s="2">
        <v>43778</v>
      </c>
      <c r="AD113" s="2">
        <v>60214</v>
      </c>
      <c r="AE113" s="2" t="s">
        <v>106</v>
      </c>
      <c r="AF113" s="2">
        <v>44439</v>
      </c>
      <c r="AG113" s="2" t="s">
        <v>697</v>
      </c>
      <c r="AH113" s="2" t="s">
        <v>697</v>
      </c>
      <c r="AI113" s="5">
        <v>13425000</v>
      </c>
      <c r="AJ113" s="6" t="s">
        <v>807</v>
      </c>
      <c r="AK113" s="69" t="str">
        <f>MID(E113,5,LEN(E113)-4)</f>
        <v>66RF2</v>
      </c>
    </row>
    <row r="114" spans="1:37" ht="118.95" customHeight="1" x14ac:dyDescent="0.3">
      <c r="B114" s="1">
        <f>MAX($C$2:$C$128)</f>
        <v>190</v>
      </c>
      <c r="C114" cm="1">
        <f t="array" ref="C114">IFERROR(MAX(--_xlfn.TEXTSPLIT(D114,";")),0)</f>
        <v>149</v>
      </c>
      <c r="D114" t="s">
        <v>1834</v>
      </c>
      <c r="E114" s="1" t="s">
        <v>221</v>
      </c>
      <c r="F114" s="1" t="s">
        <v>1880</v>
      </c>
      <c r="G114" s="1">
        <v>1</v>
      </c>
      <c r="H114" s="1" t="s">
        <v>222</v>
      </c>
      <c r="I114" s="1" t="s">
        <v>223</v>
      </c>
      <c r="J114" s="1" t="s">
        <v>36</v>
      </c>
      <c r="K114" s="1" t="s">
        <v>224</v>
      </c>
      <c r="L114" s="1" t="s">
        <v>38</v>
      </c>
      <c r="M114" s="1" t="s">
        <v>39</v>
      </c>
      <c r="N114" s="2" t="s">
        <v>40</v>
      </c>
      <c r="O114" s="3">
        <v>20639400</v>
      </c>
      <c r="P114" s="3" t="s">
        <v>41</v>
      </c>
      <c r="Q114" s="1" t="s">
        <v>225</v>
      </c>
      <c r="R114" s="1" t="s">
        <v>133</v>
      </c>
      <c r="S114" s="3" t="s">
        <v>123</v>
      </c>
      <c r="T114" s="3" t="s">
        <v>226</v>
      </c>
      <c r="U114" s="2">
        <v>35906</v>
      </c>
      <c r="V114" s="2">
        <v>35912</v>
      </c>
      <c r="W114" s="2">
        <v>35927</v>
      </c>
      <c r="X114" s="2">
        <v>35976</v>
      </c>
      <c r="Y114" s="2">
        <v>36038</v>
      </c>
      <c r="Z114" s="3" t="s">
        <v>227</v>
      </c>
      <c r="AA114" s="22" t="s">
        <v>228</v>
      </c>
      <c r="AB114" s="3" t="s">
        <v>229</v>
      </c>
      <c r="AC114" s="2">
        <v>36415</v>
      </c>
      <c r="AD114" s="2">
        <v>49305</v>
      </c>
      <c r="AE114" s="2" t="s">
        <v>106</v>
      </c>
      <c r="AF114" s="2" t="s">
        <v>50</v>
      </c>
      <c r="AG114" s="2">
        <v>40269</v>
      </c>
      <c r="AH114" s="2">
        <v>40298</v>
      </c>
      <c r="AI114" s="9">
        <v>35268695.5</v>
      </c>
      <c r="AJ114" s="6">
        <v>1</v>
      </c>
      <c r="AK114" s="69" t="str">
        <f>MID(E114,5,LEN(E114)-4)</f>
        <v>SATA1</v>
      </c>
    </row>
    <row r="115" spans="1:37" ht="118.95" customHeight="1" x14ac:dyDescent="0.3">
      <c r="B115" s="1">
        <f>MAX($C$2:$C$128)</f>
        <v>190</v>
      </c>
      <c r="C115" cm="1">
        <f t="array" ref="C115">IFERROR(MAX(--_xlfn.TEXTSPLIT(D115,";")),0)</f>
        <v>154</v>
      </c>
      <c r="D115" t="s">
        <v>1835</v>
      </c>
      <c r="E115" s="57" t="s">
        <v>128</v>
      </c>
      <c r="F115" s="57" t="s">
        <v>129</v>
      </c>
      <c r="G115" s="1">
        <v>1</v>
      </c>
      <c r="H115" s="1" t="s">
        <v>130</v>
      </c>
      <c r="I115" s="1" t="s">
        <v>131</v>
      </c>
      <c r="J115" s="1" t="s">
        <v>36</v>
      </c>
      <c r="K115" s="1" t="s">
        <v>92</v>
      </c>
      <c r="L115" s="1" t="s">
        <v>38</v>
      </c>
      <c r="M115" s="1" t="s">
        <v>66</v>
      </c>
      <c r="N115" s="2" t="s">
        <v>40</v>
      </c>
      <c r="O115" s="3">
        <v>3700000</v>
      </c>
      <c r="P115" s="3" t="s">
        <v>41</v>
      </c>
      <c r="Q115" s="1" t="s">
        <v>132</v>
      </c>
      <c r="R115" s="1" t="s">
        <v>133</v>
      </c>
      <c r="S115" s="3" t="s">
        <v>123</v>
      </c>
      <c r="T115" s="3" t="s">
        <v>134</v>
      </c>
      <c r="U115" s="2">
        <v>35180</v>
      </c>
      <c r="V115" s="2">
        <v>35342</v>
      </c>
      <c r="W115" s="2">
        <v>35363</v>
      </c>
      <c r="X115" s="2">
        <v>35418</v>
      </c>
      <c r="Y115" s="2">
        <v>35473</v>
      </c>
      <c r="Z115" s="3" t="s">
        <v>135</v>
      </c>
      <c r="AA115" s="3" t="s">
        <v>136</v>
      </c>
      <c r="AB115" s="59" t="s">
        <v>137</v>
      </c>
      <c r="AC115" s="2">
        <v>35711</v>
      </c>
      <c r="AD115" s="2">
        <v>46395</v>
      </c>
      <c r="AE115" s="2" t="s">
        <v>49</v>
      </c>
      <c r="AF115" s="2" t="s">
        <v>50</v>
      </c>
      <c r="AG115" s="2">
        <v>36795</v>
      </c>
      <c r="AH115" s="2">
        <v>37232</v>
      </c>
      <c r="AI115" s="67">
        <v>5454253.2500000009</v>
      </c>
      <c r="AJ115" s="17">
        <v>1</v>
      </c>
      <c r="AK115" s="69" t="str">
        <f>MID(E115,5,LEN(E115)-4)</f>
        <v>SCLA1</v>
      </c>
    </row>
    <row r="116" spans="1:37" ht="132.6" customHeight="1" x14ac:dyDescent="0.3">
      <c r="B116" s="1">
        <f>MAX($C$2:$C$128)</f>
        <v>190</v>
      </c>
      <c r="C116" cm="1">
        <f t="array" ref="C116">IFERROR(MAX(--_xlfn.TEXTSPLIT(D116,";")),0)</f>
        <v>156</v>
      </c>
      <c r="D116" t="s">
        <v>1836</v>
      </c>
      <c r="E116" s="21" t="s">
        <v>270</v>
      </c>
      <c r="F116" s="21" t="s">
        <v>271</v>
      </c>
      <c r="G116" s="1">
        <v>1</v>
      </c>
      <c r="H116" s="1" t="s">
        <v>272</v>
      </c>
      <c r="I116" s="1" t="s">
        <v>273</v>
      </c>
      <c r="J116" s="1" t="s">
        <v>111</v>
      </c>
      <c r="K116" s="1" t="s">
        <v>112</v>
      </c>
      <c r="L116" s="1" t="s">
        <v>38</v>
      </c>
      <c r="M116" s="1" t="s">
        <v>39</v>
      </c>
      <c r="N116" s="2" t="s">
        <v>40</v>
      </c>
      <c r="O116" s="3">
        <v>15190000</v>
      </c>
      <c r="P116" s="3" t="s">
        <v>41</v>
      </c>
      <c r="Q116" s="1" t="s">
        <v>274</v>
      </c>
      <c r="R116" s="1" t="s">
        <v>133</v>
      </c>
      <c r="S116" s="3" t="s">
        <v>123</v>
      </c>
      <c r="T116" s="3" t="s">
        <v>275</v>
      </c>
      <c r="U116" s="2">
        <v>36481</v>
      </c>
      <c r="V116" s="2">
        <v>36738</v>
      </c>
      <c r="W116" s="2">
        <v>36759</v>
      </c>
      <c r="X116" s="2">
        <v>36783</v>
      </c>
      <c r="Y116" s="2">
        <v>36895</v>
      </c>
      <c r="Z116" s="3" t="s">
        <v>276</v>
      </c>
      <c r="AA116" s="3" t="s">
        <v>277</v>
      </c>
      <c r="AB116" s="22" t="s">
        <v>278</v>
      </c>
      <c r="AC116" s="2">
        <v>37075</v>
      </c>
      <c r="AD116" s="2">
        <v>49187</v>
      </c>
      <c r="AE116" s="2" t="s">
        <v>106</v>
      </c>
      <c r="AF116" s="2" t="s">
        <v>50</v>
      </c>
      <c r="AG116" s="2">
        <v>38845</v>
      </c>
      <c r="AH116" s="2">
        <v>39183</v>
      </c>
      <c r="AI116" s="68">
        <v>31119620.699999999</v>
      </c>
      <c r="AJ116" s="17">
        <v>1</v>
      </c>
      <c r="AK116" s="69" t="str">
        <f>MID(E116,5,LEN(E116)-4)</f>
        <v>SNSS1</v>
      </c>
    </row>
    <row r="117" spans="1:37" ht="155.4" customHeight="1" x14ac:dyDescent="0.3">
      <c r="B117" s="1">
        <f>MAX($C$2:$C$128)</f>
        <v>190</v>
      </c>
      <c r="C117" cm="1">
        <f t="array" ref="C117">IFERROR(MAX(--_xlfn.TEXTSPLIT(D117,";")),0)</f>
        <v>158</v>
      </c>
      <c r="D117" t="s">
        <v>1837</v>
      </c>
      <c r="E117" s="1" t="s">
        <v>244</v>
      </c>
      <c r="F117" s="1" t="s">
        <v>1881</v>
      </c>
      <c r="G117" s="1">
        <v>1</v>
      </c>
      <c r="H117" s="1" t="s">
        <v>245</v>
      </c>
      <c r="I117" s="1" t="s">
        <v>246</v>
      </c>
      <c r="J117" s="1" t="s">
        <v>111</v>
      </c>
      <c r="K117" s="1" t="s">
        <v>112</v>
      </c>
      <c r="L117" s="1" t="s">
        <v>38</v>
      </c>
      <c r="M117" s="1" t="s">
        <v>39</v>
      </c>
      <c r="N117" s="2" t="s">
        <v>40</v>
      </c>
      <c r="O117" s="3">
        <v>9482776</v>
      </c>
      <c r="P117" s="3" t="s">
        <v>41</v>
      </c>
      <c r="Q117" s="1" t="s">
        <v>247</v>
      </c>
      <c r="R117" s="1" t="s">
        <v>133</v>
      </c>
      <c r="S117" s="3" t="s">
        <v>123</v>
      </c>
      <c r="T117" s="3" t="s">
        <v>248</v>
      </c>
      <c r="U117" s="2">
        <v>36343</v>
      </c>
      <c r="V117" s="2">
        <v>36480</v>
      </c>
      <c r="W117" s="2">
        <v>36500</v>
      </c>
      <c r="X117" s="2">
        <v>36580</v>
      </c>
      <c r="Y117" s="2">
        <v>36635</v>
      </c>
      <c r="Z117" s="3" t="s">
        <v>249</v>
      </c>
      <c r="AA117" s="3" t="s">
        <v>250</v>
      </c>
      <c r="AB117" s="3" t="s">
        <v>251</v>
      </c>
      <c r="AC117" s="2">
        <v>37803</v>
      </c>
      <c r="AD117" s="2">
        <v>49856</v>
      </c>
      <c r="AE117" s="2" t="s">
        <v>106</v>
      </c>
      <c r="AF117" s="2" t="s">
        <v>50</v>
      </c>
      <c r="AG117" s="2">
        <v>39359</v>
      </c>
      <c r="AH117" s="2">
        <v>39607</v>
      </c>
      <c r="AI117" s="65">
        <v>30132097.319999997</v>
      </c>
      <c r="AJ117" s="17">
        <v>1</v>
      </c>
      <c r="AK117" s="69" t="str">
        <f>MID(E117,5,LEN(E117)-4)</f>
        <v>SOPN1</v>
      </c>
    </row>
    <row r="118" spans="1:37" ht="118.95" customHeight="1" x14ac:dyDescent="0.3">
      <c r="B118" s="1">
        <f>MAX($C$2:$C$128)</f>
        <v>190</v>
      </c>
      <c r="C118" cm="1">
        <f t="array" ref="C118">IFERROR(MAX(--_xlfn.TEXTSPLIT(D118,";")),0)</f>
        <v>159</v>
      </c>
      <c r="D118" t="s">
        <v>1838</v>
      </c>
      <c r="E118" s="1" t="s">
        <v>118</v>
      </c>
      <c r="F118" s="1" t="s">
        <v>1882</v>
      </c>
      <c r="G118" s="1">
        <v>1</v>
      </c>
      <c r="H118" s="1" t="s">
        <v>119</v>
      </c>
      <c r="I118" s="1" t="s">
        <v>120</v>
      </c>
      <c r="J118" s="1" t="s">
        <v>36</v>
      </c>
      <c r="K118" s="1" t="s">
        <v>121</v>
      </c>
      <c r="L118" s="1" t="s">
        <v>38</v>
      </c>
      <c r="M118" s="1" t="s">
        <v>39</v>
      </c>
      <c r="N118" s="2" t="s">
        <v>40</v>
      </c>
      <c r="O118" s="3">
        <v>4500000</v>
      </c>
      <c r="P118" s="3" t="s">
        <v>41</v>
      </c>
      <c r="Q118" s="4" t="s">
        <v>122</v>
      </c>
      <c r="R118" s="1" t="s">
        <v>43</v>
      </c>
      <c r="S118" s="3" t="s">
        <v>123</v>
      </c>
      <c r="T118" s="3" t="s">
        <v>124</v>
      </c>
      <c r="U118" s="2">
        <v>35004</v>
      </c>
      <c r="V118" s="2">
        <v>35044</v>
      </c>
      <c r="W118" s="2">
        <v>35060</v>
      </c>
      <c r="X118" s="2">
        <v>35076</v>
      </c>
      <c r="Y118" s="2">
        <v>35137</v>
      </c>
      <c r="Z118" s="3" t="s">
        <v>125</v>
      </c>
      <c r="AA118" s="3" t="s">
        <v>126</v>
      </c>
      <c r="AB118" s="3" t="s">
        <v>127</v>
      </c>
      <c r="AC118" s="2">
        <v>35137</v>
      </c>
      <c r="AD118" s="2">
        <v>44286</v>
      </c>
      <c r="AE118" s="2" t="s">
        <v>106</v>
      </c>
      <c r="AF118" s="2" t="s">
        <v>50</v>
      </c>
      <c r="AG118" s="2">
        <v>36444</v>
      </c>
      <c r="AH118" s="2">
        <v>36640</v>
      </c>
      <c r="AI118" s="46">
        <v>8790422.5669340007</v>
      </c>
      <c r="AJ118" s="17">
        <v>1</v>
      </c>
      <c r="AK118" s="69" t="str">
        <f>MID(E118,5,LEN(E118)-4)</f>
        <v>TACH1</v>
      </c>
    </row>
    <row r="119" spans="1:37" ht="118.95" customHeight="1" x14ac:dyDescent="0.3">
      <c r="B119" s="1">
        <f>MAX($C$2:$C$128)</f>
        <v>190</v>
      </c>
      <c r="C119" cm="1">
        <f t="array" ref="C119">IFERROR(MAX(--_xlfn.TEXTSPLIT(D119,";")),0)</f>
        <v>7</v>
      </c>
      <c r="D119" t="s">
        <v>1757</v>
      </c>
      <c r="E119" s="1" t="s">
        <v>502</v>
      </c>
      <c r="F119" s="1" t="s">
        <v>503</v>
      </c>
      <c r="G119" s="1">
        <v>1</v>
      </c>
      <c r="H119" s="1" t="s">
        <v>504</v>
      </c>
      <c r="I119" s="1">
        <v>0</v>
      </c>
      <c r="J119" s="1" t="s">
        <v>36</v>
      </c>
      <c r="K119" s="1" t="s">
        <v>112</v>
      </c>
      <c r="L119" s="1" t="s">
        <v>38</v>
      </c>
      <c r="M119" s="1" t="s">
        <v>66</v>
      </c>
      <c r="N119" s="2">
        <v>38006</v>
      </c>
      <c r="O119" s="3">
        <v>880000</v>
      </c>
      <c r="P119" s="3" t="s">
        <v>41</v>
      </c>
      <c r="Q119" s="1" t="s">
        <v>264</v>
      </c>
      <c r="R119" s="1" t="s">
        <v>43</v>
      </c>
      <c r="S119" s="3" t="s">
        <v>44</v>
      </c>
      <c r="T119" s="3" t="s">
        <v>484</v>
      </c>
      <c r="U119" s="2">
        <v>39445</v>
      </c>
      <c r="V119" s="2">
        <v>39660</v>
      </c>
      <c r="W119" s="2">
        <v>39688</v>
      </c>
      <c r="X119" s="2">
        <v>39780</v>
      </c>
      <c r="Y119" s="2">
        <v>39842</v>
      </c>
      <c r="Z119" s="3" t="s">
        <v>505</v>
      </c>
      <c r="AA119" s="3" t="s">
        <v>506</v>
      </c>
      <c r="AB119" s="22" t="s">
        <v>507</v>
      </c>
      <c r="AC119" s="2">
        <v>39842</v>
      </c>
      <c r="AD119" s="2">
        <v>41773</v>
      </c>
      <c r="AE119" s="2" t="s">
        <v>106</v>
      </c>
      <c r="AF119" s="2" t="s">
        <v>269</v>
      </c>
      <c r="AG119" s="2" t="s">
        <v>269</v>
      </c>
      <c r="AH119" s="2" t="s">
        <v>269</v>
      </c>
      <c r="AI119" s="46">
        <v>308326.59999999998</v>
      </c>
      <c r="AJ119" s="6">
        <v>0</v>
      </c>
      <c r="AK119" s="1" t="str">
        <f>MID(E119,5,LEN(E119)-4)</f>
        <v>60GR1</v>
      </c>
    </row>
    <row r="120" spans="1:37" ht="118.95" customHeight="1" x14ac:dyDescent="0.3">
      <c r="B120" s="1">
        <f>MAX($C$2:$C$128)</f>
        <v>190</v>
      </c>
      <c r="C120" cm="1">
        <f t="array" ref="C120">IFERROR(MAX(--_xlfn.TEXTSPLIT(D120,";")),0)</f>
        <v>4</v>
      </c>
      <c r="D120" t="s">
        <v>1755</v>
      </c>
      <c r="E120" s="1" t="s">
        <v>753</v>
      </c>
      <c r="F120" s="1" t="s">
        <v>1850</v>
      </c>
      <c r="G120" s="1">
        <v>1</v>
      </c>
      <c r="H120" s="1" t="s">
        <v>754</v>
      </c>
      <c r="I120" s="1" t="s">
        <v>755</v>
      </c>
      <c r="J120" s="1" t="s">
        <v>111</v>
      </c>
      <c r="K120" s="1" t="s">
        <v>112</v>
      </c>
      <c r="L120" s="1" t="s">
        <v>38</v>
      </c>
      <c r="M120" s="1" t="s">
        <v>39</v>
      </c>
      <c r="N120" s="2" t="s">
        <v>40</v>
      </c>
      <c r="O120" s="3">
        <v>19670000</v>
      </c>
      <c r="P120" s="3" t="s">
        <v>41</v>
      </c>
      <c r="Q120" s="1" t="s">
        <v>756</v>
      </c>
      <c r="R120" s="1" t="s">
        <v>693</v>
      </c>
      <c r="S120" s="3" t="s">
        <v>123</v>
      </c>
      <c r="T120" s="3" t="s">
        <v>484</v>
      </c>
      <c r="U120" s="2">
        <v>42594</v>
      </c>
      <c r="V120" s="2">
        <v>42885</v>
      </c>
      <c r="W120" s="2">
        <v>43309</v>
      </c>
      <c r="X120" s="2">
        <v>43054</v>
      </c>
      <c r="Y120" s="2">
        <v>43195</v>
      </c>
      <c r="Z120" s="3" t="s">
        <v>757</v>
      </c>
      <c r="AA120" s="3" t="s">
        <v>758</v>
      </c>
      <c r="AB120" s="3" t="s">
        <v>759</v>
      </c>
      <c r="AC120" s="2">
        <v>43195</v>
      </c>
      <c r="AD120" s="2">
        <v>59630</v>
      </c>
      <c r="AE120" s="2" t="s">
        <v>106</v>
      </c>
      <c r="AF120" s="2">
        <v>45288</v>
      </c>
      <c r="AG120" s="2" t="s">
        <v>697</v>
      </c>
      <c r="AH120" s="2" t="s">
        <v>697</v>
      </c>
      <c r="AI120" s="46">
        <v>19670000</v>
      </c>
      <c r="AJ120" s="13">
        <v>0.2641</v>
      </c>
      <c r="AK120" s="69" t="str">
        <f>MID(E120,5,LEN(E120)-4)</f>
        <v>2AVO1</v>
      </c>
    </row>
    <row r="121" spans="1:37" ht="118.95" customHeight="1" x14ac:dyDescent="0.3">
      <c r="A121" t="s">
        <v>1889</v>
      </c>
      <c r="B121" s="1">
        <f>MAX($C$2:$C$128)</f>
        <v>190</v>
      </c>
      <c r="C121" cm="1">
        <f t="array" ref="C121">IFERROR(MAX(--_xlfn.TEXTSPLIT(D121,";")),0)</f>
        <v>189</v>
      </c>
      <c r="D121">
        <v>189</v>
      </c>
      <c r="E121" s="1" t="s">
        <v>32</v>
      </c>
      <c r="F121" s="57" t="s">
        <v>33</v>
      </c>
      <c r="G121" s="1">
        <v>1</v>
      </c>
      <c r="H121" s="57" t="s">
        <v>34</v>
      </c>
      <c r="I121" s="1" t="s">
        <v>35</v>
      </c>
      <c r="J121" s="1" t="s">
        <v>36</v>
      </c>
      <c r="K121" s="1" t="s">
        <v>37</v>
      </c>
      <c r="L121" s="1" t="s">
        <v>38</v>
      </c>
      <c r="M121" s="1" t="s">
        <v>39</v>
      </c>
      <c r="N121" s="2" t="s">
        <v>40</v>
      </c>
      <c r="O121" s="3">
        <v>587208.35782083974</v>
      </c>
      <c r="P121" s="3" t="s">
        <v>41</v>
      </c>
      <c r="Q121" s="4" t="s">
        <v>42</v>
      </c>
      <c r="R121" s="1" t="s">
        <v>43</v>
      </c>
      <c r="S121" s="3" t="s">
        <v>44</v>
      </c>
      <c r="T121" s="3" t="s">
        <v>45</v>
      </c>
      <c r="U121" s="2">
        <v>33909</v>
      </c>
      <c r="V121" s="2">
        <v>33967</v>
      </c>
      <c r="W121" s="2">
        <v>34012</v>
      </c>
      <c r="X121" s="2">
        <v>34067</v>
      </c>
      <c r="Y121" s="2">
        <v>34142</v>
      </c>
      <c r="Z121" s="3" t="s">
        <v>46</v>
      </c>
      <c r="AA121" s="3" t="s">
        <v>47</v>
      </c>
      <c r="AB121" s="3" t="s">
        <v>48</v>
      </c>
      <c r="AC121" s="2">
        <v>34225</v>
      </c>
      <c r="AD121" s="2">
        <v>42550</v>
      </c>
      <c r="AE121" s="2" t="s">
        <v>49</v>
      </c>
      <c r="AF121" s="2" t="s">
        <v>50</v>
      </c>
      <c r="AG121" s="2">
        <v>34955</v>
      </c>
      <c r="AH121" s="2">
        <v>35248</v>
      </c>
      <c r="AI121" s="46">
        <v>1602634.08</v>
      </c>
      <c r="AJ121" s="6">
        <v>1</v>
      </c>
      <c r="AK121" s="69" t="str">
        <f>MID(E121,5,LEN(E121)-4)</f>
        <v>TEME1</v>
      </c>
    </row>
    <row r="122" spans="1:37" ht="118.95" customHeight="1" x14ac:dyDescent="0.3">
      <c r="B122" s="1">
        <f>MAX($C$2:$C$128)</f>
        <v>190</v>
      </c>
      <c r="C122" cm="1">
        <f t="array" ref="C122">IFERROR(MAX(--_xlfn.TEXTSPLIT(D122,";")),0)</f>
        <v>161.18899999999999</v>
      </c>
      <c r="D122">
        <v>161.18899999999999</v>
      </c>
      <c r="E122" s="21" t="s">
        <v>722</v>
      </c>
      <c r="F122" s="57" t="s">
        <v>33</v>
      </c>
      <c r="G122" s="1">
        <v>2</v>
      </c>
      <c r="H122" s="21" t="s">
        <v>723</v>
      </c>
      <c r="I122" s="1" t="s">
        <v>724</v>
      </c>
      <c r="J122" s="1" t="s">
        <v>36</v>
      </c>
      <c r="K122" s="1" t="s">
        <v>37</v>
      </c>
      <c r="L122" s="1" t="s">
        <v>38</v>
      </c>
      <c r="M122" s="1" t="s">
        <v>39</v>
      </c>
      <c r="N122" s="2" t="s">
        <v>40</v>
      </c>
      <c r="O122" s="3">
        <v>3026000</v>
      </c>
      <c r="P122" s="3" t="s">
        <v>41</v>
      </c>
      <c r="Q122" s="1" t="s">
        <v>725</v>
      </c>
      <c r="R122" s="1" t="s">
        <v>43</v>
      </c>
      <c r="S122" s="3" t="s">
        <v>44</v>
      </c>
      <c r="T122" s="3" t="s">
        <v>152</v>
      </c>
      <c r="U122" s="2">
        <v>42291</v>
      </c>
      <c r="V122" s="2">
        <v>42417</v>
      </c>
      <c r="W122" s="2">
        <v>42436</v>
      </c>
      <c r="X122" s="2">
        <v>42464</v>
      </c>
      <c r="Y122" s="2">
        <v>42528</v>
      </c>
      <c r="Z122" s="3" t="s">
        <v>726</v>
      </c>
      <c r="AA122" s="3" t="s">
        <v>727</v>
      </c>
      <c r="AB122" s="3" t="s">
        <v>728</v>
      </c>
      <c r="AC122" s="2">
        <v>42528</v>
      </c>
      <c r="AD122" s="2">
        <v>45838</v>
      </c>
      <c r="AE122" s="2" t="s">
        <v>106</v>
      </c>
      <c r="AF122" s="2">
        <v>43385</v>
      </c>
      <c r="AG122" s="2">
        <v>44855</v>
      </c>
      <c r="AH122" s="2">
        <v>45138</v>
      </c>
      <c r="AI122" s="46">
        <v>2592310.0499999998</v>
      </c>
      <c r="AJ122" s="17">
        <v>1</v>
      </c>
      <c r="AK122" s="69" t="str">
        <f>MID(E122,5,LEN(E122)-4)</f>
        <v>TEME2</v>
      </c>
    </row>
    <row r="123" spans="1:37" ht="118.95" customHeight="1" x14ac:dyDescent="0.3">
      <c r="B123" s="1">
        <f>MAX($C$2:$C$128)</f>
        <v>190</v>
      </c>
      <c r="C123" cm="1">
        <f t="array" ref="C123">IFERROR(MAX(--_xlfn.TEXTSPLIT(D123,";")),0)</f>
        <v>162</v>
      </c>
      <c r="D123" t="s">
        <v>1840</v>
      </c>
      <c r="E123" s="21" t="s">
        <v>164</v>
      </c>
      <c r="F123" s="21" t="s">
        <v>1884</v>
      </c>
      <c r="G123" s="1">
        <v>1</v>
      </c>
      <c r="H123" s="21" t="s">
        <v>165</v>
      </c>
      <c r="I123" s="1" t="s">
        <v>166</v>
      </c>
      <c r="J123" s="1" t="s">
        <v>36</v>
      </c>
      <c r="K123" s="1" t="s">
        <v>167</v>
      </c>
      <c r="L123" s="1" t="s">
        <v>38</v>
      </c>
      <c r="M123" s="1" t="s">
        <v>39</v>
      </c>
      <c r="N123" s="2" t="s">
        <v>40</v>
      </c>
      <c r="O123" s="3">
        <v>6105000</v>
      </c>
      <c r="P123" s="3" t="s">
        <v>41</v>
      </c>
      <c r="Q123" s="1" t="s">
        <v>168</v>
      </c>
      <c r="R123" s="1" t="s">
        <v>43</v>
      </c>
      <c r="S123" s="3" t="s">
        <v>123</v>
      </c>
      <c r="T123" s="3" t="s">
        <v>85</v>
      </c>
      <c r="U123" s="2">
        <v>35370</v>
      </c>
      <c r="V123" s="2">
        <v>35548</v>
      </c>
      <c r="W123" s="2">
        <v>35562</v>
      </c>
      <c r="X123" s="2">
        <v>35656</v>
      </c>
      <c r="Y123" s="2">
        <v>35731</v>
      </c>
      <c r="Z123" s="3" t="s">
        <v>169</v>
      </c>
      <c r="AA123" s="3" t="s">
        <v>170</v>
      </c>
      <c r="AB123" s="3" t="s">
        <v>171</v>
      </c>
      <c r="AC123" s="2">
        <v>35976</v>
      </c>
      <c r="AD123" s="2">
        <v>46111</v>
      </c>
      <c r="AE123" s="2" t="s">
        <v>49</v>
      </c>
      <c r="AF123" s="2" t="s">
        <v>50</v>
      </c>
      <c r="AG123" s="2">
        <v>37148</v>
      </c>
      <c r="AH123" s="2">
        <v>37834</v>
      </c>
      <c r="AI123" s="68">
        <v>9358918.5</v>
      </c>
      <c r="AJ123" s="17">
        <v>1</v>
      </c>
      <c r="AK123" s="69" t="str">
        <f>MID(E123,5,LEN(E123)-4)</f>
        <v>TERB1</v>
      </c>
    </row>
    <row r="124" spans="1:37" ht="118.95" customHeight="1" x14ac:dyDescent="0.3">
      <c r="B124" s="1">
        <f>MAX($C$2:$C$128)</f>
        <v>190</v>
      </c>
      <c r="C124" cm="1">
        <f t="array" ref="C124">IFERROR(MAX(--_xlfn.TEXTSPLIT(D124,";")),0)</f>
        <v>3</v>
      </c>
      <c r="D124" t="s">
        <v>1754</v>
      </c>
      <c r="E124" s="21" t="s">
        <v>816</v>
      </c>
      <c r="F124" s="21" t="s">
        <v>1849</v>
      </c>
      <c r="G124" s="1">
        <v>1</v>
      </c>
      <c r="H124" s="21" t="s">
        <v>817</v>
      </c>
      <c r="I124" s="1" t="s">
        <v>818</v>
      </c>
      <c r="J124" s="1" t="s">
        <v>111</v>
      </c>
      <c r="K124" s="1" t="s">
        <v>112</v>
      </c>
      <c r="L124" s="1" t="s">
        <v>38</v>
      </c>
      <c r="M124" s="1" t="s">
        <v>66</v>
      </c>
      <c r="N124" s="2">
        <v>38385</v>
      </c>
      <c r="O124" s="3">
        <v>2308000</v>
      </c>
      <c r="P124" s="3" t="s">
        <v>41</v>
      </c>
      <c r="Q124" s="4" t="s">
        <v>819</v>
      </c>
      <c r="R124" s="1" t="s">
        <v>43</v>
      </c>
      <c r="S124" s="3" t="s">
        <v>44</v>
      </c>
      <c r="T124" s="3" t="s">
        <v>820</v>
      </c>
      <c r="U124" s="2">
        <v>43195</v>
      </c>
      <c r="V124" s="2">
        <v>43398</v>
      </c>
      <c r="W124" s="2">
        <v>43420</v>
      </c>
      <c r="X124" s="2">
        <v>43487</v>
      </c>
      <c r="Y124" s="2">
        <v>43557</v>
      </c>
      <c r="Z124" s="3" t="s">
        <v>821</v>
      </c>
      <c r="AA124" s="3" t="s">
        <v>822</v>
      </c>
      <c r="AB124" s="3" t="s">
        <v>823</v>
      </c>
      <c r="AC124" s="2">
        <v>43557</v>
      </c>
      <c r="AD124" s="2">
        <v>45145</v>
      </c>
      <c r="AE124" s="2" t="s">
        <v>106</v>
      </c>
      <c r="AF124" s="2" t="s">
        <v>269</v>
      </c>
      <c r="AG124" s="2" t="s">
        <v>269</v>
      </c>
      <c r="AH124" s="2" t="s">
        <v>269</v>
      </c>
      <c r="AI124" s="46">
        <v>825000</v>
      </c>
      <c r="AJ124" s="17">
        <v>0</v>
      </c>
      <c r="AK124" s="69" t="str">
        <f>MID(E124,5,LEN(E124)-4)</f>
        <v>21RG1</v>
      </c>
    </row>
    <row r="125" spans="1:37" ht="201.6" x14ac:dyDescent="0.3">
      <c r="B125" s="1">
        <f t="shared" ref="B98:B128" si="2">MAX($C$2:$C$128)</f>
        <v>190</v>
      </c>
      <c r="C125" cm="1">
        <f t="array" ref="C125">IFERROR(MAX(--_xlfn.TEXTSPLIT(D125,";")),0)</f>
        <v>163</v>
      </c>
      <c r="D125" t="s">
        <v>1841</v>
      </c>
      <c r="E125" s="11" t="s">
        <v>622</v>
      </c>
      <c r="F125" s="61" t="s">
        <v>1886</v>
      </c>
      <c r="G125" s="1">
        <v>1</v>
      </c>
      <c r="H125" s="1" t="s">
        <v>623</v>
      </c>
      <c r="I125" s="1" t="s">
        <v>624</v>
      </c>
      <c r="J125" s="1" t="s">
        <v>36</v>
      </c>
      <c r="K125" s="1" t="s">
        <v>625</v>
      </c>
      <c r="L125" s="1" t="s">
        <v>38</v>
      </c>
      <c r="M125" s="1" t="s">
        <v>39</v>
      </c>
      <c r="N125" s="2" t="s">
        <v>40</v>
      </c>
      <c r="O125" s="3">
        <v>7900000</v>
      </c>
      <c r="P125" s="3" t="s">
        <v>41</v>
      </c>
      <c r="Q125" s="1" t="s">
        <v>626</v>
      </c>
      <c r="R125" s="1" t="s">
        <v>133</v>
      </c>
      <c r="S125" s="3" t="s">
        <v>123</v>
      </c>
      <c r="T125" s="3" t="s">
        <v>484</v>
      </c>
      <c r="U125" s="2">
        <v>40865</v>
      </c>
      <c r="V125" s="2">
        <v>40890</v>
      </c>
      <c r="W125" s="2">
        <v>40897</v>
      </c>
      <c r="X125" s="2">
        <v>40934</v>
      </c>
      <c r="Y125" s="2">
        <v>41002</v>
      </c>
      <c r="Z125" s="3" t="s">
        <v>627</v>
      </c>
      <c r="AA125" s="3" t="s">
        <v>628</v>
      </c>
      <c r="AB125" s="3" t="s">
        <v>629</v>
      </c>
      <c r="AC125" s="2">
        <v>41002</v>
      </c>
      <c r="AD125" s="2">
        <v>53784</v>
      </c>
      <c r="AE125" s="2" t="s">
        <v>106</v>
      </c>
      <c r="AF125" s="2" t="s">
        <v>50</v>
      </c>
      <c r="AG125" s="2">
        <v>42499</v>
      </c>
      <c r="AH125" s="2">
        <v>42795</v>
      </c>
      <c r="AI125" s="65">
        <v>8977038.0899999999</v>
      </c>
      <c r="AJ125" s="17">
        <v>1</v>
      </c>
      <c r="AK125" s="69" t="str">
        <f t="shared" ref="AK98:AK128" si="3">MID(E125,5,LEN(E125)-4)</f>
        <v>VALS1</v>
      </c>
    </row>
    <row r="126" spans="1:37" ht="187.2" x14ac:dyDescent="0.3">
      <c r="B126" s="1">
        <f t="shared" si="2"/>
        <v>190</v>
      </c>
      <c r="C126" cm="1">
        <f t="array" ref="C126">IFERROR(MAX(--_xlfn.TEXTSPLIT(D126,";")),0)</f>
        <v>164</v>
      </c>
      <c r="D126" t="s">
        <v>1842</v>
      </c>
      <c r="E126" s="1" t="s">
        <v>296</v>
      </c>
      <c r="F126" s="61" t="s">
        <v>297</v>
      </c>
      <c r="G126" s="1">
        <v>1</v>
      </c>
      <c r="H126" s="1" t="s">
        <v>298</v>
      </c>
      <c r="I126" s="1" t="s">
        <v>299</v>
      </c>
      <c r="J126" s="1" t="s">
        <v>36</v>
      </c>
      <c r="K126" s="1" t="s">
        <v>112</v>
      </c>
      <c r="L126" s="1" t="s">
        <v>38</v>
      </c>
      <c r="M126" s="1" t="s">
        <v>66</v>
      </c>
      <c r="N126" s="2" t="s">
        <v>40</v>
      </c>
      <c r="O126" s="3">
        <v>669100</v>
      </c>
      <c r="P126" s="3" t="s">
        <v>41</v>
      </c>
      <c r="Q126" s="1" t="s">
        <v>300</v>
      </c>
      <c r="R126" s="1" t="s">
        <v>133</v>
      </c>
      <c r="S126" s="3" t="s">
        <v>44</v>
      </c>
      <c r="T126" s="3" t="s">
        <v>301</v>
      </c>
      <c r="U126" s="2">
        <v>36874</v>
      </c>
      <c r="V126" s="2">
        <v>37046</v>
      </c>
      <c r="W126" s="2">
        <v>37068</v>
      </c>
      <c r="X126" s="2">
        <v>37120</v>
      </c>
      <c r="Y126" s="2">
        <v>37193</v>
      </c>
      <c r="Z126" s="3" t="s">
        <v>302</v>
      </c>
      <c r="AA126" s="3" t="s">
        <v>303</v>
      </c>
      <c r="AB126" s="3" t="s">
        <v>304</v>
      </c>
      <c r="AC126" s="2">
        <v>37740</v>
      </c>
      <c r="AD126" s="2">
        <v>48697</v>
      </c>
      <c r="AE126" s="2" t="s">
        <v>49</v>
      </c>
      <c r="AF126" s="2" t="s">
        <v>50</v>
      </c>
      <c r="AG126" s="2">
        <v>38104</v>
      </c>
      <c r="AH126" s="2">
        <v>38709</v>
      </c>
      <c r="AI126" s="65">
        <v>907495.36</v>
      </c>
      <c r="AJ126" s="17">
        <v>1</v>
      </c>
      <c r="AK126" s="69" t="str">
        <f t="shared" si="3"/>
        <v>VAME1</v>
      </c>
    </row>
    <row r="127" spans="1:37" ht="125.4" customHeight="1" x14ac:dyDescent="0.3">
      <c r="A127" t="s">
        <v>1992</v>
      </c>
      <c r="B127" s="1">
        <f t="shared" si="2"/>
        <v>190</v>
      </c>
      <c r="C127" cm="1">
        <f t="array" ref="C127">IFERROR(MAX(--_xlfn.TEXTSPLIT(D127,";")),0)</f>
        <v>168</v>
      </c>
      <c r="D127" t="s">
        <v>1843</v>
      </c>
      <c r="E127" s="11" t="s">
        <v>508</v>
      </c>
      <c r="F127" s="61" t="s">
        <v>1887</v>
      </c>
      <c r="G127" s="1">
        <v>1</v>
      </c>
      <c r="H127" s="1" t="s">
        <v>509</v>
      </c>
      <c r="I127" s="1" t="s">
        <v>510</v>
      </c>
      <c r="J127" s="1" t="s">
        <v>36</v>
      </c>
      <c r="K127" s="1" t="s">
        <v>344</v>
      </c>
      <c r="L127" s="1" t="s">
        <v>38</v>
      </c>
      <c r="M127" s="1" t="s">
        <v>39</v>
      </c>
      <c r="N127" s="2" t="s">
        <v>40</v>
      </c>
      <c r="O127" s="3">
        <v>7230000</v>
      </c>
      <c r="P127" s="3" t="s">
        <v>41</v>
      </c>
      <c r="Q127" s="1" t="s">
        <v>511</v>
      </c>
      <c r="R127" s="1" t="s">
        <v>133</v>
      </c>
      <c r="S127" s="3" t="s">
        <v>44</v>
      </c>
      <c r="T127" s="3" t="s">
        <v>512</v>
      </c>
      <c r="U127" s="2">
        <v>39445</v>
      </c>
      <c r="V127" s="2">
        <v>39707</v>
      </c>
      <c r="W127" s="2">
        <v>39738</v>
      </c>
      <c r="X127" s="2">
        <v>39821</v>
      </c>
      <c r="Y127" s="2">
        <v>39876</v>
      </c>
      <c r="Z127" s="3" t="s">
        <v>513</v>
      </c>
      <c r="AA127" s="3" t="s">
        <v>514</v>
      </c>
      <c r="AB127" s="3" t="s">
        <v>515</v>
      </c>
      <c r="AC127" s="2">
        <v>39876</v>
      </c>
      <c r="AD127" s="2">
        <v>52659</v>
      </c>
      <c r="AE127" s="2" t="s">
        <v>106</v>
      </c>
      <c r="AF127" s="2">
        <v>40552</v>
      </c>
      <c r="AG127" s="2">
        <v>40850</v>
      </c>
      <c r="AH127" s="2">
        <v>41033</v>
      </c>
      <c r="AI127" s="65">
        <v>6465494.1300000008</v>
      </c>
      <c r="AJ127" s="17">
        <v>1</v>
      </c>
      <c r="AK127" s="69" t="str">
        <f t="shared" si="3"/>
        <v>VCAL1</v>
      </c>
    </row>
    <row r="128" spans="1:37" ht="259.2" x14ac:dyDescent="0.3">
      <c r="B128" s="1">
        <f t="shared" si="2"/>
        <v>190</v>
      </c>
      <c r="C128" cm="1">
        <f t="array" ref="C128">IFERROR(MAX(--_xlfn.TEXTSPLIT(D128,";")),0)</f>
        <v>174</v>
      </c>
      <c r="D128" t="s">
        <v>1844</v>
      </c>
      <c r="E128" s="1" t="s">
        <v>447</v>
      </c>
      <c r="F128" s="61" t="s">
        <v>448</v>
      </c>
      <c r="G128" s="1">
        <v>1</v>
      </c>
      <c r="H128" s="61" t="s">
        <v>449</v>
      </c>
      <c r="I128" s="1" t="s">
        <v>450</v>
      </c>
      <c r="J128" s="1" t="s">
        <v>111</v>
      </c>
      <c r="K128" s="1" t="s">
        <v>112</v>
      </c>
      <c r="L128" s="1" t="s">
        <v>38</v>
      </c>
      <c r="M128" s="1" t="s">
        <v>66</v>
      </c>
      <c r="N128" s="2">
        <v>36119</v>
      </c>
      <c r="O128" s="3">
        <v>2500000</v>
      </c>
      <c r="P128" s="3" t="s">
        <v>41</v>
      </c>
      <c r="Q128" s="1" t="s">
        <v>451</v>
      </c>
      <c r="R128" s="1" t="s">
        <v>133</v>
      </c>
      <c r="S128" s="3" t="s">
        <v>44</v>
      </c>
      <c r="T128" s="3" t="s">
        <v>452</v>
      </c>
      <c r="U128" s="2">
        <v>38091</v>
      </c>
      <c r="V128" s="2">
        <v>38217</v>
      </c>
      <c r="W128" s="2">
        <v>38239</v>
      </c>
      <c r="X128" s="2">
        <v>38317</v>
      </c>
      <c r="Y128" s="2">
        <v>38404</v>
      </c>
      <c r="Z128" s="3" t="s">
        <v>453</v>
      </c>
      <c r="AA128" s="3" t="s">
        <v>454</v>
      </c>
      <c r="AB128" s="3" t="s">
        <v>446</v>
      </c>
      <c r="AC128" s="2">
        <v>38404</v>
      </c>
      <c r="AD128" s="2">
        <v>50272</v>
      </c>
      <c r="AE128" s="2" t="s">
        <v>106</v>
      </c>
      <c r="AF128" s="2" t="s">
        <v>50</v>
      </c>
      <c r="AG128" s="2">
        <v>39632</v>
      </c>
      <c r="AH128" s="2">
        <v>39967</v>
      </c>
      <c r="AI128" s="65">
        <v>4102180.9400000004</v>
      </c>
      <c r="AJ128" s="17">
        <v>1</v>
      </c>
      <c r="AK128" s="69" t="str">
        <f t="shared" si="3"/>
        <v>VVSK1</v>
      </c>
    </row>
  </sheetData>
  <autoFilter ref="AK1:AK128" xr:uid="{80840258-79EC-4B6B-9344-9FB50696C2EB}">
    <sortState xmlns:xlrd2="http://schemas.microsoft.com/office/spreadsheetml/2017/richdata2" ref="AK3:AK124">
      <sortCondition ref="AK1:AK128"/>
    </sortState>
  </autoFilter>
  <hyperlinks>
    <hyperlink ref="AB61" r:id="rId1" xr:uid="{3A35BB87-9951-4ED5-AA29-091A491DDB47}"/>
    <hyperlink ref="AB30" r:id="rId2" xr:uid="{A7AC609C-93C4-4D0F-A98C-DAEAD72B9010}"/>
    <hyperlink ref="AB22" r:id="rId3" xr:uid="{05C15554-DCDF-431F-AD25-1C380DC7CEC4}"/>
    <hyperlink ref="AB99" r:id="rId4" xr:uid="{87BC28C3-53E7-47EA-B968-2A58A8F67912}"/>
    <hyperlink ref="Q121" r:id="rId5" xr:uid="{B49BBFD3-FB03-4C12-AC55-9D1C4895F494}"/>
    <hyperlink ref="Q51" r:id="rId6" xr:uid="{1138822B-B318-43D2-A038-0D1CD40CE0B7}"/>
    <hyperlink ref="Q30" r:id="rId7" xr:uid="{2E77FBF3-3CB1-478B-B257-31FCF663D5B8}"/>
    <hyperlink ref="Q98" r:id="rId8" xr:uid="{0F4295B4-8EDE-4758-9A55-F4853FF8222E}"/>
    <hyperlink ref="Q17" r:id="rId9" xr:uid="{46211A6B-BFAD-42AC-B417-8C1607D4535F}"/>
    <hyperlink ref="Q112" r:id="rId10" xr:uid="{2894B2BC-A82D-4794-8EC7-8A7B8E485FB4}"/>
    <hyperlink ref="Q54" r:id="rId11" xr:uid="{2E95F99E-734D-4C76-92AB-BB6F176ECC2F}"/>
    <hyperlink ref="Q100" r:id="rId12" xr:uid="{8E328797-2212-4653-8818-403B07F4C7E7}"/>
    <hyperlink ref="Q124" r:id="rId13" xr:uid="{C9A6B126-DDA8-453E-B080-E457A615240F}"/>
    <hyperlink ref="Q118" r:id="rId14" xr:uid="{586AA5B2-42E2-484A-8B74-344C94797228}"/>
    <hyperlink ref="Q49" r:id="rId15" xr:uid="{4F19ED2C-C6A4-4902-B9F6-A35679B73E9D}"/>
    <hyperlink ref="Q58" r:id="rId16" xr:uid="{442FD632-40EB-430C-826C-3AE86A4B3DAC}"/>
    <hyperlink ref="AB107" r:id="rId17" xr:uid="{195EDB41-08E6-4AFD-B121-E5FACB6C4643}"/>
    <hyperlink ref="AB86" r:id="rId18" xr:uid="{7AD210F4-AE18-426E-939B-FC88EECEC317}"/>
  </hyperlinks>
  <pageMargins left="0.7" right="0.7" top="0.75" bottom="0.75" header="0.3" footer="0.3"/>
  <tableParts count="1">
    <tablePart r:id="rId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4780-DA24-443E-8AC7-974CDFAF53A5}">
  <dimension ref="A1:E398"/>
  <sheetViews>
    <sheetView workbookViewId="0">
      <selection activeCell="D5" sqref="D5"/>
    </sheetView>
  </sheetViews>
  <sheetFormatPr baseColWidth="10" defaultRowHeight="14.4" x14ac:dyDescent="0.3"/>
  <cols>
    <col min="1" max="1" width="16.33203125" customWidth="1"/>
    <col min="2" max="2" width="21.33203125" customWidth="1"/>
    <col min="3" max="3" width="15.88671875" customWidth="1"/>
    <col min="4" max="4" width="30.77734375" customWidth="1"/>
    <col min="5" max="5" width="12.44140625" customWidth="1"/>
  </cols>
  <sheetData>
    <row r="1" spans="1:5" x14ac:dyDescent="0.3">
      <c r="A1" s="34" t="s">
        <v>0</v>
      </c>
      <c r="B1" s="35" t="s">
        <v>3</v>
      </c>
      <c r="C1" s="36" t="s">
        <v>1037</v>
      </c>
      <c r="D1" s="36" t="s">
        <v>1038</v>
      </c>
      <c r="E1" s="34" t="s">
        <v>1039</v>
      </c>
    </row>
    <row r="2" spans="1:5" ht="28.8" x14ac:dyDescent="0.3">
      <c r="A2" t="s">
        <v>32</v>
      </c>
      <c r="B2" s="37" t="s">
        <v>34</v>
      </c>
      <c r="C2" t="s">
        <v>1040</v>
      </c>
      <c r="D2" s="27" t="s">
        <v>1041</v>
      </c>
      <c r="E2" t="s">
        <v>1042</v>
      </c>
    </row>
    <row r="3" spans="1:5" ht="28.8" x14ac:dyDescent="0.3">
      <c r="A3" t="s">
        <v>32</v>
      </c>
      <c r="B3" s="37" t="s">
        <v>34</v>
      </c>
      <c r="C3" t="s">
        <v>1043</v>
      </c>
      <c r="D3" s="38" t="s">
        <v>1044</v>
      </c>
      <c r="E3" t="s">
        <v>1042</v>
      </c>
    </row>
    <row r="4" spans="1:5" ht="28.8" x14ac:dyDescent="0.3">
      <c r="A4" t="s">
        <v>32</v>
      </c>
      <c r="B4" s="37" t="s">
        <v>34</v>
      </c>
      <c r="C4" t="s">
        <v>1045</v>
      </c>
      <c r="D4" s="38" t="s">
        <v>1046</v>
      </c>
      <c r="E4" t="s">
        <v>1042</v>
      </c>
    </row>
    <row r="5" spans="1:5" ht="28.8" x14ac:dyDescent="0.3">
      <c r="A5" t="s">
        <v>32</v>
      </c>
      <c r="B5" s="37" t="s">
        <v>34</v>
      </c>
      <c r="C5" t="s">
        <v>1047</v>
      </c>
      <c r="D5" s="38" t="s">
        <v>1048</v>
      </c>
      <c r="E5" t="s">
        <v>1042</v>
      </c>
    </row>
    <row r="6" spans="1:5" ht="28.8" x14ac:dyDescent="0.3">
      <c r="A6" t="s">
        <v>32</v>
      </c>
      <c r="B6" s="37" t="s">
        <v>34</v>
      </c>
      <c r="C6" t="s">
        <v>1049</v>
      </c>
      <c r="D6" s="38" t="s">
        <v>1050</v>
      </c>
      <c r="E6" t="s">
        <v>1051</v>
      </c>
    </row>
    <row r="7" spans="1:5" ht="28.8" x14ac:dyDescent="0.3">
      <c r="A7" t="s">
        <v>32</v>
      </c>
      <c r="B7" s="37" t="s">
        <v>34</v>
      </c>
      <c r="C7" t="s">
        <v>1052</v>
      </c>
      <c r="D7" s="38" t="s">
        <v>1053</v>
      </c>
      <c r="E7" t="s">
        <v>1042</v>
      </c>
    </row>
    <row r="8" spans="1:5" ht="28.8" x14ac:dyDescent="0.3">
      <c r="A8" t="s">
        <v>51</v>
      </c>
      <c r="B8" s="37" t="s">
        <v>53</v>
      </c>
      <c r="C8" t="s">
        <v>1054</v>
      </c>
      <c r="D8" s="38" t="s">
        <v>1044</v>
      </c>
      <c r="E8" t="s">
        <v>1051</v>
      </c>
    </row>
    <row r="9" spans="1:5" ht="72" x14ac:dyDescent="0.3">
      <c r="A9" t="s">
        <v>61</v>
      </c>
      <c r="B9" s="37" t="s">
        <v>62</v>
      </c>
      <c r="C9" t="s">
        <v>1055</v>
      </c>
      <c r="D9" s="38" t="s">
        <v>1056</v>
      </c>
      <c r="E9" t="s">
        <v>1042</v>
      </c>
    </row>
    <row r="10" spans="1:5" ht="72" x14ac:dyDescent="0.3">
      <c r="A10" t="s">
        <v>61</v>
      </c>
      <c r="B10" s="37" t="s">
        <v>62</v>
      </c>
      <c r="C10" t="s">
        <v>1057</v>
      </c>
      <c r="D10" s="38" t="s">
        <v>1058</v>
      </c>
      <c r="E10" t="s">
        <v>1042</v>
      </c>
    </row>
    <row r="11" spans="1:5" ht="72" x14ac:dyDescent="0.3">
      <c r="A11" t="s">
        <v>61</v>
      </c>
      <c r="B11" s="37" t="s">
        <v>62</v>
      </c>
      <c r="C11" t="s">
        <v>1059</v>
      </c>
      <c r="D11" s="38" t="s">
        <v>1060</v>
      </c>
      <c r="E11" t="s">
        <v>1061</v>
      </c>
    </row>
    <row r="12" spans="1:5" ht="57.6" x14ac:dyDescent="0.3">
      <c r="A12" t="s">
        <v>72</v>
      </c>
      <c r="B12" s="37" t="s">
        <v>73</v>
      </c>
      <c r="C12" t="s">
        <v>1062</v>
      </c>
      <c r="D12" s="38" t="s">
        <v>1063</v>
      </c>
      <c r="E12" t="s">
        <v>1051</v>
      </c>
    </row>
    <row r="13" spans="1:5" ht="57.6" x14ac:dyDescent="0.3">
      <c r="A13" t="s">
        <v>72</v>
      </c>
      <c r="B13" s="37" t="s">
        <v>73</v>
      </c>
      <c r="C13" t="s">
        <v>1064</v>
      </c>
      <c r="D13" s="38" t="s">
        <v>1065</v>
      </c>
      <c r="E13" t="s">
        <v>1042</v>
      </c>
    </row>
    <row r="14" spans="1:5" ht="28.8" x14ac:dyDescent="0.3">
      <c r="A14" t="s">
        <v>80</v>
      </c>
      <c r="B14" s="37" t="s">
        <v>81</v>
      </c>
      <c r="C14" t="s">
        <v>1066</v>
      </c>
      <c r="D14" s="38" t="s">
        <v>1067</v>
      </c>
      <c r="E14" t="s">
        <v>1042</v>
      </c>
    </row>
    <row r="15" spans="1:5" ht="28.8" x14ac:dyDescent="0.3">
      <c r="A15" t="s">
        <v>80</v>
      </c>
      <c r="B15" s="37" t="s">
        <v>81</v>
      </c>
      <c r="C15" t="s">
        <v>1068</v>
      </c>
      <c r="D15" s="38" t="s">
        <v>1069</v>
      </c>
      <c r="E15" t="s">
        <v>1042</v>
      </c>
    </row>
    <row r="16" spans="1:5" ht="28.8" x14ac:dyDescent="0.3">
      <c r="A16" t="s">
        <v>80</v>
      </c>
      <c r="B16" s="37" t="s">
        <v>81</v>
      </c>
      <c r="C16" t="s">
        <v>1070</v>
      </c>
      <c r="D16" s="38" t="s">
        <v>1071</v>
      </c>
      <c r="E16" t="s">
        <v>1042</v>
      </c>
    </row>
    <row r="17" spans="1:5" ht="28.8" x14ac:dyDescent="0.3">
      <c r="A17" t="s">
        <v>80</v>
      </c>
      <c r="B17" s="37" t="s">
        <v>81</v>
      </c>
      <c r="C17" t="s">
        <v>1072</v>
      </c>
      <c r="D17" s="38" t="s">
        <v>1073</v>
      </c>
      <c r="E17" t="s">
        <v>1061</v>
      </c>
    </row>
    <row r="18" spans="1:5" ht="43.2" x14ac:dyDescent="0.3">
      <c r="A18" t="s">
        <v>89</v>
      </c>
      <c r="B18" s="37" t="s">
        <v>90</v>
      </c>
      <c r="C18" t="s">
        <v>1074</v>
      </c>
      <c r="D18" s="38" t="s">
        <v>1075</v>
      </c>
      <c r="E18" t="s">
        <v>1051</v>
      </c>
    </row>
    <row r="19" spans="1:5" ht="43.2" x14ac:dyDescent="0.3">
      <c r="A19" t="s">
        <v>89</v>
      </c>
      <c r="B19" s="37" t="s">
        <v>90</v>
      </c>
      <c r="C19" t="s">
        <v>1076</v>
      </c>
      <c r="D19" s="38" t="s">
        <v>1069</v>
      </c>
      <c r="E19" t="s">
        <v>1042</v>
      </c>
    </row>
    <row r="20" spans="1:5" ht="43.2" x14ac:dyDescent="0.3">
      <c r="A20" t="s">
        <v>89</v>
      </c>
      <c r="B20" s="37" t="s">
        <v>90</v>
      </c>
      <c r="C20" t="s">
        <v>1077</v>
      </c>
      <c r="D20" s="38" t="s">
        <v>1078</v>
      </c>
      <c r="E20" t="s">
        <v>1042</v>
      </c>
    </row>
    <row r="21" spans="1:5" ht="43.2" x14ac:dyDescent="0.3">
      <c r="A21" t="s">
        <v>89</v>
      </c>
      <c r="B21" s="37" t="s">
        <v>90</v>
      </c>
      <c r="C21" t="s">
        <v>1079</v>
      </c>
      <c r="D21" s="38" t="s">
        <v>1080</v>
      </c>
      <c r="E21" t="s">
        <v>1042</v>
      </c>
    </row>
    <row r="22" spans="1:5" ht="43.2" x14ac:dyDescent="0.3">
      <c r="A22" t="s">
        <v>89</v>
      </c>
      <c r="B22" s="37" t="s">
        <v>90</v>
      </c>
      <c r="C22" t="s">
        <v>1081</v>
      </c>
      <c r="D22" s="38" t="s">
        <v>1082</v>
      </c>
      <c r="E22" t="s">
        <v>1042</v>
      </c>
    </row>
    <row r="23" spans="1:5" ht="43.2" x14ac:dyDescent="0.3">
      <c r="A23" t="s">
        <v>89</v>
      </c>
      <c r="B23" s="37" t="s">
        <v>90</v>
      </c>
      <c r="C23" t="s">
        <v>1083</v>
      </c>
      <c r="D23" s="38" t="s">
        <v>1067</v>
      </c>
      <c r="E23" t="s">
        <v>1042</v>
      </c>
    </row>
    <row r="24" spans="1:5" ht="43.2" x14ac:dyDescent="0.3">
      <c r="A24" t="s">
        <v>98</v>
      </c>
      <c r="B24" s="37" t="s">
        <v>100</v>
      </c>
      <c r="C24" t="s">
        <v>1084</v>
      </c>
      <c r="D24" s="38" t="s">
        <v>1085</v>
      </c>
      <c r="E24" t="s">
        <v>1042</v>
      </c>
    </row>
    <row r="25" spans="1:5" ht="43.2" x14ac:dyDescent="0.3">
      <c r="A25" t="s">
        <v>98</v>
      </c>
      <c r="B25" s="37" t="s">
        <v>100</v>
      </c>
      <c r="C25" t="s">
        <v>1086</v>
      </c>
      <c r="D25" s="38" t="s">
        <v>1087</v>
      </c>
      <c r="E25" t="s">
        <v>1051</v>
      </c>
    </row>
    <row r="26" spans="1:5" ht="43.2" x14ac:dyDescent="0.3">
      <c r="A26" t="s">
        <v>98</v>
      </c>
      <c r="B26" s="37" t="s">
        <v>100</v>
      </c>
      <c r="C26" t="s">
        <v>1088</v>
      </c>
      <c r="D26" s="38" t="s">
        <v>1089</v>
      </c>
      <c r="E26" t="s">
        <v>1042</v>
      </c>
    </row>
    <row r="27" spans="1:5" ht="43.2" x14ac:dyDescent="0.3">
      <c r="A27" t="s">
        <v>98</v>
      </c>
      <c r="B27" s="37" t="s">
        <v>100</v>
      </c>
      <c r="C27" t="s">
        <v>1090</v>
      </c>
      <c r="D27" s="38" t="s">
        <v>1091</v>
      </c>
      <c r="E27" t="s">
        <v>1042</v>
      </c>
    </row>
    <row r="28" spans="1:5" ht="43.2" x14ac:dyDescent="0.3">
      <c r="A28" t="s">
        <v>107</v>
      </c>
      <c r="B28" s="37" t="s">
        <v>109</v>
      </c>
      <c r="C28" t="s">
        <v>1092</v>
      </c>
      <c r="D28" s="38" t="s">
        <v>1093</v>
      </c>
      <c r="E28" t="s">
        <v>1051</v>
      </c>
    </row>
    <row r="29" spans="1:5" ht="43.2" x14ac:dyDescent="0.3">
      <c r="A29" t="s">
        <v>118</v>
      </c>
      <c r="B29" s="37" t="s">
        <v>119</v>
      </c>
      <c r="C29" t="s">
        <v>1094</v>
      </c>
      <c r="D29" s="38" t="s">
        <v>1095</v>
      </c>
      <c r="E29" t="s">
        <v>1042</v>
      </c>
    </row>
    <row r="30" spans="1:5" ht="43.2" x14ac:dyDescent="0.3">
      <c r="A30" t="s">
        <v>118</v>
      </c>
      <c r="B30" s="37" t="s">
        <v>119</v>
      </c>
      <c r="C30" t="s">
        <v>1096</v>
      </c>
      <c r="D30" s="38" t="s">
        <v>1097</v>
      </c>
      <c r="E30" t="s">
        <v>1042</v>
      </c>
    </row>
    <row r="31" spans="1:5" ht="43.2" x14ac:dyDescent="0.3">
      <c r="A31" t="s">
        <v>118</v>
      </c>
      <c r="B31" s="37" t="s">
        <v>119</v>
      </c>
      <c r="C31" t="s">
        <v>1098</v>
      </c>
      <c r="D31" s="38" t="s">
        <v>1099</v>
      </c>
      <c r="E31" t="s">
        <v>1061</v>
      </c>
    </row>
    <row r="32" spans="1:5" ht="43.2" x14ac:dyDescent="0.3">
      <c r="A32" s="27" t="s">
        <v>128</v>
      </c>
      <c r="B32" s="37" t="s">
        <v>130</v>
      </c>
      <c r="C32" t="s">
        <v>1100</v>
      </c>
      <c r="D32" s="38" t="s">
        <v>1101</v>
      </c>
      <c r="E32" t="s">
        <v>1051</v>
      </c>
    </row>
    <row r="33" spans="1:5" ht="43.2" x14ac:dyDescent="0.3">
      <c r="A33" t="s">
        <v>138</v>
      </c>
      <c r="B33" s="37" t="s">
        <v>139</v>
      </c>
      <c r="C33" t="s">
        <v>1102</v>
      </c>
      <c r="D33" s="38" t="s">
        <v>1103</v>
      </c>
      <c r="E33" t="s">
        <v>1051</v>
      </c>
    </row>
    <row r="34" spans="1:5" ht="43.2" x14ac:dyDescent="0.3">
      <c r="A34" t="s">
        <v>138</v>
      </c>
      <c r="B34" s="37" t="s">
        <v>139</v>
      </c>
      <c r="C34" t="s">
        <v>1104</v>
      </c>
      <c r="D34" s="38" t="s">
        <v>1097</v>
      </c>
      <c r="E34" t="s">
        <v>1042</v>
      </c>
    </row>
    <row r="35" spans="1:5" ht="43.2" x14ac:dyDescent="0.3">
      <c r="A35" t="s">
        <v>138</v>
      </c>
      <c r="B35" s="37" t="s">
        <v>139</v>
      </c>
      <c r="C35" t="s">
        <v>1105</v>
      </c>
      <c r="D35" s="38" t="s">
        <v>1106</v>
      </c>
      <c r="E35" t="s">
        <v>1042</v>
      </c>
    </row>
    <row r="36" spans="1:5" ht="43.2" x14ac:dyDescent="0.3">
      <c r="A36" t="s">
        <v>138</v>
      </c>
      <c r="B36" s="37" t="s">
        <v>139</v>
      </c>
      <c r="C36" t="s">
        <v>1107</v>
      </c>
      <c r="D36" s="38" t="s">
        <v>1108</v>
      </c>
      <c r="E36" t="s">
        <v>1042</v>
      </c>
    </row>
    <row r="37" spans="1:5" ht="57.6" x14ac:dyDescent="0.3">
      <c r="A37" t="s">
        <v>147</v>
      </c>
      <c r="B37" s="37" t="s">
        <v>149</v>
      </c>
      <c r="C37" t="s">
        <v>1109</v>
      </c>
      <c r="D37" s="38" t="s">
        <v>1110</v>
      </c>
      <c r="E37" t="s">
        <v>1042</v>
      </c>
    </row>
    <row r="38" spans="1:5" ht="57.6" x14ac:dyDescent="0.3">
      <c r="A38" t="s">
        <v>147</v>
      </c>
      <c r="B38" s="37" t="s">
        <v>149</v>
      </c>
      <c r="C38" t="s">
        <v>1111</v>
      </c>
      <c r="D38" s="38" t="s">
        <v>1112</v>
      </c>
      <c r="E38" t="s">
        <v>1042</v>
      </c>
    </row>
    <row r="39" spans="1:5" ht="57.6" x14ac:dyDescent="0.3">
      <c r="A39" t="s">
        <v>147</v>
      </c>
      <c r="B39" s="37" t="s">
        <v>149</v>
      </c>
      <c r="C39" t="s">
        <v>1113</v>
      </c>
      <c r="D39" s="38" t="s">
        <v>1114</v>
      </c>
      <c r="E39" t="s">
        <v>1051</v>
      </c>
    </row>
    <row r="40" spans="1:5" ht="57.6" x14ac:dyDescent="0.3">
      <c r="A40" t="s">
        <v>147</v>
      </c>
      <c r="B40" s="37" t="s">
        <v>149</v>
      </c>
      <c r="C40" t="s">
        <v>1115</v>
      </c>
      <c r="D40" s="38" t="s">
        <v>1116</v>
      </c>
      <c r="E40" t="s">
        <v>1042</v>
      </c>
    </row>
    <row r="41" spans="1:5" ht="43.2" x14ac:dyDescent="0.3">
      <c r="A41" t="s">
        <v>156</v>
      </c>
      <c r="B41" s="37" t="s">
        <v>157</v>
      </c>
      <c r="C41" t="s">
        <v>1117</v>
      </c>
      <c r="D41" s="38" t="s">
        <v>1118</v>
      </c>
      <c r="E41" t="s">
        <v>1042</v>
      </c>
    </row>
    <row r="42" spans="1:5" ht="43.2" x14ac:dyDescent="0.3">
      <c r="A42" t="s">
        <v>156</v>
      </c>
      <c r="B42" s="37" t="s">
        <v>157</v>
      </c>
      <c r="C42" t="s">
        <v>1119</v>
      </c>
      <c r="D42" s="38" t="s">
        <v>1120</v>
      </c>
      <c r="E42" t="s">
        <v>1042</v>
      </c>
    </row>
    <row r="43" spans="1:5" ht="43.2" x14ac:dyDescent="0.3">
      <c r="A43" t="s">
        <v>156</v>
      </c>
      <c r="B43" s="37" t="s">
        <v>157</v>
      </c>
      <c r="C43" t="s">
        <v>1121</v>
      </c>
      <c r="D43" s="38" t="s">
        <v>1106</v>
      </c>
      <c r="E43" t="s">
        <v>1042</v>
      </c>
    </row>
    <row r="44" spans="1:5" ht="57.6" x14ac:dyDescent="0.3">
      <c r="A44" t="s">
        <v>164</v>
      </c>
      <c r="B44" s="37" t="s">
        <v>165</v>
      </c>
      <c r="C44" t="s">
        <v>1122</v>
      </c>
      <c r="D44" s="38" t="s">
        <v>1123</v>
      </c>
      <c r="E44" t="s">
        <v>1042</v>
      </c>
    </row>
    <row r="45" spans="1:5" ht="57.6" x14ac:dyDescent="0.3">
      <c r="A45" t="s">
        <v>164</v>
      </c>
      <c r="B45" s="37" t="s">
        <v>165</v>
      </c>
      <c r="C45" t="s">
        <v>1124</v>
      </c>
      <c r="D45" s="38" t="s">
        <v>1106</v>
      </c>
      <c r="E45" t="s">
        <v>1042</v>
      </c>
    </row>
    <row r="46" spans="1:5" ht="57.6" x14ac:dyDescent="0.3">
      <c r="A46" t="s">
        <v>164</v>
      </c>
      <c r="B46" s="37" t="s">
        <v>165</v>
      </c>
      <c r="C46" t="s">
        <v>1125</v>
      </c>
      <c r="D46" s="38" t="s">
        <v>1126</v>
      </c>
      <c r="E46" t="s">
        <v>1051</v>
      </c>
    </row>
    <row r="47" spans="1:5" ht="57.6" x14ac:dyDescent="0.3">
      <c r="A47" t="s">
        <v>172</v>
      </c>
      <c r="B47" s="37" t="s">
        <v>173</v>
      </c>
      <c r="C47" t="s">
        <v>1127</v>
      </c>
      <c r="D47" s="38" t="s">
        <v>1128</v>
      </c>
      <c r="E47" t="s">
        <v>1042</v>
      </c>
    </row>
    <row r="48" spans="1:5" ht="57.6" x14ac:dyDescent="0.3">
      <c r="A48" t="s">
        <v>172</v>
      </c>
      <c r="B48" s="37" t="s">
        <v>173</v>
      </c>
      <c r="C48" t="s">
        <v>1129</v>
      </c>
      <c r="D48" s="38" t="s">
        <v>1123</v>
      </c>
      <c r="E48" t="s">
        <v>1061</v>
      </c>
    </row>
    <row r="49" spans="1:5" ht="72" x14ac:dyDescent="0.3">
      <c r="A49" t="s">
        <v>180</v>
      </c>
      <c r="B49" s="37" t="s">
        <v>181</v>
      </c>
      <c r="C49" t="s">
        <v>1130</v>
      </c>
      <c r="D49" s="38" t="s">
        <v>1131</v>
      </c>
      <c r="E49" t="s">
        <v>1051</v>
      </c>
    </row>
    <row r="50" spans="1:5" ht="57.6" x14ac:dyDescent="0.3">
      <c r="A50" t="s">
        <v>180</v>
      </c>
      <c r="B50" s="37" t="s">
        <v>181</v>
      </c>
      <c r="C50" t="s">
        <v>1132</v>
      </c>
      <c r="D50" s="38" t="s">
        <v>1133</v>
      </c>
      <c r="E50" t="s">
        <v>1042</v>
      </c>
    </row>
    <row r="51" spans="1:5" ht="57.6" x14ac:dyDescent="0.3">
      <c r="A51" t="s">
        <v>180</v>
      </c>
      <c r="B51" s="37" t="s">
        <v>181</v>
      </c>
      <c r="C51" t="s">
        <v>1134</v>
      </c>
      <c r="D51" s="38" t="s">
        <v>1135</v>
      </c>
      <c r="E51" t="s">
        <v>1042</v>
      </c>
    </row>
    <row r="52" spans="1:5" ht="57.6" x14ac:dyDescent="0.3">
      <c r="A52" s="27" t="s">
        <v>180</v>
      </c>
      <c r="B52" s="37" t="s">
        <v>181</v>
      </c>
      <c r="C52" t="s">
        <v>1136</v>
      </c>
      <c r="D52" s="38" t="s">
        <v>1137</v>
      </c>
      <c r="E52" t="s">
        <v>1042</v>
      </c>
    </row>
    <row r="53" spans="1:5" ht="57.6" x14ac:dyDescent="0.3">
      <c r="A53" t="s">
        <v>187</v>
      </c>
      <c r="B53" s="37" t="s">
        <v>188</v>
      </c>
      <c r="C53" t="s">
        <v>1138</v>
      </c>
      <c r="D53" s="38" t="s">
        <v>1139</v>
      </c>
      <c r="E53" t="s">
        <v>1042</v>
      </c>
    </row>
    <row r="54" spans="1:5" ht="57.6" x14ac:dyDescent="0.3">
      <c r="A54" t="s">
        <v>187</v>
      </c>
      <c r="B54" s="37" t="s">
        <v>188</v>
      </c>
      <c r="C54" t="s">
        <v>1140</v>
      </c>
      <c r="D54" s="38" t="s">
        <v>1141</v>
      </c>
      <c r="E54" t="s">
        <v>1042</v>
      </c>
    </row>
    <row r="55" spans="1:5" ht="57.6" x14ac:dyDescent="0.3">
      <c r="A55" t="s">
        <v>187</v>
      </c>
      <c r="B55" s="37" t="s">
        <v>188</v>
      </c>
      <c r="C55" t="s">
        <v>1142</v>
      </c>
      <c r="D55" s="38" t="s">
        <v>1135</v>
      </c>
      <c r="E55" t="s">
        <v>1042</v>
      </c>
    </row>
    <row r="56" spans="1:5" ht="86.4" x14ac:dyDescent="0.3">
      <c r="A56" t="s">
        <v>187</v>
      </c>
      <c r="B56" s="37" t="s">
        <v>188</v>
      </c>
      <c r="C56" t="s">
        <v>1143</v>
      </c>
      <c r="D56" s="38" t="s">
        <v>1144</v>
      </c>
      <c r="E56" t="s">
        <v>1061</v>
      </c>
    </row>
    <row r="57" spans="1:5" ht="57.6" x14ac:dyDescent="0.3">
      <c r="A57" t="s">
        <v>195</v>
      </c>
      <c r="B57" s="37" t="s">
        <v>196</v>
      </c>
      <c r="C57" t="s">
        <v>1145</v>
      </c>
      <c r="D57" s="38" t="s">
        <v>1123</v>
      </c>
      <c r="E57" t="s">
        <v>1061</v>
      </c>
    </row>
    <row r="58" spans="1:5" ht="57.6" x14ac:dyDescent="0.3">
      <c r="A58" t="s">
        <v>195</v>
      </c>
      <c r="B58" s="37" t="s">
        <v>196</v>
      </c>
      <c r="C58" t="s">
        <v>1146</v>
      </c>
      <c r="D58" s="38" t="s">
        <v>1126</v>
      </c>
      <c r="E58" t="s">
        <v>1042</v>
      </c>
    </row>
    <row r="59" spans="1:5" ht="57.6" x14ac:dyDescent="0.3">
      <c r="A59" t="s">
        <v>195</v>
      </c>
      <c r="B59" s="37" t="s">
        <v>196</v>
      </c>
      <c r="C59" t="s">
        <v>1147</v>
      </c>
      <c r="D59" s="38" t="s">
        <v>1106</v>
      </c>
      <c r="E59" t="s">
        <v>1042</v>
      </c>
    </row>
    <row r="60" spans="1:5" ht="57.6" x14ac:dyDescent="0.3">
      <c r="A60" t="s">
        <v>195</v>
      </c>
      <c r="B60" s="37" t="s">
        <v>196</v>
      </c>
      <c r="C60" t="s">
        <v>1148</v>
      </c>
      <c r="D60" s="38" t="s">
        <v>1097</v>
      </c>
      <c r="E60" t="s">
        <v>1042</v>
      </c>
    </row>
    <row r="61" spans="1:5" ht="57.6" x14ac:dyDescent="0.3">
      <c r="A61" t="s">
        <v>195</v>
      </c>
      <c r="B61" s="37" t="s">
        <v>196</v>
      </c>
      <c r="C61" t="s">
        <v>1149</v>
      </c>
      <c r="D61" s="38" t="s">
        <v>1150</v>
      </c>
      <c r="E61" t="s">
        <v>1042</v>
      </c>
    </row>
    <row r="62" spans="1:5" ht="57.6" x14ac:dyDescent="0.3">
      <c r="A62" t="s">
        <v>204</v>
      </c>
      <c r="B62" s="37" t="s">
        <v>206</v>
      </c>
      <c r="C62" t="s">
        <v>1151</v>
      </c>
      <c r="D62" s="38" t="s">
        <v>1152</v>
      </c>
      <c r="E62" t="s">
        <v>1042</v>
      </c>
    </row>
    <row r="63" spans="1:5" ht="57.6" x14ac:dyDescent="0.3">
      <c r="A63" t="s">
        <v>204</v>
      </c>
      <c r="B63" s="37" t="s">
        <v>206</v>
      </c>
      <c r="C63" t="s">
        <v>1153</v>
      </c>
      <c r="D63" s="38" t="s">
        <v>1154</v>
      </c>
      <c r="E63" t="s">
        <v>1042</v>
      </c>
    </row>
    <row r="64" spans="1:5" ht="57.6" x14ac:dyDescent="0.3">
      <c r="A64" t="s">
        <v>204</v>
      </c>
      <c r="B64" s="37" t="s">
        <v>206</v>
      </c>
      <c r="C64" t="s">
        <v>1155</v>
      </c>
      <c r="D64" s="38" t="s">
        <v>1156</v>
      </c>
      <c r="E64" t="s">
        <v>1051</v>
      </c>
    </row>
    <row r="65" spans="1:5" ht="57.6" x14ac:dyDescent="0.3">
      <c r="A65" t="s">
        <v>204</v>
      </c>
      <c r="B65" s="37" t="s">
        <v>206</v>
      </c>
      <c r="C65" t="s">
        <v>1157</v>
      </c>
      <c r="D65" s="38" t="s">
        <v>1158</v>
      </c>
      <c r="E65" t="s">
        <v>1042</v>
      </c>
    </row>
    <row r="66" spans="1:5" ht="57.6" x14ac:dyDescent="0.3">
      <c r="A66" t="s">
        <v>204</v>
      </c>
      <c r="B66" s="37" t="s">
        <v>206</v>
      </c>
      <c r="C66" t="s">
        <v>1159</v>
      </c>
      <c r="D66" s="38" t="s">
        <v>1160</v>
      </c>
      <c r="E66" t="s">
        <v>1042</v>
      </c>
    </row>
    <row r="67" spans="1:5" ht="57.6" x14ac:dyDescent="0.3">
      <c r="A67" t="s">
        <v>204</v>
      </c>
      <c r="B67" s="37" t="s">
        <v>206</v>
      </c>
      <c r="C67" t="s">
        <v>1161</v>
      </c>
      <c r="D67" s="38" t="s">
        <v>1162</v>
      </c>
      <c r="E67" t="s">
        <v>1042</v>
      </c>
    </row>
    <row r="68" spans="1:5" ht="57.6" x14ac:dyDescent="0.3">
      <c r="A68" t="s">
        <v>204</v>
      </c>
      <c r="B68" s="37" t="s">
        <v>206</v>
      </c>
      <c r="C68" t="s">
        <v>1163</v>
      </c>
      <c r="D68" s="38" t="s">
        <v>1164</v>
      </c>
      <c r="E68" t="s">
        <v>1042</v>
      </c>
    </row>
    <row r="69" spans="1:5" ht="43.2" x14ac:dyDescent="0.3">
      <c r="A69" t="s">
        <v>213</v>
      </c>
      <c r="B69" s="37" t="s">
        <v>214</v>
      </c>
      <c r="C69" t="s">
        <v>1165</v>
      </c>
      <c r="D69" s="38" t="s">
        <v>1166</v>
      </c>
      <c r="E69" t="s">
        <v>1042</v>
      </c>
    </row>
    <row r="70" spans="1:5" ht="43.2" x14ac:dyDescent="0.3">
      <c r="A70" t="s">
        <v>213</v>
      </c>
      <c r="B70" s="37" t="s">
        <v>214</v>
      </c>
      <c r="C70" t="s">
        <v>1167</v>
      </c>
      <c r="D70" s="38" t="s">
        <v>1168</v>
      </c>
      <c r="E70" t="s">
        <v>1051</v>
      </c>
    </row>
    <row r="71" spans="1:5" ht="43.2" x14ac:dyDescent="0.3">
      <c r="A71" t="s">
        <v>213</v>
      </c>
      <c r="B71" s="37" t="s">
        <v>214</v>
      </c>
      <c r="C71" t="s">
        <v>1169</v>
      </c>
      <c r="D71" s="38" t="s">
        <v>1106</v>
      </c>
      <c r="E71" t="s">
        <v>1042</v>
      </c>
    </row>
    <row r="72" spans="1:5" ht="43.2" x14ac:dyDescent="0.3">
      <c r="A72" t="s">
        <v>213</v>
      </c>
      <c r="B72" s="37" t="s">
        <v>214</v>
      </c>
      <c r="C72" t="s">
        <v>1170</v>
      </c>
      <c r="D72" s="38" t="s">
        <v>1123</v>
      </c>
      <c r="E72" t="s">
        <v>1042</v>
      </c>
    </row>
    <row r="73" spans="1:5" ht="57.6" x14ac:dyDescent="0.3">
      <c r="A73" t="s">
        <v>221</v>
      </c>
      <c r="B73" s="37" t="s">
        <v>222</v>
      </c>
      <c r="C73" t="s">
        <v>1171</v>
      </c>
      <c r="D73" s="38" t="s">
        <v>1172</v>
      </c>
      <c r="E73" t="s">
        <v>1061</v>
      </c>
    </row>
    <row r="74" spans="1:5" ht="57.6" x14ac:dyDescent="0.3">
      <c r="A74" t="s">
        <v>221</v>
      </c>
      <c r="B74" s="37" t="s">
        <v>222</v>
      </c>
      <c r="C74" t="s">
        <v>1173</v>
      </c>
      <c r="D74" s="38" t="s">
        <v>1110</v>
      </c>
      <c r="E74" t="s">
        <v>1042</v>
      </c>
    </row>
    <row r="75" spans="1:5" ht="57.6" x14ac:dyDescent="0.3">
      <c r="A75" t="s">
        <v>221</v>
      </c>
      <c r="B75" s="37" t="s">
        <v>222</v>
      </c>
      <c r="C75" t="s">
        <v>1174</v>
      </c>
      <c r="D75" s="38" t="s">
        <v>1175</v>
      </c>
      <c r="E75" t="s">
        <v>1042</v>
      </c>
    </row>
    <row r="76" spans="1:5" ht="57.6" x14ac:dyDescent="0.3">
      <c r="A76" t="s">
        <v>221</v>
      </c>
      <c r="B76" s="37" t="s">
        <v>222</v>
      </c>
      <c r="C76" t="s">
        <v>1176</v>
      </c>
      <c r="D76" s="38" t="s">
        <v>1177</v>
      </c>
      <c r="E76" t="s">
        <v>1042</v>
      </c>
    </row>
    <row r="77" spans="1:5" ht="57.6" x14ac:dyDescent="0.3">
      <c r="A77" t="s">
        <v>230</v>
      </c>
      <c r="B77" s="37" t="s">
        <v>231</v>
      </c>
      <c r="C77" t="s">
        <v>1178</v>
      </c>
      <c r="D77" s="38" t="s">
        <v>1179</v>
      </c>
      <c r="E77" t="s">
        <v>1042</v>
      </c>
    </row>
    <row r="78" spans="1:5" ht="100.8" x14ac:dyDescent="0.3">
      <c r="A78" t="s">
        <v>230</v>
      </c>
      <c r="B78" s="37" t="s">
        <v>231</v>
      </c>
      <c r="C78" t="s">
        <v>1180</v>
      </c>
      <c r="D78" s="38" t="s">
        <v>1181</v>
      </c>
      <c r="E78" t="s">
        <v>1042</v>
      </c>
    </row>
    <row r="79" spans="1:5" ht="57.6" x14ac:dyDescent="0.3">
      <c r="A79" t="s">
        <v>230</v>
      </c>
      <c r="B79" s="37" t="s">
        <v>231</v>
      </c>
      <c r="C79" t="s">
        <v>1182</v>
      </c>
      <c r="D79" s="38" t="s">
        <v>1183</v>
      </c>
      <c r="E79" t="s">
        <v>1042</v>
      </c>
    </row>
    <row r="80" spans="1:5" ht="57.6" x14ac:dyDescent="0.3">
      <c r="A80" t="s">
        <v>230</v>
      </c>
      <c r="B80" s="37" t="s">
        <v>231</v>
      </c>
      <c r="C80" t="s">
        <v>1184</v>
      </c>
      <c r="D80" s="38" t="s">
        <v>1185</v>
      </c>
      <c r="E80" t="s">
        <v>1061</v>
      </c>
    </row>
    <row r="81" spans="1:5" ht="57.6" x14ac:dyDescent="0.3">
      <c r="A81" t="s">
        <v>230</v>
      </c>
      <c r="B81" s="37" t="s">
        <v>231</v>
      </c>
      <c r="C81" t="s">
        <v>1186</v>
      </c>
      <c r="D81" s="38" t="s">
        <v>1187</v>
      </c>
      <c r="E81" t="s">
        <v>1042</v>
      </c>
    </row>
    <row r="82" spans="1:5" ht="57.6" x14ac:dyDescent="0.3">
      <c r="A82" t="s">
        <v>230</v>
      </c>
      <c r="B82" s="37" t="s">
        <v>231</v>
      </c>
      <c r="C82" t="s">
        <v>1188</v>
      </c>
      <c r="D82" s="38" t="s">
        <v>1189</v>
      </c>
      <c r="E82" t="s">
        <v>1042</v>
      </c>
    </row>
    <row r="83" spans="1:5" ht="57.6" x14ac:dyDescent="0.3">
      <c r="A83" t="s">
        <v>230</v>
      </c>
      <c r="B83" s="37" t="s">
        <v>231</v>
      </c>
      <c r="C83" t="s">
        <v>1190</v>
      </c>
      <c r="D83" s="38" t="s">
        <v>1191</v>
      </c>
      <c r="E83" t="s">
        <v>1042</v>
      </c>
    </row>
    <row r="84" spans="1:5" ht="100.8" x14ac:dyDescent="0.3">
      <c r="A84" t="s">
        <v>237</v>
      </c>
      <c r="B84" s="37" t="s">
        <v>238</v>
      </c>
      <c r="C84" t="s">
        <v>1192</v>
      </c>
      <c r="D84" s="38" t="s">
        <v>1193</v>
      </c>
      <c r="E84" t="s">
        <v>1042</v>
      </c>
    </row>
    <row r="85" spans="1:5" ht="57.6" x14ac:dyDescent="0.3">
      <c r="A85" t="s">
        <v>237</v>
      </c>
      <c r="B85" s="37" t="s">
        <v>238</v>
      </c>
      <c r="C85" t="s">
        <v>1194</v>
      </c>
      <c r="D85" s="38" t="s">
        <v>1195</v>
      </c>
      <c r="E85" t="s">
        <v>1061</v>
      </c>
    </row>
    <row r="86" spans="1:5" ht="72" x14ac:dyDescent="0.3">
      <c r="A86" t="s">
        <v>237</v>
      </c>
      <c r="B86" s="37" t="s">
        <v>238</v>
      </c>
      <c r="C86" t="s">
        <v>1196</v>
      </c>
      <c r="D86" s="38" t="s">
        <v>1197</v>
      </c>
      <c r="E86" t="s">
        <v>1042</v>
      </c>
    </row>
    <row r="87" spans="1:5" ht="57.6" x14ac:dyDescent="0.3">
      <c r="A87" t="s">
        <v>237</v>
      </c>
      <c r="B87" s="37" t="s">
        <v>238</v>
      </c>
      <c r="C87" t="s">
        <v>1198</v>
      </c>
      <c r="D87" s="38" t="s">
        <v>1199</v>
      </c>
      <c r="E87" t="s">
        <v>1042</v>
      </c>
    </row>
    <row r="88" spans="1:5" ht="57.6" x14ac:dyDescent="0.3">
      <c r="A88" t="s">
        <v>237</v>
      </c>
      <c r="B88" s="37" t="s">
        <v>238</v>
      </c>
      <c r="C88" t="s">
        <v>1200</v>
      </c>
      <c r="D88" s="38" t="s">
        <v>1201</v>
      </c>
      <c r="E88" t="s">
        <v>1042</v>
      </c>
    </row>
    <row r="89" spans="1:5" ht="43.2" x14ac:dyDescent="0.3">
      <c r="A89" t="s">
        <v>244</v>
      </c>
      <c r="B89" s="37" t="s">
        <v>245</v>
      </c>
      <c r="C89" t="s">
        <v>1202</v>
      </c>
      <c r="D89" s="38" t="s">
        <v>1203</v>
      </c>
      <c r="E89" t="s">
        <v>1042</v>
      </c>
    </row>
    <row r="90" spans="1:5" ht="43.2" x14ac:dyDescent="0.3">
      <c r="A90" t="s">
        <v>244</v>
      </c>
      <c r="B90" s="37" t="s">
        <v>245</v>
      </c>
      <c r="C90" t="s">
        <v>1204</v>
      </c>
      <c r="D90" s="38" t="s">
        <v>1205</v>
      </c>
      <c r="E90" t="s">
        <v>1042</v>
      </c>
    </row>
    <row r="91" spans="1:5" ht="43.2" x14ac:dyDescent="0.3">
      <c r="A91" t="s">
        <v>244</v>
      </c>
      <c r="B91" s="37" t="s">
        <v>245</v>
      </c>
      <c r="C91" t="s">
        <v>1206</v>
      </c>
      <c r="D91" s="38" t="s">
        <v>1207</v>
      </c>
      <c r="E91" t="s">
        <v>1042</v>
      </c>
    </row>
    <row r="92" spans="1:5" ht="43.2" x14ac:dyDescent="0.3">
      <c r="A92" t="s">
        <v>244</v>
      </c>
      <c r="B92" s="37" t="s">
        <v>245</v>
      </c>
      <c r="C92" t="s">
        <v>1208</v>
      </c>
      <c r="D92" s="38" t="s">
        <v>1209</v>
      </c>
      <c r="E92" t="s">
        <v>1042</v>
      </c>
    </row>
    <row r="93" spans="1:5" ht="72" x14ac:dyDescent="0.3">
      <c r="A93" t="s">
        <v>252</v>
      </c>
      <c r="B93" s="37" t="s">
        <v>253</v>
      </c>
      <c r="C93" t="s">
        <v>1210</v>
      </c>
      <c r="D93" s="38" t="s">
        <v>1211</v>
      </c>
      <c r="E93" t="s">
        <v>1061</v>
      </c>
    </row>
    <row r="94" spans="1:5" ht="72" x14ac:dyDescent="0.3">
      <c r="A94" t="s">
        <v>252</v>
      </c>
      <c r="B94" s="37" t="s">
        <v>253</v>
      </c>
      <c r="C94" t="s">
        <v>1212</v>
      </c>
      <c r="D94" s="38" t="s">
        <v>1213</v>
      </c>
      <c r="E94" t="s">
        <v>1042</v>
      </c>
    </row>
    <row r="95" spans="1:5" ht="72" x14ac:dyDescent="0.3">
      <c r="A95" t="s">
        <v>252</v>
      </c>
      <c r="B95" s="37" t="s">
        <v>253</v>
      </c>
      <c r="C95" t="s">
        <v>1214</v>
      </c>
      <c r="D95" s="38" t="s">
        <v>1215</v>
      </c>
      <c r="E95" t="s">
        <v>1042</v>
      </c>
    </row>
    <row r="96" spans="1:5" ht="72" x14ac:dyDescent="0.3">
      <c r="A96" t="s">
        <v>252</v>
      </c>
      <c r="B96" s="37" t="s">
        <v>253</v>
      </c>
      <c r="C96" t="s">
        <v>1216</v>
      </c>
      <c r="D96" s="38" t="s">
        <v>1217</v>
      </c>
      <c r="E96" t="s">
        <v>1042</v>
      </c>
    </row>
    <row r="97" spans="1:5" ht="43.2" x14ac:dyDescent="0.3">
      <c r="A97" t="s">
        <v>261</v>
      </c>
      <c r="B97" s="37" t="s">
        <v>262</v>
      </c>
      <c r="C97" t="s">
        <v>1218</v>
      </c>
      <c r="D97" s="38" t="s">
        <v>1219</v>
      </c>
      <c r="E97" t="s">
        <v>1042</v>
      </c>
    </row>
    <row r="98" spans="1:5" ht="43.2" x14ac:dyDescent="0.3">
      <c r="A98" t="s">
        <v>261</v>
      </c>
      <c r="B98" s="37" t="s">
        <v>262</v>
      </c>
      <c r="C98" t="s">
        <v>1220</v>
      </c>
      <c r="D98" s="38" t="s">
        <v>1221</v>
      </c>
      <c r="E98" t="s">
        <v>1051</v>
      </c>
    </row>
    <row r="99" spans="1:5" ht="43.2" x14ac:dyDescent="0.3">
      <c r="A99" t="s">
        <v>261</v>
      </c>
      <c r="B99" s="37" t="s">
        <v>262</v>
      </c>
      <c r="C99" t="s">
        <v>1222</v>
      </c>
      <c r="D99" s="38" t="s">
        <v>1223</v>
      </c>
      <c r="E99" t="s">
        <v>1042</v>
      </c>
    </row>
    <row r="100" spans="1:5" ht="28.8" x14ac:dyDescent="0.3">
      <c r="A100" t="s">
        <v>270</v>
      </c>
      <c r="B100" s="37" t="s">
        <v>272</v>
      </c>
      <c r="C100" t="s">
        <v>1224</v>
      </c>
      <c r="D100" s="38" t="s">
        <v>1203</v>
      </c>
      <c r="E100" t="s">
        <v>1042</v>
      </c>
    </row>
    <row r="101" spans="1:5" ht="28.8" x14ac:dyDescent="0.3">
      <c r="A101" t="s">
        <v>270</v>
      </c>
      <c r="B101" s="37" t="s">
        <v>272</v>
      </c>
      <c r="C101" t="s">
        <v>1225</v>
      </c>
      <c r="D101" s="38" t="s">
        <v>1226</v>
      </c>
      <c r="E101" t="s">
        <v>1051</v>
      </c>
    </row>
    <row r="102" spans="1:5" ht="28.8" x14ac:dyDescent="0.3">
      <c r="A102" t="s">
        <v>270</v>
      </c>
      <c r="B102" s="37" t="s">
        <v>272</v>
      </c>
      <c r="C102" t="s">
        <v>1227</v>
      </c>
      <c r="D102" s="38" t="s">
        <v>1228</v>
      </c>
      <c r="E102" t="s">
        <v>1042</v>
      </c>
    </row>
    <row r="103" spans="1:5" ht="28.8" x14ac:dyDescent="0.3">
      <c r="A103" t="s">
        <v>279</v>
      </c>
      <c r="B103" s="37" t="s">
        <v>281</v>
      </c>
      <c r="C103" t="s">
        <v>1229</v>
      </c>
      <c r="D103" s="38" t="s">
        <v>1230</v>
      </c>
      <c r="E103" t="s">
        <v>1051</v>
      </c>
    </row>
    <row r="104" spans="1:5" ht="28.8" x14ac:dyDescent="0.3">
      <c r="A104" t="s">
        <v>279</v>
      </c>
      <c r="B104" s="37" t="s">
        <v>281</v>
      </c>
      <c r="C104" t="s">
        <v>1231</v>
      </c>
      <c r="D104" s="38" t="s">
        <v>1232</v>
      </c>
      <c r="E104" t="s">
        <v>1042</v>
      </c>
    </row>
    <row r="105" spans="1:5" ht="28.8" x14ac:dyDescent="0.3">
      <c r="A105" t="s">
        <v>279</v>
      </c>
      <c r="B105" s="37" t="s">
        <v>281</v>
      </c>
      <c r="C105" t="s">
        <v>1233</v>
      </c>
      <c r="D105" s="38" t="s">
        <v>1234</v>
      </c>
      <c r="E105" t="s">
        <v>1042</v>
      </c>
    </row>
    <row r="106" spans="1:5" ht="57.6" x14ac:dyDescent="0.3">
      <c r="A106" t="s">
        <v>287</v>
      </c>
      <c r="B106" s="37" t="s">
        <v>289</v>
      </c>
      <c r="C106" t="s">
        <v>1235</v>
      </c>
      <c r="D106" s="38" t="s">
        <v>1203</v>
      </c>
      <c r="E106" t="s">
        <v>1042</v>
      </c>
    </row>
    <row r="107" spans="1:5" ht="57.6" x14ac:dyDescent="0.3">
      <c r="A107" t="s">
        <v>287</v>
      </c>
      <c r="B107" s="37" t="s">
        <v>289</v>
      </c>
      <c r="C107" t="s">
        <v>1236</v>
      </c>
      <c r="D107" s="38" t="s">
        <v>1237</v>
      </c>
      <c r="E107" t="s">
        <v>1042</v>
      </c>
    </row>
    <row r="108" spans="1:5" ht="57.6" x14ac:dyDescent="0.3">
      <c r="A108" t="s">
        <v>287</v>
      </c>
      <c r="B108" s="37" t="s">
        <v>289</v>
      </c>
      <c r="C108" t="s">
        <v>1238</v>
      </c>
      <c r="D108" s="38" t="s">
        <v>1239</v>
      </c>
      <c r="E108" t="s">
        <v>1061</v>
      </c>
    </row>
    <row r="109" spans="1:5" ht="57.6" x14ac:dyDescent="0.3">
      <c r="A109" t="s">
        <v>287</v>
      </c>
      <c r="B109" s="37" t="s">
        <v>289</v>
      </c>
      <c r="C109" t="s">
        <v>1240</v>
      </c>
      <c r="D109" s="38" t="s">
        <v>1241</v>
      </c>
      <c r="E109" t="s">
        <v>1042</v>
      </c>
    </row>
    <row r="110" spans="1:5" ht="28.8" x14ac:dyDescent="0.3">
      <c r="A110" t="s">
        <v>296</v>
      </c>
      <c r="B110" s="37" t="s">
        <v>298</v>
      </c>
      <c r="C110" t="s">
        <v>1242</v>
      </c>
      <c r="D110" s="38" t="s">
        <v>1219</v>
      </c>
      <c r="E110" t="s">
        <v>1061</v>
      </c>
    </row>
    <row r="111" spans="1:5" ht="28.8" x14ac:dyDescent="0.3">
      <c r="A111" t="s">
        <v>296</v>
      </c>
      <c r="B111" s="37" t="s">
        <v>298</v>
      </c>
      <c r="C111" t="s">
        <v>1243</v>
      </c>
      <c r="D111" s="38" t="s">
        <v>1244</v>
      </c>
      <c r="E111" t="s">
        <v>1042</v>
      </c>
    </row>
    <row r="112" spans="1:5" ht="28.8" x14ac:dyDescent="0.3">
      <c r="A112" t="s">
        <v>296</v>
      </c>
      <c r="B112" s="37" t="s">
        <v>298</v>
      </c>
      <c r="C112" t="s">
        <v>1245</v>
      </c>
      <c r="D112" s="38" t="s">
        <v>1246</v>
      </c>
      <c r="E112" t="s">
        <v>1042</v>
      </c>
    </row>
    <row r="113" spans="1:5" ht="72" x14ac:dyDescent="0.3">
      <c r="A113" t="s">
        <v>305</v>
      </c>
      <c r="B113" s="37" t="s">
        <v>307</v>
      </c>
      <c r="C113" t="s">
        <v>1247</v>
      </c>
      <c r="D113" s="38" t="s">
        <v>1248</v>
      </c>
      <c r="E113" t="s">
        <v>1042</v>
      </c>
    </row>
    <row r="114" spans="1:5" ht="72" x14ac:dyDescent="0.3">
      <c r="A114" t="s">
        <v>305</v>
      </c>
      <c r="B114" s="37" t="s">
        <v>307</v>
      </c>
      <c r="C114" t="s">
        <v>1249</v>
      </c>
      <c r="D114" s="38" t="s">
        <v>1250</v>
      </c>
      <c r="E114" t="s">
        <v>1042</v>
      </c>
    </row>
    <row r="115" spans="1:5" ht="72" x14ac:dyDescent="0.3">
      <c r="A115" t="s">
        <v>305</v>
      </c>
      <c r="B115" s="37" t="s">
        <v>307</v>
      </c>
      <c r="C115" t="s">
        <v>1251</v>
      </c>
      <c r="D115" s="38" t="s">
        <v>1252</v>
      </c>
      <c r="E115" t="s">
        <v>1061</v>
      </c>
    </row>
    <row r="116" spans="1:5" ht="57.6" x14ac:dyDescent="0.3">
      <c r="A116" t="s">
        <v>316</v>
      </c>
      <c r="B116" s="37" t="s">
        <v>318</v>
      </c>
      <c r="C116" t="s">
        <v>1253</v>
      </c>
      <c r="D116" s="38" t="s">
        <v>1203</v>
      </c>
      <c r="E116" t="s">
        <v>1042</v>
      </c>
    </row>
    <row r="117" spans="1:5" ht="57.6" x14ac:dyDescent="0.3">
      <c r="A117" t="s">
        <v>316</v>
      </c>
      <c r="B117" s="37" t="s">
        <v>318</v>
      </c>
      <c r="C117" t="s">
        <v>1254</v>
      </c>
      <c r="D117" s="38" t="s">
        <v>1255</v>
      </c>
      <c r="E117" t="s">
        <v>1042</v>
      </c>
    </row>
    <row r="118" spans="1:5" ht="57.6" x14ac:dyDescent="0.3">
      <c r="A118" t="s">
        <v>316</v>
      </c>
      <c r="B118" s="37" t="s">
        <v>318</v>
      </c>
      <c r="C118" t="s">
        <v>1256</v>
      </c>
      <c r="D118" s="38" t="s">
        <v>1239</v>
      </c>
      <c r="E118" t="s">
        <v>1042</v>
      </c>
    </row>
    <row r="119" spans="1:5" ht="57.6" x14ac:dyDescent="0.3">
      <c r="A119" t="s">
        <v>316</v>
      </c>
      <c r="B119" s="37" t="s">
        <v>318</v>
      </c>
      <c r="C119" t="s">
        <v>1257</v>
      </c>
      <c r="D119" s="38" t="s">
        <v>1258</v>
      </c>
      <c r="E119" t="s">
        <v>1061</v>
      </c>
    </row>
    <row r="120" spans="1:5" ht="57.6" x14ac:dyDescent="0.3">
      <c r="A120" t="s">
        <v>324</v>
      </c>
      <c r="B120" s="37" t="s">
        <v>326</v>
      </c>
      <c r="C120" t="s">
        <v>1259</v>
      </c>
      <c r="D120" s="38" t="s">
        <v>1260</v>
      </c>
      <c r="E120" t="s">
        <v>1042</v>
      </c>
    </row>
    <row r="121" spans="1:5" ht="57.6" x14ac:dyDescent="0.3">
      <c r="A121" t="s">
        <v>324</v>
      </c>
      <c r="B121" s="37" t="s">
        <v>326</v>
      </c>
      <c r="C121" t="s">
        <v>1261</v>
      </c>
      <c r="D121" s="38" t="s">
        <v>1262</v>
      </c>
      <c r="E121" t="s">
        <v>1042</v>
      </c>
    </row>
    <row r="122" spans="1:5" ht="57.6" x14ac:dyDescent="0.3">
      <c r="A122" t="s">
        <v>324</v>
      </c>
      <c r="B122" s="37" t="s">
        <v>326</v>
      </c>
      <c r="C122" t="s">
        <v>1263</v>
      </c>
      <c r="D122" s="38" t="s">
        <v>1264</v>
      </c>
      <c r="E122" t="s">
        <v>1051</v>
      </c>
    </row>
    <row r="123" spans="1:5" ht="43.2" x14ac:dyDescent="0.3">
      <c r="A123" t="s">
        <v>333</v>
      </c>
      <c r="B123" s="37" t="s">
        <v>335</v>
      </c>
      <c r="C123" t="s">
        <v>1265</v>
      </c>
      <c r="D123" s="38" t="s">
        <v>1266</v>
      </c>
      <c r="E123" t="s">
        <v>1042</v>
      </c>
    </row>
    <row r="124" spans="1:5" ht="57.6" x14ac:dyDescent="0.3">
      <c r="A124" t="s">
        <v>341</v>
      </c>
      <c r="B124" s="37" t="s">
        <v>342</v>
      </c>
      <c r="C124" t="s">
        <v>1267</v>
      </c>
      <c r="D124" s="38" t="s">
        <v>1268</v>
      </c>
      <c r="E124" t="s">
        <v>1042</v>
      </c>
    </row>
    <row r="125" spans="1:5" ht="57.6" x14ac:dyDescent="0.3">
      <c r="A125" t="s">
        <v>341</v>
      </c>
      <c r="B125" s="37" t="s">
        <v>342</v>
      </c>
      <c r="C125" t="s">
        <v>1269</v>
      </c>
      <c r="D125" s="38" t="s">
        <v>1135</v>
      </c>
      <c r="E125" t="s">
        <v>1061</v>
      </c>
    </row>
    <row r="126" spans="1:5" ht="57.6" x14ac:dyDescent="0.3">
      <c r="A126" t="s">
        <v>341</v>
      </c>
      <c r="B126" s="37" t="s">
        <v>342</v>
      </c>
      <c r="C126" t="s">
        <v>1270</v>
      </c>
      <c r="D126" s="38" t="s">
        <v>1271</v>
      </c>
      <c r="E126" t="s">
        <v>1042</v>
      </c>
    </row>
    <row r="127" spans="1:5" ht="57.6" x14ac:dyDescent="0.3">
      <c r="A127" t="s">
        <v>341</v>
      </c>
      <c r="B127" s="37" t="s">
        <v>342</v>
      </c>
      <c r="C127" t="s">
        <v>1272</v>
      </c>
      <c r="D127" s="38" t="s">
        <v>1273</v>
      </c>
      <c r="E127" t="s">
        <v>1042</v>
      </c>
    </row>
    <row r="128" spans="1:5" ht="57.6" x14ac:dyDescent="0.3">
      <c r="A128" t="s">
        <v>341</v>
      </c>
      <c r="B128" s="37" t="s">
        <v>342</v>
      </c>
      <c r="C128" t="s">
        <v>1274</v>
      </c>
      <c r="D128" s="38" t="s">
        <v>1275</v>
      </c>
      <c r="E128" t="s">
        <v>1042</v>
      </c>
    </row>
    <row r="129" spans="1:5" ht="72" x14ac:dyDescent="0.3">
      <c r="A129" t="s">
        <v>349</v>
      </c>
      <c r="B129" s="37" t="s">
        <v>351</v>
      </c>
      <c r="C129" t="s">
        <v>1276</v>
      </c>
      <c r="D129" s="38" t="s">
        <v>1252</v>
      </c>
      <c r="E129" t="s">
        <v>1061</v>
      </c>
    </row>
    <row r="130" spans="1:5" ht="72" x14ac:dyDescent="0.3">
      <c r="A130" t="s">
        <v>349</v>
      </c>
      <c r="B130" s="37" t="s">
        <v>351</v>
      </c>
      <c r="C130" t="s">
        <v>1277</v>
      </c>
      <c r="D130" s="38" t="s">
        <v>1278</v>
      </c>
      <c r="E130" t="s">
        <v>1042</v>
      </c>
    </row>
    <row r="131" spans="1:5" ht="43.2" x14ac:dyDescent="0.3">
      <c r="A131" t="s">
        <v>357</v>
      </c>
      <c r="B131" s="37" t="s">
        <v>359</v>
      </c>
      <c r="C131" t="s">
        <v>1279</v>
      </c>
      <c r="D131" s="38" t="s">
        <v>1280</v>
      </c>
      <c r="E131" t="s">
        <v>1061</v>
      </c>
    </row>
    <row r="132" spans="1:5" ht="43.2" x14ac:dyDescent="0.3">
      <c r="A132" t="s">
        <v>365</v>
      </c>
      <c r="B132" s="37" t="s">
        <v>367</v>
      </c>
      <c r="C132" t="s">
        <v>1281</v>
      </c>
      <c r="D132" s="38" t="s">
        <v>1282</v>
      </c>
      <c r="E132" t="s">
        <v>1061</v>
      </c>
    </row>
    <row r="133" spans="1:5" ht="86.4" x14ac:dyDescent="0.3">
      <c r="A133" t="s">
        <v>372</v>
      </c>
      <c r="B133" s="37" t="s">
        <v>373</v>
      </c>
      <c r="C133" t="s">
        <v>1283</v>
      </c>
      <c r="D133" s="38" t="s">
        <v>1278</v>
      </c>
      <c r="E133" t="s">
        <v>1061</v>
      </c>
    </row>
    <row r="134" spans="1:5" ht="86.4" x14ac:dyDescent="0.3">
      <c r="A134" t="s">
        <v>372</v>
      </c>
      <c r="B134" s="37" t="s">
        <v>373</v>
      </c>
      <c r="C134" t="s">
        <v>1284</v>
      </c>
      <c r="D134" s="38" t="s">
        <v>1285</v>
      </c>
      <c r="E134" t="s">
        <v>1042</v>
      </c>
    </row>
    <row r="135" spans="1:5" ht="86.4" x14ac:dyDescent="0.3">
      <c r="A135" t="s">
        <v>372</v>
      </c>
      <c r="B135" s="37" t="s">
        <v>373</v>
      </c>
      <c r="C135" t="s">
        <v>1286</v>
      </c>
      <c r="D135" s="38" t="s">
        <v>1287</v>
      </c>
      <c r="E135" t="s">
        <v>1042</v>
      </c>
    </row>
    <row r="136" spans="1:5" ht="86.4" x14ac:dyDescent="0.3">
      <c r="A136" t="s">
        <v>372</v>
      </c>
      <c r="B136" s="37" t="s">
        <v>373</v>
      </c>
      <c r="C136" t="s">
        <v>1288</v>
      </c>
      <c r="D136" s="38" t="s">
        <v>1289</v>
      </c>
      <c r="E136" t="s">
        <v>1042</v>
      </c>
    </row>
    <row r="137" spans="1:5" ht="86.4" x14ac:dyDescent="0.3">
      <c r="A137" t="s">
        <v>372</v>
      </c>
      <c r="B137" s="37" t="s">
        <v>373</v>
      </c>
      <c r="C137" t="s">
        <v>1290</v>
      </c>
      <c r="D137" s="38" t="s">
        <v>1291</v>
      </c>
      <c r="E137" t="s">
        <v>1042</v>
      </c>
    </row>
    <row r="138" spans="1:5" ht="43.2" x14ac:dyDescent="0.3">
      <c r="A138" t="s">
        <v>381</v>
      </c>
      <c r="B138" s="37" t="s">
        <v>383</v>
      </c>
      <c r="C138" t="s">
        <v>1292</v>
      </c>
      <c r="D138" s="38" t="s">
        <v>1293</v>
      </c>
      <c r="E138" t="s">
        <v>1061</v>
      </c>
    </row>
    <row r="139" spans="1:5" ht="43.2" x14ac:dyDescent="0.3">
      <c r="A139" t="s">
        <v>390</v>
      </c>
      <c r="B139" s="37" t="s">
        <v>392</v>
      </c>
      <c r="C139" t="s">
        <v>1294</v>
      </c>
      <c r="D139" s="38" t="s">
        <v>1293</v>
      </c>
      <c r="E139" t="s">
        <v>1061</v>
      </c>
    </row>
    <row r="140" spans="1:5" ht="43.2" x14ac:dyDescent="0.3">
      <c r="A140" t="s">
        <v>398</v>
      </c>
      <c r="B140" s="37" t="s">
        <v>399</v>
      </c>
      <c r="C140" t="s">
        <v>1295</v>
      </c>
      <c r="D140" s="38" t="s">
        <v>1296</v>
      </c>
      <c r="E140" t="s">
        <v>1061</v>
      </c>
    </row>
    <row r="141" spans="1:5" ht="43.2" x14ac:dyDescent="0.3">
      <c r="A141" t="s">
        <v>398</v>
      </c>
      <c r="B141" s="37" t="s">
        <v>399</v>
      </c>
      <c r="C141" t="s">
        <v>1297</v>
      </c>
      <c r="D141" s="38" t="s">
        <v>1298</v>
      </c>
      <c r="E141" t="s">
        <v>1042</v>
      </c>
    </row>
    <row r="142" spans="1:5" ht="43.2" x14ac:dyDescent="0.3">
      <c r="A142" t="s">
        <v>406</v>
      </c>
      <c r="B142" s="37" t="s">
        <v>408</v>
      </c>
      <c r="C142" t="s">
        <v>1299</v>
      </c>
      <c r="D142" s="38" t="s">
        <v>1300</v>
      </c>
      <c r="E142" t="s">
        <v>1061</v>
      </c>
    </row>
    <row r="143" spans="1:5" ht="43.2" x14ac:dyDescent="0.3">
      <c r="A143" t="s">
        <v>406</v>
      </c>
      <c r="B143" s="37" t="s">
        <v>408</v>
      </c>
      <c r="C143" t="s">
        <v>1301</v>
      </c>
      <c r="D143" s="38" t="s">
        <v>1302</v>
      </c>
      <c r="E143" t="s">
        <v>1042</v>
      </c>
    </row>
    <row r="144" spans="1:5" ht="43.2" x14ac:dyDescent="0.3">
      <c r="A144" t="s">
        <v>406</v>
      </c>
      <c r="B144" s="37" t="s">
        <v>408</v>
      </c>
      <c r="C144" t="s">
        <v>1303</v>
      </c>
      <c r="D144" s="38" t="s">
        <v>1304</v>
      </c>
      <c r="E144" t="s">
        <v>1042</v>
      </c>
    </row>
    <row r="145" spans="1:5" ht="28.8" x14ac:dyDescent="0.3">
      <c r="A145" t="s">
        <v>414</v>
      </c>
      <c r="B145" s="37" t="s">
        <v>416</v>
      </c>
      <c r="C145" t="s">
        <v>1305</v>
      </c>
      <c r="D145" s="38" t="s">
        <v>1296</v>
      </c>
      <c r="E145" t="s">
        <v>1042</v>
      </c>
    </row>
    <row r="146" spans="1:5" ht="28.8" x14ac:dyDescent="0.3">
      <c r="A146" t="s">
        <v>414</v>
      </c>
      <c r="B146" s="37" t="s">
        <v>416</v>
      </c>
      <c r="C146" t="s">
        <v>1306</v>
      </c>
      <c r="D146" s="38" t="s">
        <v>1307</v>
      </c>
      <c r="E146" t="s">
        <v>1051</v>
      </c>
    </row>
    <row r="147" spans="1:5" ht="43.2" x14ac:dyDescent="0.3">
      <c r="A147" t="s">
        <v>422</v>
      </c>
      <c r="B147" s="37" t="s">
        <v>424</v>
      </c>
      <c r="C147" t="s">
        <v>1308</v>
      </c>
      <c r="D147" s="38" t="s">
        <v>1309</v>
      </c>
      <c r="E147" t="s">
        <v>1051</v>
      </c>
    </row>
    <row r="148" spans="1:5" ht="43.2" x14ac:dyDescent="0.3">
      <c r="A148" t="s">
        <v>431</v>
      </c>
      <c r="B148" s="37" t="s">
        <v>432</v>
      </c>
      <c r="C148" t="s">
        <v>1310</v>
      </c>
      <c r="D148" s="38" t="s">
        <v>1311</v>
      </c>
      <c r="E148" t="s">
        <v>1051</v>
      </c>
    </row>
    <row r="149" spans="1:5" ht="43.2" x14ac:dyDescent="0.3">
      <c r="A149" t="s">
        <v>439</v>
      </c>
      <c r="B149" s="37" t="s">
        <v>441</v>
      </c>
      <c r="C149" t="s">
        <v>1312</v>
      </c>
      <c r="D149" s="38" t="s">
        <v>1313</v>
      </c>
      <c r="E149" t="s">
        <v>1042</v>
      </c>
    </row>
    <row r="150" spans="1:5" ht="43.2" x14ac:dyDescent="0.3">
      <c r="A150" t="s">
        <v>439</v>
      </c>
      <c r="B150" s="37" t="s">
        <v>441</v>
      </c>
      <c r="C150" t="s">
        <v>1314</v>
      </c>
      <c r="D150" s="38" t="s">
        <v>1315</v>
      </c>
      <c r="E150" t="s">
        <v>1051</v>
      </c>
    </row>
    <row r="151" spans="1:5" ht="43.2" x14ac:dyDescent="0.3">
      <c r="A151" t="s">
        <v>439</v>
      </c>
      <c r="B151" s="37" t="s">
        <v>441</v>
      </c>
      <c r="C151" t="s">
        <v>1316</v>
      </c>
      <c r="D151" s="38" t="s">
        <v>1317</v>
      </c>
      <c r="E151" t="s">
        <v>1042</v>
      </c>
    </row>
    <row r="152" spans="1:5" ht="43.2" x14ac:dyDescent="0.3">
      <c r="A152" t="s">
        <v>447</v>
      </c>
      <c r="B152" s="37" t="s">
        <v>449</v>
      </c>
      <c r="C152" t="s">
        <v>1318</v>
      </c>
      <c r="D152" s="38" t="s">
        <v>1319</v>
      </c>
      <c r="E152" t="s">
        <v>1042</v>
      </c>
    </row>
    <row r="153" spans="1:5" ht="43.2" x14ac:dyDescent="0.3">
      <c r="A153" t="s">
        <v>447</v>
      </c>
      <c r="B153" s="37" t="s">
        <v>449</v>
      </c>
      <c r="C153" t="s">
        <v>1320</v>
      </c>
      <c r="D153" s="38" t="s">
        <v>1321</v>
      </c>
      <c r="E153" t="s">
        <v>1042</v>
      </c>
    </row>
    <row r="154" spans="1:5" ht="43.2" x14ac:dyDescent="0.3">
      <c r="A154" t="s">
        <v>455</v>
      </c>
      <c r="B154" s="37" t="s">
        <v>457</v>
      </c>
      <c r="C154" t="s">
        <v>1322</v>
      </c>
      <c r="D154" s="38" t="s">
        <v>1323</v>
      </c>
      <c r="E154" t="s">
        <v>1061</v>
      </c>
    </row>
    <row r="155" spans="1:5" ht="43.2" x14ac:dyDescent="0.3">
      <c r="A155" t="s">
        <v>455</v>
      </c>
      <c r="B155" s="37" t="s">
        <v>457</v>
      </c>
      <c r="C155" t="s">
        <v>1324</v>
      </c>
      <c r="D155" s="38" t="s">
        <v>1325</v>
      </c>
      <c r="E155" t="s">
        <v>1042</v>
      </c>
    </row>
    <row r="156" spans="1:5" ht="43.2" x14ac:dyDescent="0.3">
      <c r="A156" t="s">
        <v>455</v>
      </c>
      <c r="B156" s="37" t="s">
        <v>457</v>
      </c>
      <c r="C156" t="s">
        <v>1326</v>
      </c>
      <c r="D156" s="38" t="s">
        <v>1327</v>
      </c>
      <c r="E156" t="s">
        <v>1042</v>
      </c>
    </row>
    <row r="157" spans="1:5" ht="57.6" x14ac:dyDescent="0.3">
      <c r="A157" t="s">
        <v>463</v>
      </c>
      <c r="B157" s="37" t="s">
        <v>465</v>
      </c>
      <c r="C157" t="s">
        <v>1328</v>
      </c>
      <c r="D157" s="38" t="s">
        <v>1329</v>
      </c>
      <c r="E157" t="s">
        <v>1042</v>
      </c>
    </row>
    <row r="158" spans="1:5" ht="57.6" x14ac:dyDescent="0.3">
      <c r="A158" t="s">
        <v>463</v>
      </c>
      <c r="B158" s="37" t="s">
        <v>465</v>
      </c>
      <c r="C158" t="s">
        <v>1330</v>
      </c>
      <c r="D158" s="38" t="s">
        <v>1331</v>
      </c>
      <c r="E158" t="s">
        <v>1042</v>
      </c>
    </row>
    <row r="159" spans="1:5" ht="72" x14ac:dyDescent="0.3">
      <c r="A159" t="s">
        <v>471</v>
      </c>
      <c r="B159" s="37" t="s">
        <v>473</v>
      </c>
      <c r="C159" t="s">
        <v>1332</v>
      </c>
      <c r="D159" s="38" t="s">
        <v>1329</v>
      </c>
      <c r="E159" t="s">
        <v>1042</v>
      </c>
    </row>
    <row r="160" spans="1:5" ht="72" x14ac:dyDescent="0.3">
      <c r="A160" t="s">
        <v>471</v>
      </c>
      <c r="B160" s="37" t="s">
        <v>473</v>
      </c>
      <c r="C160" t="s">
        <v>1333</v>
      </c>
      <c r="D160" s="38" t="s">
        <v>1325</v>
      </c>
      <c r="E160" t="s">
        <v>1061</v>
      </c>
    </row>
    <row r="161" spans="1:5" ht="72" x14ac:dyDescent="0.3">
      <c r="A161" t="s">
        <v>471</v>
      </c>
      <c r="B161" s="37" t="s">
        <v>473</v>
      </c>
      <c r="C161" t="s">
        <v>1334</v>
      </c>
      <c r="D161" s="38" t="s">
        <v>1335</v>
      </c>
      <c r="E161" t="s">
        <v>1042</v>
      </c>
    </row>
    <row r="162" spans="1:5" ht="72" x14ac:dyDescent="0.3">
      <c r="A162" t="s">
        <v>471</v>
      </c>
      <c r="B162" s="37" t="s">
        <v>473</v>
      </c>
      <c r="C162" t="s">
        <v>1336</v>
      </c>
      <c r="D162" s="38" t="s">
        <v>1337</v>
      </c>
      <c r="E162" t="s">
        <v>1042</v>
      </c>
    </row>
    <row r="163" spans="1:5" ht="43.2" x14ac:dyDescent="0.3">
      <c r="A163" t="s">
        <v>479</v>
      </c>
      <c r="B163" s="37" t="s">
        <v>481</v>
      </c>
      <c r="C163" t="s">
        <v>1338</v>
      </c>
      <c r="D163" s="38" t="s">
        <v>1339</v>
      </c>
      <c r="E163" t="s">
        <v>1061</v>
      </c>
    </row>
    <row r="164" spans="1:5" ht="43.2" x14ac:dyDescent="0.3">
      <c r="A164" t="s">
        <v>479</v>
      </c>
      <c r="B164" s="37" t="s">
        <v>481</v>
      </c>
      <c r="C164" t="s">
        <v>1340</v>
      </c>
      <c r="D164" s="38" t="s">
        <v>1341</v>
      </c>
      <c r="E164" t="s">
        <v>1042</v>
      </c>
    </row>
    <row r="165" spans="1:5" ht="43.2" x14ac:dyDescent="0.3">
      <c r="A165" t="s">
        <v>479</v>
      </c>
      <c r="B165" s="37" t="s">
        <v>481</v>
      </c>
      <c r="C165" t="s">
        <v>1342</v>
      </c>
      <c r="D165" s="38" t="s">
        <v>1343</v>
      </c>
      <c r="E165" t="s">
        <v>1042</v>
      </c>
    </row>
    <row r="166" spans="1:5" ht="43.2" x14ac:dyDescent="0.3">
      <c r="A166" t="s">
        <v>479</v>
      </c>
      <c r="B166" s="37" t="s">
        <v>481</v>
      </c>
      <c r="C166" t="s">
        <v>1344</v>
      </c>
      <c r="D166" s="38" t="s">
        <v>1345</v>
      </c>
      <c r="E166" t="s">
        <v>1042</v>
      </c>
    </row>
    <row r="167" spans="1:5" ht="43.2" x14ac:dyDescent="0.3">
      <c r="A167" t="s">
        <v>479</v>
      </c>
      <c r="B167" s="37" t="s">
        <v>481</v>
      </c>
      <c r="C167" t="s">
        <v>1346</v>
      </c>
      <c r="D167" s="38" t="s">
        <v>1347</v>
      </c>
      <c r="E167" t="s">
        <v>1042</v>
      </c>
    </row>
    <row r="168" spans="1:5" ht="43.2" x14ac:dyDescent="0.3">
      <c r="A168" t="s">
        <v>479</v>
      </c>
      <c r="B168" s="37" t="s">
        <v>481</v>
      </c>
      <c r="C168" t="s">
        <v>1348</v>
      </c>
      <c r="D168" s="38" t="s">
        <v>1349</v>
      </c>
      <c r="E168" t="s">
        <v>1042</v>
      </c>
    </row>
    <row r="169" spans="1:5" ht="57.6" x14ac:dyDescent="0.3">
      <c r="A169" t="s">
        <v>488</v>
      </c>
      <c r="B169" s="37" t="s">
        <v>489</v>
      </c>
      <c r="C169" t="s">
        <v>1350</v>
      </c>
      <c r="D169" s="38" t="s">
        <v>1351</v>
      </c>
      <c r="E169" t="s">
        <v>1061</v>
      </c>
    </row>
    <row r="170" spans="1:5" ht="57.6" x14ac:dyDescent="0.3">
      <c r="A170" t="s">
        <v>488</v>
      </c>
      <c r="B170" s="37" t="s">
        <v>489</v>
      </c>
      <c r="C170" t="s">
        <v>1352</v>
      </c>
      <c r="D170" s="38" t="s">
        <v>1353</v>
      </c>
      <c r="E170" t="s">
        <v>1042</v>
      </c>
    </row>
    <row r="171" spans="1:5" ht="57.6" x14ac:dyDescent="0.3">
      <c r="A171" t="s">
        <v>488</v>
      </c>
      <c r="B171" s="37" t="s">
        <v>489</v>
      </c>
      <c r="C171" t="s">
        <v>1354</v>
      </c>
      <c r="D171" s="38" t="s">
        <v>1135</v>
      </c>
      <c r="E171" t="s">
        <v>1042</v>
      </c>
    </row>
    <row r="172" spans="1:5" ht="57.6" x14ac:dyDescent="0.3">
      <c r="A172" t="s">
        <v>488</v>
      </c>
      <c r="B172" s="37" t="s">
        <v>489</v>
      </c>
      <c r="C172" t="s">
        <v>1355</v>
      </c>
      <c r="D172" s="38" t="s">
        <v>1356</v>
      </c>
      <c r="E172" t="s">
        <v>1042</v>
      </c>
    </row>
    <row r="173" spans="1:5" ht="57.6" x14ac:dyDescent="0.3">
      <c r="A173" t="s">
        <v>488</v>
      </c>
      <c r="B173" s="37" t="s">
        <v>489</v>
      </c>
      <c r="C173" t="s">
        <v>1357</v>
      </c>
      <c r="D173" s="38" t="s">
        <v>1296</v>
      </c>
      <c r="E173" t="s">
        <v>1042</v>
      </c>
    </row>
    <row r="174" spans="1:5" ht="57.6" x14ac:dyDescent="0.3">
      <c r="A174" t="s">
        <v>488</v>
      </c>
      <c r="B174" s="37" t="s">
        <v>489</v>
      </c>
      <c r="C174" t="s">
        <v>1358</v>
      </c>
      <c r="D174" s="38" t="s">
        <v>1359</v>
      </c>
      <c r="E174" t="s">
        <v>1042</v>
      </c>
    </row>
    <row r="175" spans="1:5" ht="43.2" x14ac:dyDescent="0.3">
      <c r="A175" t="s">
        <v>495</v>
      </c>
      <c r="B175" s="37" t="s">
        <v>496</v>
      </c>
      <c r="C175" t="s">
        <v>1360</v>
      </c>
      <c r="D175" s="38" t="s">
        <v>1135</v>
      </c>
      <c r="E175" t="s">
        <v>1042</v>
      </c>
    </row>
    <row r="176" spans="1:5" ht="43.2" x14ac:dyDescent="0.3">
      <c r="A176" t="s">
        <v>495</v>
      </c>
      <c r="B176" s="37" t="s">
        <v>496</v>
      </c>
      <c r="C176" t="s">
        <v>1361</v>
      </c>
      <c r="D176" s="38" t="s">
        <v>1356</v>
      </c>
      <c r="E176" t="s">
        <v>1042</v>
      </c>
    </row>
    <row r="177" spans="1:5" ht="43.2" x14ac:dyDescent="0.3">
      <c r="A177" t="s">
        <v>495</v>
      </c>
      <c r="B177" s="37" t="s">
        <v>496</v>
      </c>
      <c r="C177" t="s">
        <v>1362</v>
      </c>
      <c r="D177" s="38" t="s">
        <v>1351</v>
      </c>
      <c r="E177" t="s">
        <v>1042</v>
      </c>
    </row>
    <row r="178" spans="1:5" ht="43.2" x14ac:dyDescent="0.3">
      <c r="A178" t="s">
        <v>495</v>
      </c>
      <c r="B178" s="37" t="s">
        <v>496</v>
      </c>
      <c r="C178" t="s">
        <v>1363</v>
      </c>
      <c r="D178" s="38" t="s">
        <v>1296</v>
      </c>
      <c r="E178" t="s">
        <v>1042</v>
      </c>
    </row>
    <row r="179" spans="1:5" ht="43.2" x14ac:dyDescent="0.3">
      <c r="A179" t="s">
        <v>495</v>
      </c>
      <c r="B179" s="37" t="s">
        <v>496</v>
      </c>
      <c r="C179" t="s">
        <v>1364</v>
      </c>
      <c r="D179" s="38" t="s">
        <v>1353</v>
      </c>
      <c r="E179" t="s">
        <v>1061</v>
      </c>
    </row>
    <row r="180" spans="1:5" ht="43.2" x14ac:dyDescent="0.3">
      <c r="A180" t="s">
        <v>495</v>
      </c>
      <c r="B180" s="37" t="s">
        <v>496</v>
      </c>
      <c r="C180" t="s">
        <v>1365</v>
      </c>
      <c r="D180" s="38" t="s">
        <v>1359</v>
      </c>
      <c r="E180" t="s">
        <v>1042</v>
      </c>
    </row>
    <row r="181" spans="1:5" ht="43.2" x14ac:dyDescent="0.3">
      <c r="A181" t="s">
        <v>495</v>
      </c>
      <c r="B181" s="37" t="s">
        <v>496</v>
      </c>
      <c r="C181" t="s">
        <v>1366</v>
      </c>
      <c r="D181" s="38" t="s">
        <v>1367</v>
      </c>
      <c r="E181" t="s">
        <v>1042</v>
      </c>
    </row>
    <row r="182" spans="1:5" ht="43.2" x14ac:dyDescent="0.3">
      <c r="A182" t="s">
        <v>502</v>
      </c>
      <c r="B182" s="37" t="s">
        <v>504</v>
      </c>
      <c r="C182" t="s">
        <v>1368</v>
      </c>
      <c r="D182" s="38" t="s">
        <v>1369</v>
      </c>
      <c r="E182" t="s">
        <v>1061</v>
      </c>
    </row>
    <row r="183" spans="1:5" ht="43.2" x14ac:dyDescent="0.3">
      <c r="A183" t="s">
        <v>502</v>
      </c>
      <c r="B183" s="37" t="s">
        <v>504</v>
      </c>
      <c r="C183" t="s">
        <v>1370</v>
      </c>
      <c r="D183" s="38" t="s">
        <v>1335</v>
      </c>
      <c r="E183" t="s">
        <v>1042</v>
      </c>
    </row>
    <row r="184" spans="1:5" ht="43.2" x14ac:dyDescent="0.3">
      <c r="A184" t="s">
        <v>502</v>
      </c>
      <c r="B184" s="37" t="s">
        <v>504</v>
      </c>
      <c r="C184" t="s">
        <v>1371</v>
      </c>
      <c r="D184" s="38" t="s">
        <v>1372</v>
      </c>
      <c r="E184" t="s">
        <v>1042</v>
      </c>
    </row>
    <row r="185" spans="1:5" ht="43.2" x14ac:dyDescent="0.3">
      <c r="A185" t="s">
        <v>508</v>
      </c>
      <c r="B185" s="37" t="s">
        <v>509</v>
      </c>
      <c r="C185" t="s">
        <v>1373</v>
      </c>
      <c r="D185" s="38" t="s">
        <v>1374</v>
      </c>
      <c r="E185" t="s">
        <v>1042</v>
      </c>
    </row>
    <row r="186" spans="1:5" ht="43.2" x14ac:dyDescent="0.3">
      <c r="A186" t="s">
        <v>508</v>
      </c>
      <c r="B186" s="37" t="s">
        <v>509</v>
      </c>
      <c r="C186" t="s">
        <v>1375</v>
      </c>
      <c r="D186" s="38" t="s">
        <v>1376</v>
      </c>
      <c r="E186" t="s">
        <v>1042</v>
      </c>
    </row>
    <row r="187" spans="1:5" ht="43.2" x14ac:dyDescent="0.3">
      <c r="A187" t="s">
        <v>508</v>
      </c>
      <c r="B187" s="37" t="s">
        <v>509</v>
      </c>
      <c r="C187" t="s">
        <v>1377</v>
      </c>
      <c r="D187" s="38" t="s">
        <v>1378</v>
      </c>
      <c r="E187" t="s">
        <v>1042</v>
      </c>
    </row>
    <row r="188" spans="1:5" ht="43.2" x14ac:dyDescent="0.3">
      <c r="A188" t="s">
        <v>508</v>
      </c>
      <c r="B188" s="37" t="s">
        <v>509</v>
      </c>
      <c r="C188" t="s">
        <v>1379</v>
      </c>
      <c r="D188" s="38" t="s">
        <v>1345</v>
      </c>
      <c r="E188" t="s">
        <v>1042</v>
      </c>
    </row>
    <row r="189" spans="1:5" ht="43.2" x14ac:dyDescent="0.3">
      <c r="A189" t="s">
        <v>508</v>
      </c>
      <c r="B189" s="37" t="s">
        <v>509</v>
      </c>
      <c r="C189" t="s">
        <v>1380</v>
      </c>
      <c r="D189" s="38" t="s">
        <v>1381</v>
      </c>
      <c r="E189" t="s">
        <v>1042</v>
      </c>
    </row>
    <row r="190" spans="1:5" ht="43.2" x14ac:dyDescent="0.3">
      <c r="A190" t="s">
        <v>508</v>
      </c>
      <c r="B190" s="37" t="s">
        <v>509</v>
      </c>
      <c r="C190" t="s">
        <v>1382</v>
      </c>
      <c r="D190" s="38" t="s">
        <v>1280</v>
      </c>
      <c r="E190" t="s">
        <v>1061</v>
      </c>
    </row>
    <row r="191" spans="1:5" ht="57.6" x14ac:dyDescent="0.3">
      <c r="A191" t="s">
        <v>516</v>
      </c>
      <c r="B191" s="37" t="s">
        <v>518</v>
      </c>
      <c r="C191" t="s">
        <v>1383</v>
      </c>
      <c r="D191" s="38" t="s">
        <v>1384</v>
      </c>
      <c r="E191" t="s">
        <v>1042</v>
      </c>
    </row>
    <row r="192" spans="1:5" ht="57.6" x14ac:dyDescent="0.3">
      <c r="A192" t="s">
        <v>516</v>
      </c>
      <c r="B192" s="37" t="s">
        <v>518</v>
      </c>
      <c r="C192" t="s">
        <v>1385</v>
      </c>
      <c r="D192" s="38" t="s">
        <v>1386</v>
      </c>
      <c r="E192" t="s">
        <v>1042</v>
      </c>
    </row>
    <row r="193" spans="1:5" ht="57.6" x14ac:dyDescent="0.3">
      <c r="A193" t="s">
        <v>516</v>
      </c>
      <c r="B193" s="37" t="s">
        <v>518</v>
      </c>
      <c r="C193" t="s">
        <v>1387</v>
      </c>
      <c r="D193" s="38" t="s">
        <v>1388</v>
      </c>
      <c r="E193" t="s">
        <v>1051</v>
      </c>
    </row>
    <row r="194" spans="1:5" ht="57.6" x14ac:dyDescent="0.3">
      <c r="A194" t="s">
        <v>516</v>
      </c>
      <c r="B194" s="37" t="s">
        <v>518</v>
      </c>
      <c r="C194" t="s">
        <v>1389</v>
      </c>
      <c r="D194" s="38" t="s">
        <v>1390</v>
      </c>
      <c r="E194" t="s">
        <v>1042</v>
      </c>
    </row>
    <row r="195" spans="1:5" ht="57.6" x14ac:dyDescent="0.3">
      <c r="A195" t="s">
        <v>516</v>
      </c>
      <c r="B195" s="37" t="s">
        <v>518</v>
      </c>
      <c r="C195" t="s">
        <v>1391</v>
      </c>
      <c r="D195" s="38" t="s">
        <v>1392</v>
      </c>
      <c r="E195" t="s">
        <v>1042</v>
      </c>
    </row>
    <row r="196" spans="1:5" ht="43.2" x14ac:dyDescent="0.3">
      <c r="A196" t="s">
        <v>524</v>
      </c>
      <c r="B196" s="37" t="s">
        <v>525</v>
      </c>
      <c r="C196" t="s">
        <v>1393</v>
      </c>
      <c r="D196" s="38" t="s">
        <v>1369</v>
      </c>
      <c r="E196" t="s">
        <v>1042</v>
      </c>
    </row>
    <row r="197" spans="1:5" ht="43.2" x14ac:dyDescent="0.3">
      <c r="A197" t="s">
        <v>524</v>
      </c>
      <c r="B197" s="37" t="s">
        <v>525</v>
      </c>
      <c r="C197" t="s">
        <v>1394</v>
      </c>
      <c r="D197" s="38" t="s">
        <v>1296</v>
      </c>
      <c r="E197" t="s">
        <v>1042</v>
      </c>
    </row>
    <row r="198" spans="1:5" ht="43.2" x14ac:dyDescent="0.3">
      <c r="A198" t="s">
        <v>524</v>
      </c>
      <c r="B198" s="37" t="s">
        <v>525</v>
      </c>
      <c r="C198" t="s">
        <v>1395</v>
      </c>
      <c r="D198" s="38" t="s">
        <v>1396</v>
      </c>
      <c r="E198" t="s">
        <v>1042</v>
      </c>
    </row>
    <row r="199" spans="1:5" ht="43.2" x14ac:dyDescent="0.3">
      <c r="A199" t="s">
        <v>524</v>
      </c>
      <c r="B199" s="37" t="s">
        <v>525</v>
      </c>
      <c r="C199" t="s">
        <v>1397</v>
      </c>
      <c r="D199" s="38" t="s">
        <v>1398</v>
      </c>
      <c r="E199" t="s">
        <v>1042</v>
      </c>
    </row>
    <row r="200" spans="1:5" ht="43.2" x14ac:dyDescent="0.3">
      <c r="A200" t="s">
        <v>524</v>
      </c>
      <c r="B200" s="37" t="s">
        <v>525</v>
      </c>
      <c r="C200" t="s">
        <v>1399</v>
      </c>
      <c r="D200" s="38" t="s">
        <v>1400</v>
      </c>
      <c r="E200" t="s">
        <v>1051</v>
      </c>
    </row>
    <row r="201" spans="1:5" ht="43.2" x14ac:dyDescent="0.3">
      <c r="A201" t="s">
        <v>532</v>
      </c>
      <c r="B201" s="37" t="s">
        <v>1401</v>
      </c>
      <c r="C201" t="s">
        <v>1402</v>
      </c>
      <c r="D201" s="38" t="s">
        <v>1403</v>
      </c>
      <c r="E201" t="s">
        <v>1061</v>
      </c>
    </row>
    <row r="202" spans="1:5" ht="43.2" x14ac:dyDescent="0.3">
      <c r="A202" t="s">
        <v>532</v>
      </c>
      <c r="B202" s="37" t="s">
        <v>1401</v>
      </c>
      <c r="C202" t="s">
        <v>1404</v>
      </c>
      <c r="D202" s="38" t="s">
        <v>1405</v>
      </c>
      <c r="E202" t="s">
        <v>1042</v>
      </c>
    </row>
    <row r="203" spans="1:5" ht="43.2" x14ac:dyDescent="0.3">
      <c r="A203" t="s">
        <v>532</v>
      </c>
      <c r="B203" s="37" t="s">
        <v>1401</v>
      </c>
      <c r="C203" t="s">
        <v>1406</v>
      </c>
      <c r="D203" s="38" t="s">
        <v>1407</v>
      </c>
      <c r="E203" t="s">
        <v>1042</v>
      </c>
    </row>
    <row r="204" spans="1:5" ht="43.2" x14ac:dyDescent="0.3">
      <c r="A204" t="s">
        <v>532</v>
      </c>
      <c r="B204" s="37" t="s">
        <v>1401</v>
      </c>
      <c r="C204" t="s">
        <v>1408</v>
      </c>
      <c r="D204" s="38" t="s">
        <v>1409</v>
      </c>
      <c r="E204" t="s">
        <v>1042</v>
      </c>
    </row>
    <row r="205" spans="1:5" ht="28.8" x14ac:dyDescent="0.3">
      <c r="A205" t="s">
        <v>540</v>
      </c>
      <c r="B205" s="37" t="s">
        <v>542</v>
      </c>
      <c r="C205" t="s">
        <v>1410</v>
      </c>
      <c r="D205" s="38" t="s">
        <v>1411</v>
      </c>
      <c r="E205" t="s">
        <v>1061</v>
      </c>
    </row>
    <row r="206" spans="1:5" ht="28.8" x14ac:dyDescent="0.3">
      <c r="A206" t="s">
        <v>540</v>
      </c>
      <c r="B206" s="37" t="s">
        <v>542</v>
      </c>
      <c r="C206" t="s">
        <v>1412</v>
      </c>
      <c r="D206" s="38" t="s">
        <v>1413</v>
      </c>
      <c r="E206" t="s">
        <v>1042</v>
      </c>
    </row>
    <row r="207" spans="1:5" ht="43.2" x14ac:dyDescent="0.3">
      <c r="A207" t="s">
        <v>547</v>
      </c>
      <c r="B207" s="37" t="s">
        <v>548</v>
      </c>
      <c r="C207" t="s">
        <v>1414</v>
      </c>
      <c r="D207" s="38" t="s">
        <v>1415</v>
      </c>
      <c r="E207" t="s">
        <v>1042</v>
      </c>
    </row>
    <row r="208" spans="1:5" ht="43.2" x14ac:dyDescent="0.3">
      <c r="A208" t="s">
        <v>547</v>
      </c>
      <c r="B208" s="37" t="s">
        <v>548</v>
      </c>
      <c r="C208" t="s">
        <v>1416</v>
      </c>
      <c r="D208" s="38" t="s">
        <v>1411</v>
      </c>
      <c r="E208" t="s">
        <v>1042</v>
      </c>
    </row>
    <row r="209" spans="1:5" ht="43.2" x14ac:dyDescent="0.3">
      <c r="A209" t="s">
        <v>547</v>
      </c>
      <c r="B209" s="37" t="s">
        <v>548</v>
      </c>
      <c r="C209" t="s">
        <v>1417</v>
      </c>
      <c r="D209" s="38" t="s">
        <v>1418</v>
      </c>
      <c r="E209" t="s">
        <v>1061</v>
      </c>
    </row>
    <row r="210" spans="1:5" ht="43.2" x14ac:dyDescent="0.3">
      <c r="A210" t="s">
        <v>554</v>
      </c>
      <c r="B210" s="37" t="s">
        <v>555</v>
      </c>
      <c r="C210" t="s">
        <v>1419</v>
      </c>
      <c r="D210" s="38" t="s">
        <v>1268</v>
      </c>
      <c r="E210" t="s">
        <v>1042</v>
      </c>
    </row>
    <row r="211" spans="1:5" ht="43.2" x14ac:dyDescent="0.3">
      <c r="A211" t="s">
        <v>554</v>
      </c>
      <c r="B211" s="37" t="s">
        <v>555</v>
      </c>
      <c r="C211" t="s">
        <v>1420</v>
      </c>
      <c r="D211" s="38" t="s">
        <v>1135</v>
      </c>
      <c r="E211" t="s">
        <v>1061</v>
      </c>
    </row>
    <row r="212" spans="1:5" ht="43.2" x14ac:dyDescent="0.3">
      <c r="A212" t="s">
        <v>554</v>
      </c>
      <c r="B212" s="37" t="s">
        <v>555</v>
      </c>
      <c r="C212" t="s">
        <v>1421</v>
      </c>
      <c r="D212" s="38" t="s">
        <v>1271</v>
      </c>
      <c r="E212" t="s">
        <v>1042</v>
      </c>
    </row>
    <row r="213" spans="1:5" ht="43.2" x14ac:dyDescent="0.3">
      <c r="A213" t="s">
        <v>554</v>
      </c>
      <c r="B213" s="37" t="s">
        <v>555</v>
      </c>
      <c r="C213" t="s">
        <v>1422</v>
      </c>
      <c r="D213" s="38" t="s">
        <v>1273</v>
      </c>
      <c r="E213" t="s">
        <v>1042</v>
      </c>
    </row>
    <row r="214" spans="1:5" ht="43.2" x14ac:dyDescent="0.3">
      <c r="A214" t="s">
        <v>554</v>
      </c>
      <c r="B214" s="37" t="s">
        <v>555</v>
      </c>
      <c r="C214" t="s">
        <v>1423</v>
      </c>
      <c r="D214" s="38" t="s">
        <v>1275</v>
      </c>
      <c r="E214" t="s">
        <v>1042</v>
      </c>
    </row>
    <row r="215" spans="1:5" ht="57.6" x14ac:dyDescent="0.3">
      <c r="A215" t="s">
        <v>561</v>
      </c>
      <c r="B215" s="37" t="s">
        <v>563</v>
      </c>
      <c r="C215" t="s">
        <v>1424</v>
      </c>
      <c r="D215" s="38" t="s">
        <v>1425</v>
      </c>
      <c r="E215" t="s">
        <v>1042</v>
      </c>
    </row>
    <row r="216" spans="1:5" ht="57.6" x14ac:dyDescent="0.3">
      <c r="A216" t="s">
        <v>561</v>
      </c>
      <c r="B216" s="37" t="s">
        <v>563</v>
      </c>
      <c r="C216" t="s">
        <v>1426</v>
      </c>
      <c r="D216" s="38" t="s">
        <v>1427</v>
      </c>
      <c r="E216" t="s">
        <v>1061</v>
      </c>
    </row>
    <row r="217" spans="1:5" ht="57.6" x14ac:dyDescent="0.3">
      <c r="A217" t="s">
        <v>561</v>
      </c>
      <c r="B217" s="37" t="s">
        <v>563</v>
      </c>
      <c r="C217" t="s">
        <v>1428</v>
      </c>
      <c r="D217" s="38" t="s">
        <v>1429</v>
      </c>
      <c r="E217" t="s">
        <v>1042</v>
      </c>
    </row>
    <row r="218" spans="1:5" ht="57.6" x14ac:dyDescent="0.3">
      <c r="A218" t="s">
        <v>561</v>
      </c>
      <c r="B218" s="37" t="s">
        <v>563</v>
      </c>
      <c r="C218" t="s">
        <v>1430</v>
      </c>
      <c r="D218" s="38" t="s">
        <v>1135</v>
      </c>
      <c r="E218" t="s">
        <v>1042</v>
      </c>
    </row>
    <row r="219" spans="1:5" ht="57.6" x14ac:dyDescent="0.3">
      <c r="A219" t="s">
        <v>561</v>
      </c>
      <c r="B219" s="37" t="s">
        <v>563</v>
      </c>
      <c r="C219" t="s">
        <v>1431</v>
      </c>
      <c r="D219" s="38" t="s">
        <v>1432</v>
      </c>
      <c r="E219" t="s">
        <v>1042</v>
      </c>
    </row>
    <row r="220" spans="1:5" ht="72" x14ac:dyDescent="0.3">
      <c r="A220" t="s">
        <v>569</v>
      </c>
      <c r="B220" s="37" t="s">
        <v>570</v>
      </c>
      <c r="C220" t="s">
        <v>1433</v>
      </c>
      <c r="D220" s="38" t="s">
        <v>1434</v>
      </c>
      <c r="E220" t="s">
        <v>1061</v>
      </c>
    </row>
    <row r="221" spans="1:5" ht="43.2" x14ac:dyDescent="0.3">
      <c r="A221" t="s">
        <v>577</v>
      </c>
      <c r="B221" s="37" t="s">
        <v>578</v>
      </c>
      <c r="C221" t="s">
        <v>1435</v>
      </c>
      <c r="D221" s="38" t="s">
        <v>1436</v>
      </c>
      <c r="E221" t="s">
        <v>1042</v>
      </c>
    </row>
    <row r="222" spans="1:5" ht="43.2" x14ac:dyDescent="0.3">
      <c r="A222" t="s">
        <v>577</v>
      </c>
      <c r="B222" s="37" t="s">
        <v>578</v>
      </c>
      <c r="C222" t="s">
        <v>1437</v>
      </c>
      <c r="D222" s="38" t="s">
        <v>1413</v>
      </c>
      <c r="E222" t="s">
        <v>1042</v>
      </c>
    </row>
    <row r="223" spans="1:5" ht="43.2" x14ac:dyDescent="0.3">
      <c r="A223" t="s">
        <v>577</v>
      </c>
      <c r="B223" s="37" t="s">
        <v>578</v>
      </c>
      <c r="C223" t="s">
        <v>1438</v>
      </c>
      <c r="D223" s="38" t="s">
        <v>1411</v>
      </c>
      <c r="E223" t="s">
        <v>1042</v>
      </c>
    </row>
    <row r="224" spans="1:5" ht="43.2" x14ac:dyDescent="0.3">
      <c r="A224" t="s">
        <v>577</v>
      </c>
      <c r="B224" s="37" t="s">
        <v>578</v>
      </c>
      <c r="C224" t="s">
        <v>1439</v>
      </c>
      <c r="D224" s="38" t="s">
        <v>1440</v>
      </c>
      <c r="E224" t="s">
        <v>1061</v>
      </c>
    </row>
    <row r="225" spans="1:5" ht="43.2" x14ac:dyDescent="0.3">
      <c r="A225" t="s">
        <v>584</v>
      </c>
      <c r="B225" s="37" t="s">
        <v>586</v>
      </c>
      <c r="C225" t="s">
        <v>1441</v>
      </c>
      <c r="D225" s="38" t="s">
        <v>1296</v>
      </c>
      <c r="E225" t="s">
        <v>1042</v>
      </c>
    </row>
    <row r="226" spans="1:5" ht="43.2" x14ac:dyDescent="0.3">
      <c r="A226" t="s">
        <v>584</v>
      </c>
      <c r="B226" s="37" t="s">
        <v>586</v>
      </c>
      <c r="C226" t="s">
        <v>1442</v>
      </c>
      <c r="D226" s="38" t="s">
        <v>1427</v>
      </c>
      <c r="E226" t="s">
        <v>1061</v>
      </c>
    </row>
    <row r="227" spans="1:5" ht="43.2" x14ac:dyDescent="0.3">
      <c r="A227" t="s">
        <v>584</v>
      </c>
      <c r="B227" s="37" t="s">
        <v>586</v>
      </c>
      <c r="C227" t="s">
        <v>1443</v>
      </c>
      <c r="D227" s="38" t="s">
        <v>1444</v>
      </c>
      <c r="E227" t="s">
        <v>1042</v>
      </c>
    </row>
    <row r="228" spans="1:5" ht="43.2" x14ac:dyDescent="0.3">
      <c r="A228" t="s">
        <v>584</v>
      </c>
      <c r="B228" s="37" t="s">
        <v>586</v>
      </c>
      <c r="C228" t="s">
        <v>1445</v>
      </c>
      <c r="D228" s="38" t="s">
        <v>1335</v>
      </c>
      <c r="E228" t="s">
        <v>1042</v>
      </c>
    </row>
    <row r="229" spans="1:5" ht="43.2" x14ac:dyDescent="0.3">
      <c r="A229" t="s">
        <v>584</v>
      </c>
      <c r="B229" s="37" t="s">
        <v>586</v>
      </c>
      <c r="C229" t="s">
        <v>1446</v>
      </c>
      <c r="D229" s="38" t="s">
        <v>1425</v>
      </c>
      <c r="E229" t="s">
        <v>1042</v>
      </c>
    </row>
    <row r="230" spans="1:5" ht="43.2" x14ac:dyDescent="0.3">
      <c r="A230" t="s">
        <v>592</v>
      </c>
      <c r="B230" s="37" t="s">
        <v>594</v>
      </c>
      <c r="C230" t="s">
        <v>1447</v>
      </c>
      <c r="D230" s="38" t="s">
        <v>1448</v>
      </c>
      <c r="E230" t="s">
        <v>1042</v>
      </c>
    </row>
    <row r="231" spans="1:5" ht="43.2" x14ac:dyDescent="0.3">
      <c r="A231" t="s">
        <v>592</v>
      </c>
      <c r="B231" s="37" t="s">
        <v>594</v>
      </c>
      <c r="C231" t="s">
        <v>1449</v>
      </c>
      <c r="D231" s="38" t="s">
        <v>1450</v>
      </c>
      <c r="E231" t="s">
        <v>1042</v>
      </c>
    </row>
    <row r="232" spans="1:5" ht="43.2" x14ac:dyDescent="0.3">
      <c r="A232" t="s">
        <v>592</v>
      </c>
      <c r="B232" s="37" t="s">
        <v>594</v>
      </c>
      <c r="C232" t="s">
        <v>1451</v>
      </c>
      <c r="D232" s="38" t="s">
        <v>1452</v>
      </c>
      <c r="E232" t="s">
        <v>1042</v>
      </c>
    </row>
    <row r="233" spans="1:5" ht="43.2" x14ac:dyDescent="0.3">
      <c r="A233" t="s">
        <v>592</v>
      </c>
      <c r="B233" s="37" t="s">
        <v>594</v>
      </c>
      <c r="C233" t="s">
        <v>1453</v>
      </c>
      <c r="D233" s="38" t="s">
        <v>1415</v>
      </c>
      <c r="E233" t="s">
        <v>1051</v>
      </c>
    </row>
    <row r="234" spans="1:5" ht="43.2" x14ac:dyDescent="0.3">
      <c r="A234" t="s">
        <v>592</v>
      </c>
      <c r="B234" s="37" t="s">
        <v>594</v>
      </c>
      <c r="C234" t="s">
        <v>1454</v>
      </c>
      <c r="D234" s="38" t="s">
        <v>1455</v>
      </c>
      <c r="E234" t="s">
        <v>1042</v>
      </c>
    </row>
    <row r="235" spans="1:5" ht="43.2" x14ac:dyDescent="0.3">
      <c r="A235" t="s">
        <v>600</v>
      </c>
      <c r="B235" s="37" t="s">
        <v>601</v>
      </c>
      <c r="C235" t="s">
        <v>1456</v>
      </c>
      <c r="D235" s="38" t="s">
        <v>1457</v>
      </c>
      <c r="E235" t="s">
        <v>1042</v>
      </c>
    </row>
    <row r="236" spans="1:5" ht="43.2" x14ac:dyDescent="0.3">
      <c r="A236" t="s">
        <v>600</v>
      </c>
      <c r="B236" s="37" t="s">
        <v>601</v>
      </c>
      <c r="C236" t="s">
        <v>1458</v>
      </c>
      <c r="D236" s="38" t="s">
        <v>1459</v>
      </c>
      <c r="E236" t="s">
        <v>1042</v>
      </c>
    </row>
    <row r="237" spans="1:5" ht="43.2" x14ac:dyDescent="0.3">
      <c r="A237" t="s">
        <v>600</v>
      </c>
      <c r="B237" s="37" t="s">
        <v>601</v>
      </c>
      <c r="C237" t="s">
        <v>1460</v>
      </c>
      <c r="D237" s="38" t="s">
        <v>1415</v>
      </c>
      <c r="E237" t="s">
        <v>1042</v>
      </c>
    </row>
    <row r="238" spans="1:5" ht="43.2" x14ac:dyDescent="0.3">
      <c r="A238" t="s">
        <v>607</v>
      </c>
      <c r="B238" s="37" t="s">
        <v>609</v>
      </c>
      <c r="C238" t="s">
        <v>1461</v>
      </c>
      <c r="D238" s="38" t="s">
        <v>1427</v>
      </c>
      <c r="E238" t="s">
        <v>1042</v>
      </c>
    </row>
    <row r="239" spans="1:5" ht="43.2" x14ac:dyDescent="0.3">
      <c r="A239" t="s">
        <v>607</v>
      </c>
      <c r="B239" s="37" t="s">
        <v>609</v>
      </c>
      <c r="C239" t="s">
        <v>1462</v>
      </c>
      <c r="D239" s="38" t="s">
        <v>1463</v>
      </c>
      <c r="E239" t="s">
        <v>1042</v>
      </c>
    </row>
    <row r="240" spans="1:5" ht="43.2" x14ac:dyDescent="0.3">
      <c r="A240" t="s">
        <v>607</v>
      </c>
      <c r="B240" s="37" t="s">
        <v>609</v>
      </c>
      <c r="C240" t="s">
        <v>1464</v>
      </c>
      <c r="D240" s="38" t="s">
        <v>1465</v>
      </c>
      <c r="E240" t="s">
        <v>1061</v>
      </c>
    </row>
    <row r="241" spans="1:5" ht="43.2" x14ac:dyDescent="0.3">
      <c r="A241" t="s">
        <v>607</v>
      </c>
      <c r="B241" s="37" t="s">
        <v>609</v>
      </c>
      <c r="C241" t="s">
        <v>1466</v>
      </c>
      <c r="D241" s="38" t="s">
        <v>1467</v>
      </c>
      <c r="E241" t="s">
        <v>1042</v>
      </c>
    </row>
    <row r="242" spans="1:5" ht="43.2" x14ac:dyDescent="0.3">
      <c r="A242" t="s">
        <v>607</v>
      </c>
      <c r="B242" s="37" t="s">
        <v>609</v>
      </c>
      <c r="C242" t="s">
        <v>1468</v>
      </c>
      <c r="D242" s="38" t="s">
        <v>1135</v>
      </c>
      <c r="E242" t="s">
        <v>1042</v>
      </c>
    </row>
    <row r="243" spans="1:5" ht="43.2" x14ac:dyDescent="0.3">
      <c r="A243" t="s">
        <v>607</v>
      </c>
      <c r="B243" s="37" t="s">
        <v>609</v>
      </c>
      <c r="C243" t="s">
        <v>1469</v>
      </c>
      <c r="D243" s="38" t="s">
        <v>1470</v>
      </c>
      <c r="E243" t="s">
        <v>1042</v>
      </c>
    </row>
    <row r="244" spans="1:5" ht="43.2" x14ac:dyDescent="0.3">
      <c r="A244" t="s">
        <v>607</v>
      </c>
      <c r="B244" s="37" t="s">
        <v>609</v>
      </c>
      <c r="C244" t="s">
        <v>1471</v>
      </c>
      <c r="D244" s="38" t="s">
        <v>1472</v>
      </c>
      <c r="E244" t="s">
        <v>1042</v>
      </c>
    </row>
    <row r="245" spans="1:5" ht="43.2" x14ac:dyDescent="0.3">
      <c r="A245" t="s">
        <v>607</v>
      </c>
      <c r="B245" s="37" t="s">
        <v>609</v>
      </c>
      <c r="C245" t="s">
        <v>1473</v>
      </c>
      <c r="D245" s="38" t="s">
        <v>1474</v>
      </c>
      <c r="E245" t="s">
        <v>1042</v>
      </c>
    </row>
    <row r="246" spans="1:5" ht="72" x14ac:dyDescent="0.3">
      <c r="A246" t="s">
        <v>615</v>
      </c>
      <c r="B246" s="37" t="s">
        <v>616</v>
      </c>
      <c r="C246" t="s">
        <v>1475</v>
      </c>
      <c r="D246" s="38" t="s">
        <v>1476</v>
      </c>
      <c r="E246" t="s">
        <v>1042</v>
      </c>
    </row>
    <row r="247" spans="1:5" ht="72" x14ac:dyDescent="0.3">
      <c r="A247" t="s">
        <v>615</v>
      </c>
      <c r="B247" s="37" t="s">
        <v>616</v>
      </c>
      <c r="C247" t="s">
        <v>1477</v>
      </c>
      <c r="D247" s="38" t="s">
        <v>1478</v>
      </c>
      <c r="E247" t="s">
        <v>1042</v>
      </c>
    </row>
    <row r="248" spans="1:5" ht="72" x14ac:dyDescent="0.3">
      <c r="A248" t="s">
        <v>615</v>
      </c>
      <c r="B248" s="37" t="s">
        <v>616</v>
      </c>
      <c r="C248" t="s">
        <v>1479</v>
      </c>
      <c r="D248" s="38" t="s">
        <v>1480</v>
      </c>
      <c r="E248" t="s">
        <v>1051</v>
      </c>
    </row>
    <row r="249" spans="1:5" ht="43.2" x14ac:dyDescent="0.3">
      <c r="A249" t="s">
        <v>622</v>
      </c>
      <c r="B249" s="37" t="s">
        <v>623</v>
      </c>
      <c r="C249" t="s">
        <v>1481</v>
      </c>
      <c r="D249" s="38" t="s">
        <v>1482</v>
      </c>
      <c r="E249" t="s">
        <v>1042</v>
      </c>
    </row>
    <row r="250" spans="1:5" ht="43.2" x14ac:dyDescent="0.3">
      <c r="A250" t="s">
        <v>622</v>
      </c>
      <c r="B250" s="37" t="s">
        <v>623</v>
      </c>
      <c r="C250" t="s">
        <v>1483</v>
      </c>
      <c r="D250" s="38" t="s">
        <v>1457</v>
      </c>
      <c r="E250" t="s">
        <v>1042</v>
      </c>
    </row>
    <row r="251" spans="1:5" ht="43.2" x14ac:dyDescent="0.3">
      <c r="A251" t="s">
        <v>622</v>
      </c>
      <c r="B251" s="37" t="s">
        <v>623</v>
      </c>
      <c r="C251" t="s">
        <v>1484</v>
      </c>
      <c r="D251" s="38" t="s">
        <v>1411</v>
      </c>
      <c r="E251" t="s">
        <v>1042</v>
      </c>
    </row>
    <row r="252" spans="1:5" ht="43.2" x14ac:dyDescent="0.3">
      <c r="A252" t="s">
        <v>622</v>
      </c>
      <c r="B252" s="37" t="s">
        <v>623</v>
      </c>
      <c r="C252" t="s">
        <v>1485</v>
      </c>
      <c r="D252" s="38" t="s">
        <v>1415</v>
      </c>
      <c r="E252" t="s">
        <v>1061</v>
      </c>
    </row>
    <row r="253" spans="1:5" ht="28.8" x14ac:dyDescent="0.3">
      <c r="A253" t="s">
        <v>630</v>
      </c>
      <c r="B253" s="37" t="s">
        <v>631</v>
      </c>
      <c r="C253" t="s">
        <v>1486</v>
      </c>
      <c r="D253" s="38" t="s">
        <v>1415</v>
      </c>
      <c r="E253" t="s">
        <v>1042</v>
      </c>
    </row>
    <row r="254" spans="1:5" ht="28.8" x14ac:dyDescent="0.3">
      <c r="A254" t="s">
        <v>630</v>
      </c>
      <c r="B254" s="37" t="s">
        <v>631</v>
      </c>
      <c r="C254" t="s">
        <v>1486</v>
      </c>
      <c r="D254" s="39" t="s">
        <v>1487</v>
      </c>
      <c r="E254" t="s">
        <v>1061</v>
      </c>
    </row>
    <row r="255" spans="1:5" ht="28.8" x14ac:dyDescent="0.3">
      <c r="A255" t="s">
        <v>630</v>
      </c>
      <c r="B255" s="37" t="s">
        <v>631</v>
      </c>
      <c r="C255" t="s">
        <v>1488</v>
      </c>
      <c r="D255" s="38" t="s">
        <v>1459</v>
      </c>
      <c r="E255" t="s">
        <v>1042</v>
      </c>
    </row>
    <row r="256" spans="1:5" ht="57.6" x14ac:dyDescent="0.3">
      <c r="A256" t="s">
        <v>635</v>
      </c>
      <c r="B256" s="37" t="s">
        <v>636</v>
      </c>
      <c r="C256" t="s">
        <v>1489</v>
      </c>
      <c r="D256" s="38" t="s">
        <v>1465</v>
      </c>
      <c r="E256" t="s">
        <v>1061</v>
      </c>
    </row>
    <row r="257" spans="1:5" ht="57.6" x14ac:dyDescent="0.3">
      <c r="A257" t="s">
        <v>635</v>
      </c>
      <c r="B257" s="37" t="s">
        <v>636</v>
      </c>
      <c r="C257" t="s">
        <v>1490</v>
      </c>
      <c r="D257" s="38" t="s">
        <v>1427</v>
      </c>
      <c r="E257" t="s">
        <v>1042</v>
      </c>
    </row>
    <row r="258" spans="1:5" ht="57.6" x14ac:dyDescent="0.3">
      <c r="A258" t="s">
        <v>635</v>
      </c>
      <c r="B258" s="37" t="s">
        <v>636</v>
      </c>
      <c r="C258" t="s">
        <v>1491</v>
      </c>
      <c r="D258" s="38" t="s">
        <v>1470</v>
      </c>
      <c r="E258" t="s">
        <v>1042</v>
      </c>
    </row>
    <row r="259" spans="1:5" ht="57.6" x14ac:dyDescent="0.3">
      <c r="A259" t="s">
        <v>643</v>
      </c>
      <c r="B259" s="37" t="s">
        <v>644</v>
      </c>
      <c r="C259" t="s">
        <v>1492</v>
      </c>
      <c r="D259" s="38" t="s">
        <v>1427</v>
      </c>
      <c r="E259" t="s">
        <v>1061</v>
      </c>
    </row>
    <row r="260" spans="1:5" ht="57.6" x14ac:dyDescent="0.3">
      <c r="A260" t="s">
        <v>643</v>
      </c>
      <c r="B260" s="37" t="s">
        <v>644</v>
      </c>
      <c r="C260" t="s">
        <v>1493</v>
      </c>
      <c r="D260" s="38" t="s">
        <v>1465</v>
      </c>
      <c r="E260" t="s">
        <v>1042</v>
      </c>
    </row>
    <row r="261" spans="1:5" ht="57.6" x14ac:dyDescent="0.3">
      <c r="A261" t="s">
        <v>643</v>
      </c>
      <c r="B261" s="37" t="s">
        <v>644</v>
      </c>
      <c r="C261" t="s">
        <v>1494</v>
      </c>
      <c r="D261" s="38" t="s">
        <v>1444</v>
      </c>
      <c r="E261" t="s">
        <v>1042</v>
      </c>
    </row>
    <row r="262" spans="1:5" ht="57.6" x14ac:dyDescent="0.3">
      <c r="A262" t="s">
        <v>643</v>
      </c>
      <c r="B262" s="37" t="s">
        <v>644</v>
      </c>
      <c r="C262" t="s">
        <v>1495</v>
      </c>
      <c r="D262" s="38" t="s">
        <v>1135</v>
      </c>
      <c r="E262" t="s">
        <v>1042</v>
      </c>
    </row>
    <row r="263" spans="1:5" ht="57.6" x14ac:dyDescent="0.3">
      <c r="A263" t="s">
        <v>643</v>
      </c>
      <c r="B263" s="37" t="s">
        <v>644</v>
      </c>
      <c r="C263" t="s">
        <v>1496</v>
      </c>
      <c r="D263" s="38" t="s">
        <v>1470</v>
      </c>
      <c r="E263" t="s">
        <v>1042</v>
      </c>
    </row>
    <row r="264" spans="1:5" ht="28.8" x14ac:dyDescent="0.3">
      <c r="A264" t="s">
        <v>650</v>
      </c>
      <c r="B264" s="37" t="s">
        <v>652</v>
      </c>
      <c r="C264" t="s">
        <v>1497</v>
      </c>
      <c r="D264" s="38" t="s">
        <v>1498</v>
      </c>
      <c r="E264" t="s">
        <v>1042</v>
      </c>
    </row>
    <row r="265" spans="1:5" ht="28.8" x14ac:dyDescent="0.3">
      <c r="A265" t="s">
        <v>650</v>
      </c>
      <c r="B265" s="37" t="s">
        <v>652</v>
      </c>
      <c r="C265" t="s">
        <v>1499</v>
      </c>
      <c r="D265" s="38" t="s">
        <v>1500</v>
      </c>
      <c r="E265" t="s">
        <v>1042</v>
      </c>
    </row>
    <row r="266" spans="1:5" ht="28.8" x14ac:dyDescent="0.3">
      <c r="A266" t="s">
        <v>650</v>
      </c>
      <c r="B266" s="37" t="s">
        <v>652</v>
      </c>
      <c r="C266" t="s">
        <v>1501</v>
      </c>
      <c r="D266" s="38" t="s">
        <v>1502</v>
      </c>
      <c r="E266" t="s">
        <v>1042</v>
      </c>
    </row>
    <row r="267" spans="1:5" ht="28.8" x14ac:dyDescent="0.3">
      <c r="A267" t="s">
        <v>650</v>
      </c>
      <c r="B267" s="37" t="s">
        <v>652</v>
      </c>
      <c r="C267" t="s">
        <v>1503</v>
      </c>
      <c r="D267" s="38" t="s">
        <v>1504</v>
      </c>
      <c r="E267" t="s">
        <v>1042</v>
      </c>
    </row>
    <row r="268" spans="1:5" ht="28.8" x14ac:dyDescent="0.3">
      <c r="A268" t="s">
        <v>650</v>
      </c>
      <c r="B268" s="37" t="s">
        <v>652</v>
      </c>
      <c r="C268" t="s">
        <v>1505</v>
      </c>
      <c r="D268" s="38" t="s">
        <v>1506</v>
      </c>
      <c r="E268" t="s">
        <v>1042</v>
      </c>
    </row>
    <row r="269" spans="1:5" ht="28.8" x14ac:dyDescent="0.3">
      <c r="A269" t="s">
        <v>650</v>
      </c>
      <c r="B269" s="37" t="s">
        <v>652</v>
      </c>
      <c r="C269" t="s">
        <v>1507</v>
      </c>
      <c r="D269" s="38" t="s">
        <v>1508</v>
      </c>
      <c r="E269" t="s">
        <v>1061</v>
      </c>
    </row>
    <row r="270" spans="1:5" ht="28.8" x14ac:dyDescent="0.3">
      <c r="A270" t="s">
        <v>658</v>
      </c>
      <c r="B270" s="37" t="s">
        <v>659</v>
      </c>
      <c r="C270" t="s">
        <v>1509</v>
      </c>
      <c r="D270" s="38" t="s">
        <v>1510</v>
      </c>
      <c r="E270" t="s">
        <v>1042</v>
      </c>
    </row>
    <row r="271" spans="1:5" ht="28.8" x14ac:dyDescent="0.3">
      <c r="A271" t="s">
        <v>658</v>
      </c>
      <c r="B271" s="37" t="s">
        <v>659</v>
      </c>
      <c r="C271" t="s">
        <v>1511</v>
      </c>
      <c r="D271" s="38" t="s">
        <v>1415</v>
      </c>
      <c r="E271" t="s">
        <v>1042</v>
      </c>
    </row>
    <row r="272" spans="1:5" ht="28.8" x14ac:dyDescent="0.3">
      <c r="A272" t="s">
        <v>658</v>
      </c>
      <c r="B272" s="37" t="s">
        <v>659</v>
      </c>
      <c r="C272" t="s">
        <v>1512</v>
      </c>
      <c r="D272" s="38" t="s">
        <v>1513</v>
      </c>
      <c r="E272" t="s">
        <v>1061</v>
      </c>
    </row>
    <row r="273" spans="1:5" ht="57.6" x14ac:dyDescent="0.3">
      <c r="A273" t="s">
        <v>666</v>
      </c>
      <c r="B273" s="37" t="s">
        <v>668</v>
      </c>
      <c r="C273" t="s">
        <v>1514</v>
      </c>
      <c r="D273" s="38" t="s">
        <v>1515</v>
      </c>
      <c r="E273" t="s">
        <v>1061</v>
      </c>
    </row>
    <row r="274" spans="1:5" ht="57.6" x14ac:dyDescent="0.3">
      <c r="A274" t="s">
        <v>666</v>
      </c>
      <c r="B274" s="37" t="s">
        <v>668</v>
      </c>
      <c r="C274" t="s">
        <v>1516</v>
      </c>
      <c r="D274" s="38" t="s">
        <v>1517</v>
      </c>
      <c r="E274" t="s">
        <v>1042</v>
      </c>
    </row>
    <row r="275" spans="1:5" ht="57.6" x14ac:dyDescent="0.3">
      <c r="A275" t="s">
        <v>666</v>
      </c>
      <c r="B275" s="37" t="s">
        <v>668</v>
      </c>
      <c r="C275" t="s">
        <v>1518</v>
      </c>
      <c r="D275" s="38" t="s">
        <v>1335</v>
      </c>
      <c r="E275" t="s">
        <v>1042</v>
      </c>
    </row>
    <row r="276" spans="1:5" ht="57.6" x14ac:dyDescent="0.3">
      <c r="A276" t="s">
        <v>674</v>
      </c>
      <c r="B276" s="37" t="s">
        <v>675</v>
      </c>
      <c r="C276" t="s">
        <v>1519</v>
      </c>
      <c r="D276" s="38" t="s">
        <v>1472</v>
      </c>
      <c r="E276" t="s">
        <v>1061</v>
      </c>
    </row>
    <row r="277" spans="1:5" ht="57.6" x14ac:dyDescent="0.3">
      <c r="A277" t="s">
        <v>674</v>
      </c>
      <c r="B277" s="37" t="s">
        <v>675</v>
      </c>
      <c r="C277" t="s">
        <v>1520</v>
      </c>
      <c r="D277" s="38" t="s">
        <v>1521</v>
      </c>
      <c r="E277" t="s">
        <v>1042</v>
      </c>
    </row>
    <row r="278" spans="1:5" ht="57.6" x14ac:dyDescent="0.3">
      <c r="A278" t="s">
        <v>681</v>
      </c>
      <c r="B278" s="37" t="s">
        <v>682</v>
      </c>
      <c r="C278" t="s">
        <v>1522</v>
      </c>
      <c r="D278" s="38" t="s">
        <v>1135</v>
      </c>
      <c r="E278" t="s">
        <v>1042</v>
      </c>
    </row>
    <row r="279" spans="1:5" ht="57.6" x14ac:dyDescent="0.3">
      <c r="A279" t="s">
        <v>681</v>
      </c>
      <c r="B279" s="37" t="s">
        <v>682</v>
      </c>
      <c r="C279" t="s">
        <v>1523</v>
      </c>
      <c r="D279" s="38" t="s">
        <v>1465</v>
      </c>
      <c r="E279" t="s">
        <v>1042</v>
      </c>
    </row>
    <row r="280" spans="1:5" ht="57.6" x14ac:dyDescent="0.3">
      <c r="A280" t="s">
        <v>681</v>
      </c>
      <c r="B280" s="37" t="s">
        <v>682</v>
      </c>
      <c r="C280" t="s">
        <v>1524</v>
      </c>
      <c r="D280" s="38" t="s">
        <v>1427</v>
      </c>
      <c r="E280" t="s">
        <v>1042</v>
      </c>
    </row>
    <row r="281" spans="1:5" ht="57.6" x14ac:dyDescent="0.3">
      <c r="A281" t="s">
        <v>681</v>
      </c>
      <c r="B281" s="37" t="s">
        <v>682</v>
      </c>
      <c r="C281" t="s">
        <v>1525</v>
      </c>
      <c r="D281" s="38" t="s">
        <v>1526</v>
      </c>
      <c r="E281" t="s">
        <v>1042</v>
      </c>
    </row>
    <row r="282" spans="1:5" ht="57.6" x14ac:dyDescent="0.3">
      <c r="A282" t="s">
        <v>681</v>
      </c>
      <c r="B282" s="37" t="s">
        <v>682</v>
      </c>
      <c r="C282" t="s">
        <v>1527</v>
      </c>
      <c r="D282" s="38" t="s">
        <v>1470</v>
      </c>
      <c r="E282" t="s">
        <v>1051</v>
      </c>
    </row>
    <row r="283" spans="1:5" ht="57.6" x14ac:dyDescent="0.3">
      <c r="A283" t="s">
        <v>688</v>
      </c>
      <c r="B283" s="37" t="s">
        <v>690</v>
      </c>
      <c r="C283" t="s">
        <v>1528</v>
      </c>
      <c r="D283" s="38" t="s">
        <v>1529</v>
      </c>
      <c r="E283" t="s">
        <v>1051</v>
      </c>
    </row>
    <row r="284" spans="1:5" ht="57.6" x14ac:dyDescent="0.3">
      <c r="A284" t="s">
        <v>688</v>
      </c>
      <c r="B284" s="37" t="s">
        <v>690</v>
      </c>
      <c r="C284" t="s">
        <v>1530</v>
      </c>
      <c r="D284" s="38" t="s">
        <v>1531</v>
      </c>
      <c r="E284" t="s">
        <v>1042</v>
      </c>
    </row>
    <row r="285" spans="1:5" ht="57.6" x14ac:dyDescent="0.3">
      <c r="A285" t="s">
        <v>688</v>
      </c>
      <c r="B285" s="37" t="s">
        <v>690</v>
      </c>
      <c r="C285" t="s">
        <v>1532</v>
      </c>
      <c r="D285" s="38" t="s">
        <v>1533</v>
      </c>
      <c r="E285" t="s">
        <v>1042</v>
      </c>
    </row>
    <row r="286" spans="1:5" ht="57.6" x14ac:dyDescent="0.3">
      <c r="A286" t="s">
        <v>688</v>
      </c>
      <c r="B286" s="37" t="s">
        <v>690</v>
      </c>
      <c r="C286" t="s">
        <v>1534</v>
      </c>
      <c r="D286" s="38" t="s">
        <v>1535</v>
      </c>
      <c r="E286" t="s">
        <v>1042</v>
      </c>
    </row>
    <row r="287" spans="1:5" ht="28.8" x14ac:dyDescent="0.3">
      <c r="A287" t="s">
        <v>698</v>
      </c>
      <c r="B287" s="37" t="s">
        <v>700</v>
      </c>
      <c r="C287" t="s">
        <v>1536</v>
      </c>
      <c r="D287" s="38" t="s">
        <v>1498</v>
      </c>
      <c r="E287" t="s">
        <v>1061</v>
      </c>
    </row>
    <row r="288" spans="1:5" ht="28.8" x14ac:dyDescent="0.3">
      <c r="A288" t="s">
        <v>698</v>
      </c>
      <c r="B288" s="37" t="s">
        <v>700</v>
      </c>
      <c r="C288" t="s">
        <v>1537</v>
      </c>
      <c r="D288" s="38" t="s">
        <v>1533</v>
      </c>
      <c r="E288" t="s">
        <v>1042</v>
      </c>
    </row>
    <row r="289" spans="1:5" ht="28.8" x14ac:dyDescent="0.3">
      <c r="A289" t="s">
        <v>698</v>
      </c>
      <c r="B289" s="37" t="s">
        <v>700</v>
      </c>
      <c r="C289" t="s">
        <v>1538</v>
      </c>
      <c r="D289" s="38" t="s">
        <v>1535</v>
      </c>
      <c r="E289" t="s">
        <v>1042</v>
      </c>
    </row>
    <row r="290" spans="1:5" ht="57.6" x14ac:dyDescent="0.3">
      <c r="A290" t="s">
        <v>706</v>
      </c>
      <c r="B290" s="37" t="s">
        <v>707</v>
      </c>
      <c r="C290" t="s">
        <v>1539</v>
      </c>
      <c r="D290" s="38" t="s">
        <v>1540</v>
      </c>
      <c r="E290" t="s">
        <v>1042</v>
      </c>
    </row>
    <row r="291" spans="1:5" ht="57.6" x14ac:dyDescent="0.3">
      <c r="A291" t="s">
        <v>706</v>
      </c>
      <c r="B291" s="37" t="s">
        <v>707</v>
      </c>
      <c r="C291" t="s">
        <v>1541</v>
      </c>
      <c r="D291" s="38" t="s">
        <v>1542</v>
      </c>
      <c r="E291" t="s">
        <v>1042</v>
      </c>
    </row>
    <row r="292" spans="1:5" ht="57.6" x14ac:dyDescent="0.3">
      <c r="A292" t="s">
        <v>706</v>
      </c>
      <c r="B292" s="37" t="s">
        <v>707</v>
      </c>
      <c r="C292" t="s">
        <v>1543</v>
      </c>
      <c r="D292" s="38" t="s">
        <v>1544</v>
      </c>
      <c r="E292" t="s">
        <v>1042</v>
      </c>
    </row>
    <row r="293" spans="1:5" ht="57.6" x14ac:dyDescent="0.3">
      <c r="A293" t="s">
        <v>706</v>
      </c>
      <c r="B293" s="37" t="s">
        <v>707</v>
      </c>
      <c r="C293" t="s">
        <v>1545</v>
      </c>
      <c r="D293" s="38" t="s">
        <v>1546</v>
      </c>
      <c r="E293" t="s">
        <v>1051</v>
      </c>
    </row>
    <row r="294" spans="1:5" ht="57.6" x14ac:dyDescent="0.3">
      <c r="A294" t="s">
        <v>706</v>
      </c>
      <c r="B294" s="37" t="s">
        <v>707</v>
      </c>
      <c r="C294" t="s">
        <v>1547</v>
      </c>
      <c r="D294" s="38" t="s">
        <v>1548</v>
      </c>
      <c r="E294" t="s">
        <v>1042</v>
      </c>
    </row>
    <row r="295" spans="1:5" ht="43.2" x14ac:dyDescent="0.3">
      <c r="A295" t="s">
        <v>714</v>
      </c>
      <c r="B295" s="37" t="s">
        <v>715</v>
      </c>
      <c r="C295" t="s">
        <v>1549</v>
      </c>
      <c r="D295" s="38" t="s">
        <v>1550</v>
      </c>
      <c r="E295" t="s">
        <v>1051</v>
      </c>
    </row>
    <row r="296" spans="1:5" ht="28.8" x14ac:dyDescent="0.3">
      <c r="A296" t="s">
        <v>722</v>
      </c>
      <c r="B296" s="37" t="s">
        <v>723</v>
      </c>
      <c r="C296" t="s">
        <v>1551</v>
      </c>
      <c r="D296" s="38" t="s">
        <v>1552</v>
      </c>
      <c r="E296" t="s">
        <v>1042</v>
      </c>
    </row>
    <row r="297" spans="1:5" ht="28.8" x14ac:dyDescent="0.3">
      <c r="A297" t="s">
        <v>722</v>
      </c>
      <c r="B297" s="37" t="s">
        <v>723</v>
      </c>
      <c r="C297" t="s">
        <v>1553</v>
      </c>
      <c r="D297" s="38" t="s">
        <v>1554</v>
      </c>
      <c r="E297" t="s">
        <v>1042</v>
      </c>
    </row>
    <row r="298" spans="1:5" ht="28.8" x14ac:dyDescent="0.3">
      <c r="A298" t="s">
        <v>722</v>
      </c>
      <c r="B298" s="37" t="s">
        <v>723</v>
      </c>
      <c r="C298" t="s">
        <v>1555</v>
      </c>
      <c r="D298" s="38" t="s">
        <v>1556</v>
      </c>
      <c r="E298" t="s">
        <v>1042</v>
      </c>
    </row>
    <row r="299" spans="1:5" ht="28.8" x14ac:dyDescent="0.3">
      <c r="A299" t="s">
        <v>722</v>
      </c>
      <c r="B299" s="37" t="s">
        <v>723</v>
      </c>
      <c r="C299" t="s">
        <v>1557</v>
      </c>
      <c r="D299" s="38" t="s">
        <v>1558</v>
      </c>
      <c r="E299" t="s">
        <v>1061</v>
      </c>
    </row>
    <row r="300" spans="1:5" ht="28.8" x14ac:dyDescent="0.3">
      <c r="A300" t="s">
        <v>722</v>
      </c>
      <c r="B300" s="37" t="s">
        <v>723</v>
      </c>
      <c r="C300" t="s">
        <v>1559</v>
      </c>
      <c r="D300" s="38" t="s">
        <v>1560</v>
      </c>
      <c r="E300" t="s">
        <v>1042</v>
      </c>
    </row>
    <row r="301" spans="1:5" ht="28.8" x14ac:dyDescent="0.3">
      <c r="A301" t="s">
        <v>722</v>
      </c>
      <c r="B301" s="37" t="s">
        <v>723</v>
      </c>
      <c r="C301" t="s">
        <v>1561</v>
      </c>
      <c r="D301" s="38" t="s">
        <v>1562</v>
      </c>
      <c r="E301" t="s">
        <v>1042</v>
      </c>
    </row>
    <row r="302" spans="1:5" ht="28.8" x14ac:dyDescent="0.3">
      <c r="A302" t="s">
        <v>722</v>
      </c>
      <c r="B302" s="37" t="s">
        <v>723</v>
      </c>
      <c r="C302" t="s">
        <v>1563</v>
      </c>
      <c r="D302" s="38" t="s">
        <v>1564</v>
      </c>
      <c r="E302" t="s">
        <v>1042</v>
      </c>
    </row>
    <row r="303" spans="1:5" ht="43.2" x14ac:dyDescent="0.3">
      <c r="A303" t="s">
        <v>729</v>
      </c>
      <c r="B303" s="37" t="s">
        <v>730</v>
      </c>
      <c r="C303" t="s">
        <v>1565</v>
      </c>
      <c r="D303" s="38" t="s">
        <v>1566</v>
      </c>
      <c r="E303" t="s">
        <v>1042</v>
      </c>
    </row>
    <row r="304" spans="1:5" ht="43.2" x14ac:dyDescent="0.3">
      <c r="A304" t="s">
        <v>729</v>
      </c>
      <c r="B304" s="37" t="s">
        <v>730</v>
      </c>
      <c r="C304" t="s">
        <v>1567</v>
      </c>
      <c r="D304" s="38" t="s">
        <v>1568</v>
      </c>
      <c r="E304" t="s">
        <v>1042</v>
      </c>
    </row>
    <row r="305" spans="1:5" ht="43.2" x14ac:dyDescent="0.3">
      <c r="A305" t="s">
        <v>729</v>
      </c>
      <c r="B305" s="37" t="s">
        <v>730</v>
      </c>
      <c r="C305" t="s">
        <v>1569</v>
      </c>
      <c r="D305" s="38" t="s">
        <v>1570</v>
      </c>
      <c r="E305" t="s">
        <v>1042</v>
      </c>
    </row>
    <row r="306" spans="1:5" ht="43.2" x14ac:dyDescent="0.3">
      <c r="A306" t="s">
        <v>729</v>
      </c>
      <c r="B306" s="37" t="s">
        <v>730</v>
      </c>
      <c r="C306" t="s">
        <v>1571</v>
      </c>
      <c r="D306" s="38" t="s">
        <v>1572</v>
      </c>
      <c r="E306" t="s">
        <v>1061</v>
      </c>
    </row>
    <row r="307" spans="1:5" ht="43.2" x14ac:dyDescent="0.3">
      <c r="A307" t="s">
        <v>737</v>
      </c>
      <c r="B307" s="37" t="s">
        <v>739</v>
      </c>
      <c r="C307" t="s">
        <v>1573</v>
      </c>
      <c r="D307" s="38" t="s">
        <v>1574</v>
      </c>
      <c r="E307" t="s">
        <v>1061</v>
      </c>
    </row>
    <row r="308" spans="1:5" ht="43.2" x14ac:dyDescent="0.3">
      <c r="A308" t="s">
        <v>737</v>
      </c>
      <c r="B308" s="37" t="s">
        <v>739</v>
      </c>
      <c r="C308" t="s">
        <v>1575</v>
      </c>
      <c r="D308" s="38" t="s">
        <v>1576</v>
      </c>
      <c r="E308" t="s">
        <v>1042</v>
      </c>
    </row>
    <row r="309" spans="1:5" ht="43.2" x14ac:dyDescent="0.3">
      <c r="A309" t="s">
        <v>745</v>
      </c>
      <c r="B309" s="37" t="s">
        <v>747</v>
      </c>
      <c r="C309" t="s">
        <v>1577</v>
      </c>
      <c r="D309" s="38" t="s">
        <v>1574</v>
      </c>
      <c r="E309" t="s">
        <v>1042</v>
      </c>
    </row>
    <row r="310" spans="1:5" ht="43.2" x14ac:dyDescent="0.3">
      <c r="A310" t="s">
        <v>745</v>
      </c>
      <c r="B310" s="37" t="s">
        <v>747</v>
      </c>
      <c r="C310" t="s">
        <v>1578</v>
      </c>
      <c r="D310" s="38" t="s">
        <v>1570</v>
      </c>
      <c r="E310" t="s">
        <v>1042</v>
      </c>
    </row>
    <row r="311" spans="1:5" ht="43.2" x14ac:dyDescent="0.3">
      <c r="A311" t="s">
        <v>745</v>
      </c>
      <c r="B311" s="37" t="s">
        <v>747</v>
      </c>
      <c r="C311" t="s">
        <v>1579</v>
      </c>
      <c r="D311" s="38" t="s">
        <v>1576</v>
      </c>
      <c r="E311" t="s">
        <v>1061</v>
      </c>
    </row>
    <row r="312" spans="1:5" ht="72" x14ac:dyDescent="0.3">
      <c r="A312" t="s">
        <v>753</v>
      </c>
      <c r="B312" s="37" t="s">
        <v>754</v>
      </c>
      <c r="C312" t="s">
        <v>1580</v>
      </c>
      <c r="D312" s="38" t="s">
        <v>1581</v>
      </c>
      <c r="E312" t="s">
        <v>1061</v>
      </c>
    </row>
    <row r="313" spans="1:5" ht="72" x14ac:dyDescent="0.3">
      <c r="A313" t="s">
        <v>753</v>
      </c>
      <c r="B313" s="37" t="s">
        <v>754</v>
      </c>
      <c r="C313" t="s">
        <v>1582</v>
      </c>
      <c r="D313" s="38" t="s">
        <v>1583</v>
      </c>
      <c r="E313" t="s">
        <v>1042</v>
      </c>
    </row>
    <row r="314" spans="1:5" ht="72" x14ac:dyDescent="0.3">
      <c r="A314" t="s">
        <v>753</v>
      </c>
      <c r="B314" s="37" t="s">
        <v>754</v>
      </c>
      <c r="C314" t="s">
        <v>1584</v>
      </c>
      <c r="D314" s="38" t="s">
        <v>1585</v>
      </c>
      <c r="E314" t="s">
        <v>1042</v>
      </c>
    </row>
    <row r="315" spans="1:5" ht="72" x14ac:dyDescent="0.3">
      <c r="A315" t="s">
        <v>753</v>
      </c>
      <c r="B315" s="37" t="s">
        <v>754</v>
      </c>
      <c r="C315" t="s">
        <v>1586</v>
      </c>
      <c r="D315" s="38" t="s">
        <v>1587</v>
      </c>
      <c r="E315" t="s">
        <v>1042</v>
      </c>
    </row>
    <row r="316" spans="1:5" ht="72" x14ac:dyDescent="0.3">
      <c r="A316" t="s">
        <v>753</v>
      </c>
      <c r="B316" s="37" t="s">
        <v>754</v>
      </c>
      <c r="C316" t="s">
        <v>1588</v>
      </c>
      <c r="D316" s="38" t="s">
        <v>1589</v>
      </c>
      <c r="E316" t="s">
        <v>1042</v>
      </c>
    </row>
    <row r="317" spans="1:5" ht="43.2" x14ac:dyDescent="0.3">
      <c r="A317" t="s">
        <v>760</v>
      </c>
      <c r="B317" s="37" t="s">
        <v>762</v>
      </c>
      <c r="C317" t="s">
        <v>1590</v>
      </c>
      <c r="D317" s="39" t="s">
        <v>1591</v>
      </c>
      <c r="E317" t="s">
        <v>1061</v>
      </c>
    </row>
    <row r="318" spans="1:5" ht="28.8" x14ac:dyDescent="0.3">
      <c r="A318" t="s">
        <v>770</v>
      </c>
      <c r="B318" s="37" t="s">
        <v>771</v>
      </c>
      <c r="C318" t="s">
        <v>1592</v>
      </c>
      <c r="D318" s="39" t="s">
        <v>1566</v>
      </c>
      <c r="E318" t="s">
        <v>1042</v>
      </c>
    </row>
    <row r="319" spans="1:5" ht="28.8" x14ac:dyDescent="0.3">
      <c r="A319" t="s">
        <v>770</v>
      </c>
      <c r="B319" s="37" t="s">
        <v>771</v>
      </c>
      <c r="C319" t="s">
        <v>1593</v>
      </c>
      <c r="D319" s="39" t="s">
        <v>1594</v>
      </c>
      <c r="E319" t="s">
        <v>1061</v>
      </c>
    </row>
    <row r="320" spans="1:5" ht="28.8" x14ac:dyDescent="0.3">
      <c r="A320" t="s">
        <v>770</v>
      </c>
      <c r="B320" s="37" t="s">
        <v>771</v>
      </c>
      <c r="C320" t="s">
        <v>1595</v>
      </c>
      <c r="D320" s="39" t="s">
        <v>1596</v>
      </c>
      <c r="E320" t="s">
        <v>1042</v>
      </c>
    </row>
    <row r="321" spans="1:5" ht="28.8" x14ac:dyDescent="0.3">
      <c r="A321" t="s">
        <v>778</v>
      </c>
      <c r="B321" s="37" t="s">
        <v>779</v>
      </c>
      <c r="C321" t="s">
        <v>1597</v>
      </c>
      <c r="D321" s="38" t="s">
        <v>1598</v>
      </c>
      <c r="E321" t="s">
        <v>1061</v>
      </c>
    </row>
    <row r="322" spans="1:5" ht="28.8" x14ac:dyDescent="0.3">
      <c r="A322" t="s">
        <v>785</v>
      </c>
      <c r="B322" s="37" t="s">
        <v>786</v>
      </c>
      <c r="C322" t="s">
        <v>1599</v>
      </c>
      <c r="D322" s="39" t="s">
        <v>1600</v>
      </c>
      <c r="E322" t="s">
        <v>1042</v>
      </c>
    </row>
    <row r="323" spans="1:5" ht="28.8" x14ac:dyDescent="0.3">
      <c r="A323" t="s">
        <v>785</v>
      </c>
      <c r="B323" s="37" t="s">
        <v>786</v>
      </c>
      <c r="C323" t="s">
        <v>1601</v>
      </c>
      <c r="D323" s="39" t="s">
        <v>1602</v>
      </c>
      <c r="E323" t="s">
        <v>1042</v>
      </c>
    </row>
    <row r="324" spans="1:5" ht="28.8" x14ac:dyDescent="0.3">
      <c r="A324" t="s">
        <v>785</v>
      </c>
      <c r="B324" s="37" t="s">
        <v>786</v>
      </c>
      <c r="C324" t="s">
        <v>1603</v>
      </c>
      <c r="D324" s="39" t="s">
        <v>1596</v>
      </c>
      <c r="E324" t="s">
        <v>1042</v>
      </c>
    </row>
    <row r="325" spans="1:5" ht="28.8" x14ac:dyDescent="0.3">
      <c r="A325" t="s">
        <v>785</v>
      </c>
      <c r="B325" s="37" t="s">
        <v>786</v>
      </c>
      <c r="C325" t="s">
        <v>1604</v>
      </c>
      <c r="D325" s="39" t="s">
        <v>1605</v>
      </c>
      <c r="E325" t="s">
        <v>1042</v>
      </c>
    </row>
    <row r="326" spans="1:5" ht="28.8" x14ac:dyDescent="0.3">
      <c r="A326" t="s">
        <v>785</v>
      </c>
      <c r="B326" s="37" t="s">
        <v>786</v>
      </c>
      <c r="C326" t="s">
        <v>1606</v>
      </c>
      <c r="D326" s="39" t="s">
        <v>1607</v>
      </c>
      <c r="E326" t="s">
        <v>1061</v>
      </c>
    </row>
    <row r="327" spans="1:5" ht="43.2" x14ac:dyDescent="0.3">
      <c r="A327" t="s">
        <v>792</v>
      </c>
      <c r="B327" s="37" t="s">
        <v>794</v>
      </c>
      <c r="C327" t="s">
        <v>1608</v>
      </c>
      <c r="D327" s="38" t="s">
        <v>1581</v>
      </c>
      <c r="E327" t="s">
        <v>1051</v>
      </c>
    </row>
    <row r="328" spans="1:5" ht="28.8" x14ac:dyDescent="0.3">
      <c r="A328" t="s">
        <v>800</v>
      </c>
      <c r="B328" s="37" t="s">
        <v>801</v>
      </c>
      <c r="C328" t="s">
        <v>1609</v>
      </c>
      <c r="D328" s="38" t="s">
        <v>1596</v>
      </c>
      <c r="E328" t="s">
        <v>1051</v>
      </c>
    </row>
    <row r="329" spans="1:5" ht="43.2" x14ac:dyDescent="0.3">
      <c r="A329" t="s">
        <v>808</v>
      </c>
      <c r="B329" s="37" t="s">
        <v>810</v>
      </c>
      <c r="C329" t="s">
        <v>1610</v>
      </c>
      <c r="D329" s="38" t="s">
        <v>1611</v>
      </c>
      <c r="E329" t="s">
        <v>1051</v>
      </c>
    </row>
    <row r="330" spans="1:5" ht="43.2" x14ac:dyDescent="0.3">
      <c r="A330" t="s">
        <v>808</v>
      </c>
      <c r="B330" s="37" t="s">
        <v>810</v>
      </c>
      <c r="C330" t="s">
        <v>1612</v>
      </c>
      <c r="D330" s="38" t="s">
        <v>1613</v>
      </c>
      <c r="E330" t="s">
        <v>1042</v>
      </c>
    </row>
    <row r="331" spans="1:5" ht="28.8" x14ac:dyDescent="0.3">
      <c r="A331" t="s">
        <v>816</v>
      </c>
      <c r="B331" s="37" t="s">
        <v>817</v>
      </c>
      <c r="C331" t="s">
        <v>1614</v>
      </c>
      <c r="D331" s="38" t="s">
        <v>1615</v>
      </c>
      <c r="E331" t="s">
        <v>1051</v>
      </c>
    </row>
    <row r="332" spans="1:5" ht="28.8" x14ac:dyDescent="0.3">
      <c r="A332" t="s">
        <v>816</v>
      </c>
      <c r="B332" s="37" t="s">
        <v>817</v>
      </c>
      <c r="C332" t="s">
        <v>1616</v>
      </c>
      <c r="D332" s="38" t="s">
        <v>1602</v>
      </c>
      <c r="E332" t="s">
        <v>1042</v>
      </c>
    </row>
    <row r="333" spans="1:5" ht="43.2" x14ac:dyDescent="0.3">
      <c r="A333" t="s">
        <v>824</v>
      </c>
      <c r="B333" s="37" t="s">
        <v>825</v>
      </c>
      <c r="C333" t="s">
        <v>1617</v>
      </c>
      <c r="D333" s="38" t="s">
        <v>1570</v>
      </c>
      <c r="E333" t="s">
        <v>1051</v>
      </c>
    </row>
    <row r="334" spans="1:5" ht="43.2" x14ac:dyDescent="0.3">
      <c r="A334" t="s">
        <v>832</v>
      </c>
      <c r="B334" s="37" t="s">
        <v>833</v>
      </c>
      <c r="C334" t="s">
        <v>1618</v>
      </c>
      <c r="D334" s="39" t="s">
        <v>1619</v>
      </c>
      <c r="E334" t="s">
        <v>1042</v>
      </c>
    </row>
    <row r="335" spans="1:5" ht="43.2" x14ac:dyDescent="0.3">
      <c r="A335" t="s">
        <v>832</v>
      </c>
      <c r="B335" s="37" t="s">
        <v>833</v>
      </c>
      <c r="C335" t="s">
        <v>1620</v>
      </c>
      <c r="D335" s="39" t="s">
        <v>1611</v>
      </c>
      <c r="E335" t="s">
        <v>1621</v>
      </c>
    </row>
    <row r="336" spans="1:5" ht="43.2" x14ac:dyDescent="0.3">
      <c r="A336" t="s">
        <v>832</v>
      </c>
      <c r="B336" s="37" t="s">
        <v>833</v>
      </c>
      <c r="C336" t="s">
        <v>1622</v>
      </c>
      <c r="D336" s="39" t="s">
        <v>1623</v>
      </c>
      <c r="E336" t="s">
        <v>1042</v>
      </c>
    </row>
    <row r="337" spans="1:5" ht="43.2" x14ac:dyDescent="0.3">
      <c r="A337" t="s">
        <v>832</v>
      </c>
      <c r="B337" s="37" t="s">
        <v>833</v>
      </c>
      <c r="C337" t="s">
        <v>1624</v>
      </c>
      <c r="D337" s="39" t="s">
        <v>1574</v>
      </c>
      <c r="E337" t="s">
        <v>1042</v>
      </c>
    </row>
    <row r="338" spans="1:5" ht="28.8" x14ac:dyDescent="0.3">
      <c r="A338" t="s">
        <v>839</v>
      </c>
      <c r="B338" s="37" t="s">
        <v>1625</v>
      </c>
      <c r="C338" t="s">
        <v>1626</v>
      </c>
      <c r="D338" s="38" t="s">
        <v>1627</v>
      </c>
      <c r="E338" t="s">
        <v>1061</v>
      </c>
    </row>
    <row r="339" spans="1:5" ht="28.8" x14ac:dyDescent="0.3">
      <c r="A339" t="s">
        <v>848</v>
      </c>
      <c r="B339" s="37" t="s">
        <v>849</v>
      </c>
      <c r="C339" t="s">
        <v>1628</v>
      </c>
      <c r="D339" s="38" t="s">
        <v>1629</v>
      </c>
      <c r="E339" t="s">
        <v>1051</v>
      </c>
    </row>
    <row r="340" spans="1:5" ht="28.8" x14ac:dyDescent="0.3">
      <c r="A340" t="s">
        <v>848</v>
      </c>
      <c r="B340" s="37" t="s">
        <v>849</v>
      </c>
      <c r="C340" t="s">
        <v>1630</v>
      </c>
      <c r="D340" s="38" t="s">
        <v>1570</v>
      </c>
      <c r="E340" t="s">
        <v>1042</v>
      </c>
    </row>
    <row r="341" spans="1:5" ht="28.8" x14ac:dyDescent="0.3">
      <c r="A341" t="s">
        <v>848</v>
      </c>
      <c r="B341" s="37" t="s">
        <v>849</v>
      </c>
      <c r="C341" t="s">
        <v>1631</v>
      </c>
      <c r="D341" s="38" t="s">
        <v>1632</v>
      </c>
      <c r="E341" t="s">
        <v>1042</v>
      </c>
    </row>
    <row r="342" spans="1:5" ht="57.6" x14ac:dyDescent="0.3">
      <c r="A342" t="s">
        <v>856</v>
      </c>
      <c r="B342" s="37" t="s">
        <v>857</v>
      </c>
      <c r="C342" t="s">
        <v>1633</v>
      </c>
      <c r="D342" s="38" t="s">
        <v>1634</v>
      </c>
      <c r="E342" t="s">
        <v>1061</v>
      </c>
    </row>
    <row r="343" spans="1:5" ht="72" x14ac:dyDescent="0.3">
      <c r="A343" t="s">
        <v>863</v>
      </c>
      <c r="B343" s="37" t="s">
        <v>864</v>
      </c>
      <c r="C343" t="s">
        <v>1635</v>
      </c>
      <c r="D343" s="39" t="s">
        <v>1636</v>
      </c>
      <c r="E343" t="s">
        <v>1042</v>
      </c>
    </row>
    <row r="344" spans="1:5" ht="72" x14ac:dyDescent="0.3">
      <c r="A344" t="s">
        <v>863</v>
      </c>
      <c r="B344" s="37" t="s">
        <v>864</v>
      </c>
      <c r="C344" t="s">
        <v>1637</v>
      </c>
      <c r="D344" s="39" t="s">
        <v>1596</v>
      </c>
      <c r="E344" t="s">
        <v>1042</v>
      </c>
    </row>
    <row r="345" spans="1:5" ht="72" x14ac:dyDescent="0.3">
      <c r="A345" t="s">
        <v>863</v>
      </c>
      <c r="B345" s="37" t="s">
        <v>864</v>
      </c>
      <c r="C345" t="s">
        <v>1638</v>
      </c>
      <c r="D345" s="39" t="s">
        <v>1639</v>
      </c>
      <c r="E345" t="s">
        <v>1061</v>
      </c>
    </row>
    <row r="346" spans="1:5" ht="72" x14ac:dyDescent="0.3">
      <c r="A346" t="s">
        <v>863</v>
      </c>
      <c r="B346" s="37" t="s">
        <v>864</v>
      </c>
      <c r="C346" t="s">
        <v>1640</v>
      </c>
      <c r="D346" s="39" t="s">
        <v>1641</v>
      </c>
      <c r="E346" t="s">
        <v>1042</v>
      </c>
    </row>
    <row r="347" spans="1:5" ht="28.8" x14ac:dyDescent="0.3">
      <c r="A347" t="s">
        <v>872</v>
      </c>
      <c r="B347" s="37" t="s">
        <v>873</v>
      </c>
      <c r="C347" t="s">
        <v>1642</v>
      </c>
      <c r="D347" s="39" t="s">
        <v>1643</v>
      </c>
      <c r="E347" t="s">
        <v>1042</v>
      </c>
    </row>
    <row r="348" spans="1:5" ht="28.8" x14ac:dyDescent="0.3">
      <c r="A348" t="s">
        <v>872</v>
      </c>
      <c r="B348" s="37" t="s">
        <v>873</v>
      </c>
      <c r="C348" t="s">
        <v>1644</v>
      </c>
      <c r="D348" s="39" t="s">
        <v>1596</v>
      </c>
      <c r="E348" t="s">
        <v>1061</v>
      </c>
    </row>
    <row r="349" spans="1:5" ht="28.8" x14ac:dyDescent="0.3">
      <c r="A349" t="s">
        <v>872</v>
      </c>
      <c r="B349" s="37" t="s">
        <v>873</v>
      </c>
      <c r="C349" t="s">
        <v>1645</v>
      </c>
      <c r="D349" s="39" t="s">
        <v>1639</v>
      </c>
      <c r="E349" t="s">
        <v>1042</v>
      </c>
    </row>
    <row r="350" spans="1:5" ht="28.8" x14ac:dyDescent="0.3">
      <c r="A350" t="s">
        <v>872</v>
      </c>
      <c r="B350" s="37" t="s">
        <v>873</v>
      </c>
      <c r="C350" t="s">
        <v>1646</v>
      </c>
      <c r="D350" s="39" t="s">
        <v>1647</v>
      </c>
      <c r="E350" t="s">
        <v>1042</v>
      </c>
    </row>
    <row r="351" spans="1:5" ht="28.8" x14ac:dyDescent="0.3">
      <c r="A351" t="s">
        <v>872</v>
      </c>
      <c r="B351" s="37" t="s">
        <v>873</v>
      </c>
      <c r="C351" t="s">
        <v>1648</v>
      </c>
      <c r="D351" s="39" t="s">
        <v>1649</v>
      </c>
      <c r="E351" t="s">
        <v>1042</v>
      </c>
    </row>
    <row r="352" spans="1:5" ht="28.8" x14ac:dyDescent="0.3">
      <c r="A352" t="s">
        <v>872</v>
      </c>
      <c r="B352" s="37" t="s">
        <v>873</v>
      </c>
      <c r="C352" t="s">
        <v>1650</v>
      </c>
      <c r="D352" s="39" t="s">
        <v>1651</v>
      </c>
      <c r="E352" t="s">
        <v>1042</v>
      </c>
    </row>
    <row r="353" spans="1:5" ht="86.4" x14ac:dyDescent="0.3">
      <c r="A353" t="s">
        <v>879</v>
      </c>
      <c r="B353" s="37" t="s">
        <v>880</v>
      </c>
      <c r="C353" t="s">
        <v>1652</v>
      </c>
      <c r="D353" s="39" t="s">
        <v>1653</v>
      </c>
      <c r="E353" t="s">
        <v>1061</v>
      </c>
    </row>
    <row r="354" spans="1:5" ht="86.4" x14ac:dyDescent="0.3">
      <c r="A354" t="s">
        <v>879</v>
      </c>
      <c r="B354" s="37" t="s">
        <v>880</v>
      </c>
      <c r="C354" t="s">
        <v>1654</v>
      </c>
      <c r="D354" s="39" t="s">
        <v>1655</v>
      </c>
      <c r="E354" t="s">
        <v>1042</v>
      </c>
    </row>
    <row r="355" spans="1:5" ht="86.4" x14ac:dyDescent="0.3">
      <c r="A355" t="s">
        <v>879</v>
      </c>
      <c r="B355" s="37" t="s">
        <v>880</v>
      </c>
      <c r="C355" t="s">
        <v>1656</v>
      </c>
      <c r="D355" s="39" t="s">
        <v>1596</v>
      </c>
      <c r="E355" t="s">
        <v>1042</v>
      </c>
    </row>
    <row r="356" spans="1:5" ht="86.4" x14ac:dyDescent="0.3">
      <c r="A356" t="s">
        <v>879</v>
      </c>
      <c r="B356" s="37" t="s">
        <v>880</v>
      </c>
      <c r="C356" t="s">
        <v>1657</v>
      </c>
      <c r="D356" s="39" t="s">
        <v>1658</v>
      </c>
      <c r="E356" t="s">
        <v>1042</v>
      </c>
    </row>
    <row r="357" spans="1:5" ht="86.4" x14ac:dyDescent="0.3">
      <c r="A357" t="s">
        <v>879</v>
      </c>
      <c r="B357" s="37" t="s">
        <v>880</v>
      </c>
      <c r="C357" t="s">
        <v>1659</v>
      </c>
      <c r="D357" s="39" t="s">
        <v>1660</v>
      </c>
      <c r="E357" t="s">
        <v>1042</v>
      </c>
    </row>
    <row r="358" spans="1:5" ht="43.2" x14ac:dyDescent="0.3">
      <c r="A358" s="40" t="s">
        <v>887</v>
      </c>
      <c r="B358" s="37" t="s">
        <v>888</v>
      </c>
      <c r="C358" t="s">
        <v>1661</v>
      </c>
      <c r="D358" s="39" t="s">
        <v>1662</v>
      </c>
      <c r="E358" t="s">
        <v>1061</v>
      </c>
    </row>
    <row r="359" spans="1:5" ht="43.2" x14ac:dyDescent="0.3">
      <c r="A359" s="40" t="s">
        <v>887</v>
      </c>
      <c r="B359" s="37" t="s">
        <v>888</v>
      </c>
      <c r="C359" t="s">
        <v>1663</v>
      </c>
      <c r="D359" s="39" t="s">
        <v>1664</v>
      </c>
      <c r="E359" t="s">
        <v>1042</v>
      </c>
    </row>
    <row r="360" spans="1:5" ht="43.2" x14ac:dyDescent="0.3">
      <c r="A360" s="40" t="s">
        <v>895</v>
      </c>
      <c r="B360" s="37" t="s">
        <v>896</v>
      </c>
      <c r="C360" t="s">
        <v>1665</v>
      </c>
      <c r="D360" s="39" t="s">
        <v>1666</v>
      </c>
      <c r="E360" t="s">
        <v>1667</v>
      </c>
    </row>
    <row r="361" spans="1:5" ht="43.2" x14ac:dyDescent="0.3">
      <c r="A361" s="40" t="s">
        <v>895</v>
      </c>
      <c r="B361" s="37" t="s">
        <v>896</v>
      </c>
      <c r="C361" t="s">
        <v>1668</v>
      </c>
      <c r="D361" s="39" t="s">
        <v>1669</v>
      </c>
      <c r="E361" t="s">
        <v>1042</v>
      </c>
    </row>
    <row r="362" spans="1:5" ht="43.2" x14ac:dyDescent="0.3">
      <c r="A362" s="40" t="s">
        <v>895</v>
      </c>
      <c r="B362" s="37" t="s">
        <v>896</v>
      </c>
      <c r="C362" t="s">
        <v>1670</v>
      </c>
      <c r="D362" s="39" t="s">
        <v>1671</v>
      </c>
      <c r="E362" t="s">
        <v>1042</v>
      </c>
    </row>
    <row r="363" spans="1:5" ht="43.2" x14ac:dyDescent="0.3">
      <c r="A363" s="40" t="s">
        <v>895</v>
      </c>
      <c r="B363" s="37" t="s">
        <v>896</v>
      </c>
      <c r="C363" t="s">
        <v>1672</v>
      </c>
      <c r="D363" s="39" t="s">
        <v>1673</v>
      </c>
      <c r="E363" t="s">
        <v>1042</v>
      </c>
    </row>
    <row r="364" spans="1:5" ht="43.2" x14ac:dyDescent="0.3">
      <c r="A364" s="40" t="s">
        <v>895</v>
      </c>
      <c r="B364" s="37" t="s">
        <v>896</v>
      </c>
      <c r="C364" t="s">
        <v>1674</v>
      </c>
      <c r="D364" s="39" t="s">
        <v>1675</v>
      </c>
      <c r="E364" t="s">
        <v>1042</v>
      </c>
    </row>
    <row r="365" spans="1:5" ht="43.2" x14ac:dyDescent="0.3">
      <c r="A365" s="40" t="s">
        <v>895</v>
      </c>
      <c r="B365" s="37" t="s">
        <v>896</v>
      </c>
      <c r="C365" t="s">
        <v>1676</v>
      </c>
      <c r="D365" s="39" t="s">
        <v>1677</v>
      </c>
      <c r="E365" t="s">
        <v>1042</v>
      </c>
    </row>
    <row r="366" spans="1:5" ht="43.2" x14ac:dyDescent="0.3">
      <c r="A366" s="40" t="s">
        <v>895</v>
      </c>
      <c r="B366" s="37" t="s">
        <v>896</v>
      </c>
      <c r="C366" t="s">
        <v>1678</v>
      </c>
      <c r="D366" s="39" t="s">
        <v>1629</v>
      </c>
      <c r="E366" t="s">
        <v>1042</v>
      </c>
    </row>
    <row r="367" spans="1:5" ht="28.8" x14ac:dyDescent="0.3">
      <c r="A367" s="40" t="s">
        <v>902</v>
      </c>
      <c r="B367" s="37" t="s">
        <v>903</v>
      </c>
      <c r="C367" t="s">
        <v>1679</v>
      </c>
      <c r="D367" s="39" t="s">
        <v>1680</v>
      </c>
      <c r="E367" t="s">
        <v>1667</v>
      </c>
    </row>
    <row r="368" spans="1:5" ht="28.8" x14ac:dyDescent="0.3">
      <c r="A368" t="s">
        <v>902</v>
      </c>
      <c r="B368" s="37" t="s">
        <v>903</v>
      </c>
      <c r="C368" t="s">
        <v>1681</v>
      </c>
      <c r="D368" s="39" t="s">
        <v>1682</v>
      </c>
      <c r="E368" t="s">
        <v>1042</v>
      </c>
    </row>
    <row r="369" spans="1:5" ht="43.2" x14ac:dyDescent="0.3">
      <c r="A369" t="s">
        <v>932</v>
      </c>
      <c r="B369" s="37" t="s">
        <v>933</v>
      </c>
      <c r="C369" t="s">
        <v>1683</v>
      </c>
      <c r="D369" s="27" t="s">
        <v>1684</v>
      </c>
      <c r="E369" t="s">
        <v>1061</v>
      </c>
    </row>
    <row r="370" spans="1:5" ht="43.2" x14ac:dyDescent="0.3">
      <c r="A370" t="s">
        <v>932</v>
      </c>
      <c r="B370" s="37" t="s">
        <v>933</v>
      </c>
      <c r="C370" t="s">
        <v>1685</v>
      </c>
      <c r="D370" s="27" t="s">
        <v>1686</v>
      </c>
      <c r="E370" t="s">
        <v>1042</v>
      </c>
    </row>
    <row r="371" spans="1:5" ht="28.8" x14ac:dyDescent="0.3">
      <c r="A371" s="41" t="s">
        <v>946</v>
      </c>
      <c r="B371" s="37" t="s">
        <v>947</v>
      </c>
      <c r="C371" t="s">
        <v>1687</v>
      </c>
      <c r="D371" s="41" t="s">
        <v>1596</v>
      </c>
      <c r="E371" t="s">
        <v>1042</v>
      </c>
    </row>
    <row r="372" spans="1:5" ht="28.8" x14ac:dyDescent="0.3">
      <c r="A372" t="s">
        <v>946</v>
      </c>
      <c r="B372" s="37" t="s">
        <v>947</v>
      </c>
      <c r="C372" t="s">
        <v>1688</v>
      </c>
      <c r="D372" s="27" t="s">
        <v>1689</v>
      </c>
      <c r="E372" t="s">
        <v>1042</v>
      </c>
    </row>
    <row r="373" spans="1:5" ht="28.8" x14ac:dyDescent="0.3">
      <c r="A373" t="s">
        <v>946</v>
      </c>
      <c r="B373" s="37" t="s">
        <v>947</v>
      </c>
      <c r="C373" t="s">
        <v>1690</v>
      </c>
      <c r="D373" s="27" t="s">
        <v>1691</v>
      </c>
      <c r="E373" t="s">
        <v>1061</v>
      </c>
    </row>
    <row r="374" spans="1:5" ht="43.2" x14ac:dyDescent="0.3">
      <c r="A374" t="s">
        <v>954</v>
      </c>
      <c r="B374" s="37" t="s">
        <v>956</v>
      </c>
      <c r="C374" t="s">
        <v>1692</v>
      </c>
      <c r="D374" s="27" t="s">
        <v>1691</v>
      </c>
      <c r="E374" t="s">
        <v>1061</v>
      </c>
    </row>
    <row r="375" spans="1:5" ht="43.2" x14ac:dyDescent="0.3">
      <c r="A375" t="s">
        <v>924</v>
      </c>
      <c r="B375" s="37" t="s">
        <v>925</v>
      </c>
      <c r="C375" t="s">
        <v>1693</v>
      </c>
      <c r="D375" s="27" t="s">
        <v>1694</v>
      </c>
      <c r="E375" t="s">
        <v>1061</v>
      </c>
    </row>
    <row r="376" spans="1:5" ht="43.2" x14ac:dyDescent="0.3">
      <c r="A376" t="s">
        <v>909</v>
      </c>
      <c r="B376" s="37" t="s">
        <v>910</v>
      </c>
      <c r="C376" t="s">
        <v>1695</v>
      </c>
      <c r="D376" s="27" t="s">
        <v>1696</v>
      </c>
      <c r="E376" t="s">
        <v>1061</v>
      </c>
    </row>
    <row r="377" spans="1:5" ht="28.8" x14ac:dyDescent="0.3">
      <c r="A377" t="s">
        <v>917</v>
      </c>
      <c r="B377" s="37" t="s">
        <v>918</v>
      </c>
      <c r="C377" s="27" t="s">
        <v>1697</v>
      </c>
      <c r="D377" s="27" t="s">
        <v>1684</v>
      </c>
      <c r="E377" t="s">
        <v>1042</v>
      </c>
    </row>
    <row r="378" spans="1:5" ht="28.8" x14ac:dyDescent="0.3">
      <c r="A378" t="s">
        <v>917</v>
      </c>
      <c r="B378" s="37" t="s">
        <v>918</v>
      </c>
      <c r="C378" s="27" t="s">
        <v>1698</v>
      </c>
      <c r="D378" s="27" t="s">
        <v>1596</v>
      </c>
      <c r="E378" t="s">
        <v>1042</v>
      </c>
    </row>
    <row r="379" spans="1:5" ht="28.8" x14ac:dyDescent="0.3">
      <c r="A379" t="s">
        <v>917</v>
      </c>
      <c r="B379" s="37" t="s">
        <v>918</v>
      </c>
      <c r="C379" s="27" t="s">
        <v>1699</v>
      </c>
      <c r="D379" s="27" t="s">
        <v>1682</v>
      </c>
      <c r="E379" t="s">
        <v>1042</v>
      </c>
    </row>
    <row r="380" spans="1:5" ht="28.8" x14ac:dyDescent="0.3">
      <c r="A380" t="s">
        <v>917</v>
      </c>
      <c r="B380" s="37" t="s">
        <v>918</v>
      </c>
      <c r="C380" s="27" t="s">
        <v>1700</v>
      </c>
      <c r="D380" s="27" t="s">
        <v>1686</v>
      </c>
      <c r="E380" t="s">
        <v>1061</v>
      </c>
    </row>
    <row r="381" spans="1:5" ht="57.6" x14ac:dyDescent="0.3">
      <c r="A381" t="s">
        <v>939</v>
      </c>
      <c r="B381" s="37" t="s">
        <v>940</v>
      </c>
      <c r="C381" t="s">
        <v>1701</v>
      </c>
      <c r="D381" s="27" t="s">
        <v>1686</v>
      </c>
      <c r="E381" t="s">
        <v>1061</v>
      </c>
    </row>
    <row r="382" spans="1:5" ht="28.8" x14ac:dyDescent="0.3">
      <c r="A382" s="42" t="s">
        <v>969</v>
      </c>
      <c r="B382" s="37" t="s">
        <v>971</v>
      </c>
      <c r="C382" s="42" t="s">
        <v>1702</v>
      </c>
      <c r="D382" s="27" t="s">
        <v>1703</v>
      </c>
      <c r="E382" t="s">
        <v>1061</v>
      </c>
    </row>
    <row r="383" spans="1:5" ht="28.8" x14ac:dyDescent="0.3">
      <c r="A383" t="s">
        <v>969</v>
      </c>
      <c r="B383" s="37" t="s">
        <v>971</v>
      </c>
      <c r="C383" s="42" t="s">
        <v>1704</v>
      </c>
      <c r="D383" s="27" t="s">
        <v>1705</v>
      </c>
      <c r="E383" t="s">
        <v>1042</v>
      </c>
    </row>
    <row r="384" spans="1:5" ht="28.8" x14ac:dyDescent="0.3">
      <c r="A384" t="s">
        <v>969</v>
      </c>
      <c r="B384" s="37" t="s">
        <v>971</v>
      </c>
      <c r="C384" s="42" t="s">
        <v>1706</v>
      </c>
      <c r="D384" s="27" t="s">
        <v>1707</v>
      </c>
      <c r="E384" t="s">
        <v>1042</v>
      </c>
    </row>
    <row r="385" spans="1:5" ht="72" x14ac:dyDescent="0.3">
      <c r="A385" t="s">
        <v>990</v>
      </c>
      <c r="B385" s="37" t="s">
        <v>992</v>
      </c>
      <c r="C385" t="s">
        <v>1708</v>
      </c>
      <c r="D385" s="27" t="s">
        <v>1709</v>
      </c>
      <c r="E385" t="s">
        <v>1061</v>
      </c>
    </row>
    <row r="386" spans="1:5" ht="28.8" x14ac:dyDescent="0.3">
      <c r="A386" t="s">
        <v>999</v>
      </c>
      <c r="B386" s="37" t="s">
        <v>1000</v>
      </c>
      <c r="C386" t="s">
        <v>1710</v>
      </c>
      <c r="D386" s="27" t="s">
        <v>1711</v>
      </c>
      <c r="E386" t="s">
        <v>1061</v>
      </c>
    </row>
    <row r="387" spans="1:5" ht="28.8" x14ac:dyDescent="0.3">
      <c r="A387" s="37" t="s">
        <v>977</v>
      </c>
      <c r="B387" s="37" t="s">
        <v>978</v>
      </c>
      <c r="C387" s="37" t="s">
        <v>1712</v>
      </c>
      <c r="D387" s="27" t="s">
        <v>1713</v>
      </c>
      <c r="E387" s="37" t="s">
        <v>1061</v>
      </c>
    </row>
    <row r="388" spans="1:5" ht="28.8" x14ac:dyDescent="0.3">
      <c r="A388" s="37" t="s">
        <v>977</v>
      </c>
      <c r="B388" s="37" t="s">
        <v>978</v>
      </c>
      <c r="C388" s="37" t="s">
        <v>1714</v>
      </c>
      <c r="D388" s="27" t="s">
        <v>1715</v>
      </c>
      <c r="E388" t="s">
        <v>1042</v>
      </c>
    </row>
    <row r="389" spans="1:5" ht="43.2" x14ac:dyDescent="0.3">
      <c r="A389" s="37" t="s">
        <v>983</v>
      </c>
      <c r="B389" s="37" t="s">
        <v>984</v>
      </c>
      <c r="C389" s="37" t="s">
        <v>1716</v>
      </c>
      <c r="D389" s="27" t="s">
        <v>1717</v>
      </c>
      <c r="E389" s="37" t="s">
        <v>1042</v>
      </c>
    </row>
    <row r="390" spans="1:5" ht="43.2" x14ac:dyDescent="0.3">
      <c r="A390" s="37" t="s">
        <v>983</v>
      </c>
      <c r="B390" s="37" t="s">
        <v>984</v>
      </c>
      <c r="C390" s="37" t="s">
        <v>1718</v>
      </c>
      <c r="D390" s="27" t="s">
        <v>1719</v>
      </c>
      <c r="E390" s="37" t="s">
        <v>1042</v>
      </c>
    </row>
    <row r="391" spans="1:5" ht="43.2" x14ac:dyDescent="0.3">
      <c r="A391" s="37" t="s">
        <v>983</v>
      </c>
      <c r="B391" s="37" t="s">
        <v>984</v>
      </c>
      <c r="C391" s="37" t="s">
        <v>1720</v>
      </c>
      <c r="D391" s="27" t="s">
        <v>1721</v>
      </c>
      <c r="E391" s="37" t="s">
        <v>1042</v>
      </c>
    </row>
    <row r="392" spans="1:5" ht="43.2" x14ac:dyDescent="0.3">
      <c r="A392" s="37" t="s">
        <v>983</v>
      </c>
      <c r="B392" s="37" t="s">
        <v>984</v>
      </c>
      <c r="C392" s="37" t="s">
        <v>1722</v>
      </c>
      <c r="D392" s="27" t="s">
        <v>1715</v>
      </c>
      <c r="E392" s="37" t="s">
        <v>1061</v>
      </c>
    </row>
    <row r="393" spans="1:5" ht="57.6" x14ac:dyDescent="0.3">
      <c r="A393" s="43" t="s">
        <v>962</v>
      </c>
      <c r="B393" s="37" t="s">
        <v>963</v>
      </c>
      <c r="C393" s="37" t="s">
        <v>1723</v>
      </c>
      <c r="D393" s="27" t="s">
        <v>1715</v>
      </c>
      <c r="E393" s="37" t="s">
        <v>1061</v>
      </c>
    </row>
    <row r="394" spans="1:5" ht="57.6" x14ac:dyDescent="0.3">
      <c r="A394" s="43" t="s">
        <v>962</v>
      </c>
      <c r="B394" s="37" t="s">
        <v>963</v>
      </c>
      <c r="C394" s="37" t="s">
        <v>1723</v>
      </c>
      <c r="D394" s="27" t="s">
        <v>1707</v>
      </c>
      <c r="E394" s="37" t="s">
        <v>1042</v>
      </c>
    </row>
    <row r="395" spans="1:5" ht="43.2" x14ac:dyDescent="0.3">
      <c r="A395" s="37" t="s">
        <v>1007</v>
      </c>
      <c r="B395" s="37" t="s">
        <v>1009</v>
      </c>
      <c r="C395" t="s">
        <v>1724</v>
      </c>
      <c r="D395" s="27" t="s">
        <v>1725</v>
      </c>
      <c r="E395" t="s">
        <v>1061</v>
      </c>
    </row>
    <row r="396" spans="1:5" ht="43.2" x14ac:dyDescent="0.3">
      <c r="A396" t="s">
        <v>1017</v>
      </c>
      <c r="B396" s="37" t="s">
        <v>1018</v>
      </c>
      <c r="C396" t="s">
        <v>1726</v>
      </c>
      <c r="D396" s="27" t="s">
        <v>1727</v>
      </c>
      <c r="E396" t="s">
        <v>1061</v>
      </c>
    </row>
    <row r="397" spans="1:5" ht="43.2" x14ac:dyDescent="0.3">
      <c r="A397" t="s">
        <v>1017</v>
      </c>
      <c r="B397" s="37" t="s">
        <v>1018</v>
      </c>
      <c r="C397" t="s">
        <v>1728</v>
      </c>
      <c r="D397" s="27" t="s">
        <v>1594</v>
      </c>
      <c r="E397" t="s">
        <v>1042</v>
      </c>
    </row>
    <row r="398" spans="1:5" ht="43.2" x14ac:dyDescent="0.3">
      <c r="A398" t="s">
        <v>1026</v>
      </c>
      <c r="B398" s="37" t="s">
        <v>1027</v>
      </c>
      <c r="C398" t="s">
        <v>1729</v>
      </c>
      <c r="D398" s="27" t="s">
        <v>1730</v>
      </c>
      <c r="E398" t="s">
        <v>1061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98742-97F0-49C5-9E66-7A675B4A5A19}">
  <dimension ref="A3:A6"/>
  <sheetViews>
    <sheetView workbookViewId="0">
      <selection activeCell="A7" sqref="A7"/>
    </sheetView>
  </sheetViews>
  <sheetFormatPr baseColWidth="10" defaultRowHeight="14.4" x14ac:dyDescent="0.3"/>
  <sheetData>
    <row r="3" spans="1:1" x14ac:dyDescent="0.3">
      <c r="A3" t="s">
        <v>1731</v>
      </c>
    </row>
    <row r="4" spans="1:1" x14ac:dyDescent="0.3">
      <c r="A4" t="s">
        <v>1738</v>
      </c>
    </row>
    <row r="5" spans="1:1" x14ac:dyDescent="0.3">
      <c r="A5" t="s">
        <v>1741</v>
      </c>
    </row>
    <row r="6" spans="1:1" x14ac:dyDescent="0.3">
      <c r="A6" t="s">
        <v>1742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D185D-4316-48AF-BD8E-255CDB7079DD}">
  <dimension ref="A1:J21"/>
  <sheetViews>
    <sheetView topLeftCell="E1" workbookViewId="0">
      <selection activeCell="I19" sqref="I19"/>
    </sheetView>
  </sheetViews>
  <sheetFormatPr baseColWidth="10" defaultRowHeight="14.4" x14ac:dyDescent="0.3"/>
  <cols>
    <col min="2" max="2" width="0" hidden="1" customWidth="1"/>
    <col min="3" max="3" width="17.109375" bestFit="1" customWidth="1"/>
    <col min="4" max="5" width="45.6640625" customWidth="1"/>
    <col min="6" max="6" width="21.109375" customWidth="1"/>
    <col min="7" max="7" width="28.21875" customWidth="1"/>
    <col min="8" max="8" width="17.21875" bestFit="1" customWidth="1"/>
    <col min="9" max="9" width="17.21875" customWidth="1"/>
    <col min="10" max="10" width="27" customWidth="1"/>
  </cols>
  <sheetData>
    <row r="1" spans="1:10" x14ac:dyDescent="0.3">
      <c r="A1" t="s">
        <v>1951</v>
      </c>
      <c r="B1" t="s">
        <v>1743</v>
      </c>
      <c r="C1" t="s">
        <v>1746</v>
      </c>
      <c r="D1" s="84" t="s">
        <v>1908</v>
      </c>
      <c r="E1" s="84" t="s">
        <v>1959</v>
      </c>
      <c r="F1" s="85" t="s">
        <v>1909</v>
      </c>
      <c r="G1" s="85" t="s">
        <v>1910</v>
      </c>
      <c r="H1" s="84" t="s">
        <v>1911</v>
      </c>
      <c r="I1" s="84" t="s">
        <v>1982</v>
      </c>
      <c r="J1" s="84" t="s">
        <v>1912</v>
      </c>
    </row>
    <row r="2" spans="1:10" x14ac:dyDescent="0.3">
      <c r="A2" s="81">
        <f t="shared" ref="A2:A21" si="0">MAX($B$2:$B$127)</f>
        <v>60</v>
      </c>
      <c r="B2" s="73" cm="1">
        <f t="array" ref="B2">IFERROR(MAX(--_xlfn.TEXTSPLIT(C2,";")),0)</f>
        <v>3</v>
      </c>
      <c r="C2" t="s">
        <v>1952</v>
      </c>
      <c r="D2" s="37" t="s">
        <v>1913</v>
      </c>
      <c r="E2" s="37" t="s">
        <v>37</v>
      </c>
      <c r="F2" s="74" t="s">
        <v>1914</v>
      </c>
      <c r="G2" s="75" t="s">
        <v>1915</v>
      </c>
      <c r="H2" s="76">
        <v>811000000</v>
      </c>
      <c r="I2" s="76" t="s">
        <v>1981</v>
      </c>
      <c r="J2" s="78" t="s">
        <v>1973</v>
      </c>
    </row>
    <row r="3" spans="1:10" x14ac:dyDescent="0.3">
      <c r="A3" s="82">
        <f t="shared" si="0"/>
        <v>60</v>
      </c>
      <c r="B3" s="83" cm="1">
        <f t="array" ref="B3">IFERROR(MAX(--_xlfn.TEXTSPLIT(C3,";")),0)</f>
        <v>60</v>
      </c>
      <c r="C3" t="s">
        <v>1971</v>
      </c>
      <c r="D3" s="37" t="s">
        <v>1916</v>
      </c>
      <c r="E3" s="37" t="s">
        <v>1961</v>
      </c>
      <c r="F3" s="74" t="s">
        <v>1914</v>
      </c>
      <c r="G3" s="75" t="s">
        <v>1915</v>
      </c>
      <c r="H3" s="77">
        <v>160000000</v>
      </c>
      <c r="I3" s="77" t="s">
        <v>1980</v>
      </c>
    </row>
    <row r="4" spans="1:10" x14ac:dyDescent="0.3">
      <c r="A4" s="81">
        <f t="shared" si="0"/>
        <v>60</v>
      </c>
      <c r="B4" s="73" cm="1">
        <f t="array" ref="B4">IFERROR(MAX(--_xlfn.TEXTSPLIT(C4,";")),0)</f>
        <v>54</v>
      </c>
      <c r="C4" t="s">
        <v>1968</v>
      </c>
      <c r="D4" s="37" t="s">
        <v>1917</v>
      </c>
      <c r="E4" s="37" t="s">
        <v>866</v>
      </c>
      <c r="F4" s="74" t="s">
        <v>1914</v>
      </c>
      <c r="G4" s="75" t="s">
        <v>1915</v>
      </c>
      <c r="H4" s="77">
        <v>40000000</v>
      </c>
      <c r="I4" s="77" t="s">
        <v>1980</v>
      </c>
      <c r="J4" s="78" t="s">
        <v>1974</v>
      </c>
    </row>
    <row r="5" spans="1:10" x14ac:dyDescent="0.3">
      <c r="A5" s="82">
        <f t="shared" si="0"/>
        <v>60</v>
      </c>
      <c r="B5" s="83" cm="1">
        <f t="array" ref="B5">IFERROR(MAX(--_xlfn.TEXTSPLIT(C5,";")),0)</f>
        <v>26</v>
      </c>
      <c r="C5" t="s">
        <v>1953</v>
      </c>
      <c r="D5" s="37" t="s">
        <v>1918</v>
      </c>
      <c r="E5" s="37" t="s">
        <v>1962</v>
      </c>
      <c r="F5" s="74" t="s">
        <v>1914</v>
      </c>
      <c r="G5" s="75" t="s">
        <v>1915</v>
      </c>
      <c r="H5" s="77">
        <v>3000000</v>
      </c>
      <c r="I5" s="77" t="s">
        <v>1979</v>
      </c>
      <c r="J5" s="78" t="s">
        <v>1975</v>
      </c>
    </row>
    <row r="6" spans="1:10" ht="12.6" customHeight="1" x14ac:dyDescent="0.3">
      <c r="A6" s="81">
        <f t="shared" si="0"/>
        <v>60</v>
      </c>
      <c r="B6" s="73" cm="1">
        <f t="array" ref="B6">IFERROR(MAX(--_xlfn.TEXTSPLIT(C6,";")),0)</f>
        <v>29</v>
      </c>
      <c r="C6" t="s">
        <v>1954</v>
      </c>
      <c r="D6" s="37" t="s">
        <v>1919</v>
      </c>
      <c r="E6" s="37" t="s">
        <v>912</v>
      </c>
      <c r="F6" s="74" t="s">
        <v>1914</v>
      </c>
      <c r="G6" s="75" t="s">
        <v>1915</v>
      </c>
      <c r="H6" s="77">
        <v>950000000</v>
      </c>
      <c r="I6" s="77" t="s">
        <v>1980</v>
      </c>
      <c r="J6" s="87" t="s">
        <v>1976</v>
      </c>
    </row>
    <row r="7" spans="1:10" x14ac:dyDescent="0.3">
      <c r="A7" s="82">
        <f t="shared" si="0"/>
        <v>60</v>
      </c>
      <c r="B7" s="83" cm="1">
        <f t="array" ref="B7">IFERROR(MAX(--_xlfn.TEXTSPLIT(C7,";")),0)</f>
        <v>34</v>
      </c>
      <c r="C7" t="s">
        <v>1955</v>
      </c>
      <c r="D7" s="37" t="s">
        <v>1920</v>
      </c>
      <c r="E7" s="37" t="s">
        <v>912</v>
      </c>
      <c r="F7" s="74" t="s">
        <v>1914</v>
      </c>
      <c r="G7" s="75" t="s">
        <v>1915</v>
      </c>
      <c r="H7" s="77">
        <v>1877000000</v>
      </c>
      <c r="I7" s="77" t="s">
        <v>1980</v>
      </c>
      <c r="J7" s="78" t="s">
        <v>1977</v>
      </c>
    </row>
    <row r="8" spans="1:10" ht="13.8" customHeight="1" x14ac:dyDescent="0.3">
      <c r="A8" s="81">
        <f t="shared" si="0"/>
        <v>60</v>
      </c>
      <c r="B8" s="73" cm="1">
        <f t="array" ref="B8">IFERROR(MAX(--_xlfn.TEXTSPLIT(C8,";")),0)</f>
        <v>35</v>
      </c>
      <c r="C8">
        <v>35</v>
      </c>
      <c r="D8" s="37" t="s">
        <v>1921</v>
      </c>
      <c r="E8" s="37" t="s">
        <v>75</v>
      </c>
      <c r="F8" s="74" t="s">
        <v>1914</v>
      </c>
      <c r="G8" s="75" t="s">
        <v>1915</v>
      </c>
      <c r="H8" t="s">
        <v>1922</v>
      </c>
      <c r="I8" t="s">
        <v>1979</v>
      </c>
      <c r="J8" s="88" t="s">
        <v>1978</v>
      </c>
    </row>
    <row r="9" spans="1:10" x14ac:dyDescent="0.3">
      <c r="A9" s="82">
        <f t="shared" si="0"/>
        <v>60</v>
      </c>
      <c r="B9" s="83" cm="1">
        <f t="array" ref="B9">IFERROR(MAX(--_xlfn.TEXTSPLIT(C9,";")),0)</f>
        <v>41</v>
      </c>
      <c r="C9">
        <v>41</v>
      </c>
      <c r="D9" s="37" t="s">
        <v>1923</v>
      </c>
      <c r="E9" s="37" t="s">
        <v>37</v>
      </c>
      <c r="F9" s="74" t="s">
        <v>1914</v>
      </c>
      <c r="G9" s="75" t="s">
        <v>1915</v>
      </c>
      <c r="H9" s="77">
        <v>79000000</v>
      </c>
      <c r="I9" s="77" t="s">
        <v>1981</v>
      </c>
      <c r="J9" s="78" t="s">
        <v>1924</v>
      </c>
    </row>
    <row r="10" spans="1:10" x14ac:dyDescent="0.3">
      <c r="A10" s="81">
        <f t="shared" si="0"/>
        <v>60</v>
      </c>
      <c r="B10" s="73" cm="1">
        <f t="array" ref="B10">IFERROR(MAX(--_xlfn.TEXTSPLIT(C10,";")),0)</f>
        <v>0</v>
      </c>
      <c r="D10" s="37" t="s">
        <v>1925</v>
      </c>
      <c r="E10" s="37" t="s">
        <v>1963</v>
      </c>
      <c r="F10" s="74" t="s">
        <v>1914</v>
      </c>
      <c r="G10" s="75" t="s">
        <v>1915</v>
      </c>
      <c r="H10" s="77">
        <v>8000000</v>
      </c>
      <c r="I10" s="77"/>
      <c r="J10" s="79" t="s">
        <v>1926</v>
      </c>
    </row>
    <row r="11" spans="1:10" x14ac:dyDescent="0.3">
      <c r="A11" s="81">
        <f t="shared" si="0"/>
        <v>60</v>
      </c>
      <c r="B11" s="73" cm="1">
        <f t="array" ref="B11">IFERROR(MAX(--_xlfn.TEXTSPLIT(C11,";")),0)</f>
        <v>53</v>
      </c>
      <c r="C11" t="s">
        <v>1967</v>
      </c>
      <c r="D11" s="37" t="s">
        <v>1927</v>
      </c>
      <c r="E11" s="37" t="s">
        <v>37</v>
      </c>
      <c r="F11" s="74" t="s">
        <v>1914</v>
      </c>
      <c r="G11" s="75" t="s">
        <v>1915</v>
      </c>
      <c r="H11" s="77">
        <v>22600000</v>
      </c>
      <c r="I11" s="77" t="s">
        <v>1981</v>
      </c>
      <c r="J11" s="78" t="s">
        <v>1928</v>
      </c>
    </row>
    <row r="12" spans="1:10" ht="28.8" x14ac:dyDescent="0.3">
      <c r="A12" s="82">
        <f t="shared" si="0"/>
        <v>60</v>
      </c>
      <c r="B12" s="83" cm="1">
        <f t="array" ref="B12">IFERROR(MAX(--_xlfn.TEXTSPLIT(C12,";")),0)</f>
        <v>60</v>
      </c>
      <c r="C12" t="s">
        <v>1972</v>
      </c>
      <c r="D12" s="37" t="s">
        <v>1929</v>
      </c>
      <c r="E12" s="37" t="s">
        <v>1964</v>
      </c>
      <c r="F12" s="74" t="s">
        <v>1914</v>
      </c>
      <c r="G12" s="75" t="s">
        <v>1915</v>
      </c>
      <c r="H12" s="77">
        <v>17600000</v>
      </c>
      <c r="I12" s="77" t="s">
        <v>1980</v>
      </c>
      <c r="J12" s="78" t="s">
        <v>1930</v>
      </c>
    </row>
    <row r="13" spans="1:10" x14ac:dyDescent="0.3">
      <c r="A13" s="81">
        <f t="shared" si="0"/>
        <v>60</v>
      </c>
      <c r="B13" s="73" cm="1">
        <f t="array" ref="B13">IFERROR(MAX(--_xlfn.TEXTSPLIT(C13,";")),0)</f>
        <v>37</v>
      </c>
      <c r="C13" t="s">
        <v>1956</v>
      </c>
      <c r="D13" s="37" t="s">
        <v>1931</v>
      </c>
      <c r="E13" s="37" t="s">
        <v>1962</v>
      </c>
      <c r="F13" s="74" t="s">
        <v>1914</v>
      </c>
      <c r="G13" s="75" t="s">
        <v>1915</v>
      </c>
      <c r="H13" s="77">
        <v>155000000</v>
      </c>
      <c r="I13" s="77" t="s">
        <v>1979</v>
      </c>
      <c r="J13" s="79" t="s">
        <v>1932</v>
      </c>
    </row>
    <row r="14" spans="1:10" x14ac:dyDescent="0.3">
      <c r="A14" s="82">
        <f t="shared" si="0"/>
        <v>60</v>
      </c>
      <c r="B14" s="83" cm="1">
        <f t="array" ref="B14">IFERROR(MAX(--_xlfn.TEXTSPLIT(C14,";")),0)</f>
        <v>44</v>
      </c>
      <c r="C14" t="s">
        <v>1958</v>
      </c>
      <c r="D14" s="37" t="s">
        <v>1933</v>
      </c>
      <c r="E14" s="37" t="s">
        <v>1011</v>
      </c>
      <c r="F14" s="74" t="s">
        <v>1914</v>
      </c>
      <c r="G14" s="75" t="s">
        <v>1915</v>
      </c>
      <c r="H14" s="77">
        <v>700000</v>
      </c>
      <c r="I14" s="77" t="s">
        <v>1979</v>
      </c>
      <c r="J14" s="78" t="s">
        <v>1934</v>
      </c>
    </row>
    <row r="15" spans="1:10" x14ac:dyDescent="0.3">
      <c r="A15" s="81">
        <f t="shared" si="0"/>
        <v>60</v>
      </c>
      <c r="B15" s="73" cm="1">
        <f t="array" ref="B15">IFERROR(MAX(--_xlfn.TEXTSPLIT(C15,";")),0)</f>
        <v>58</v>
      </c>
      <c r="C15" t="s">
        <v>1970</v>
      </c>
      <c r="D15" s="37" t="s">
        <v>1935</v>
      </c>
      <c r="E15" s="37" t="s">
        <v>1965</v>
      </c>
      <c r="F15" s="74" t="s">
        <v>1914</v>
      </c>
      <c r="G15" s="75" t="s">
        <v>1915</v>
      </c>
      <c r="H15" s="80" t="s">
        <v>1936</v>
      </c>
      <c r="I15" s="80" t="s">
        <v>1980</v>
      </c>
      <c r="J15" s="78" t="s">
        <v>1937</v>
      </c>
    </row>
    <row r="16" spans="1:10" x14ac:dyDescent="0.3">
      <c r="A16" s="82">
        <f t="shared" si="0"/>
        <v>60</v>
      </c>
      <c r="B16" s="83" cm="1">
        <f t="array" ref="B16">IFERROR(MAX(--_xlfn.TEXTSPLIT(C16,";")),0)</f>
        <v>52</v>
      </c>
      <c r="C16" t="s">
        <v>1966</v>
      </c>
      <c r="D16" s="37" t="s">
        <v>1938</v>
      </c>
      <c r="E16" s="37" t="s">
        <v>1962</v>
      </c>
      <c r="F16" s="74" t="s">
        <v>1914</v>
      </c>
      <c r="G16" s="75" t="s">
        <v>1915</v>
      </c>
      <c r="H16" s="77">
        <v>276000000</v>
      </c>
      <c r="I16" s="77" t="s">
        <v>1979</v>
      </c>
      <c r="J16" s="78" t="s">
        <v>1939</v>
      </c>
    </row>
    <row r="17" spans="1:10" ht="28.8" x14ac:dyDescent="0.3">
      <c r="A17" s="81">
        <f t="shared" si="0"/>
        <v>60</v>
      </c>
      <c r="B17" s="73" cm="1">
        <f t="array" ref="B17">IFERROR(MAX(--_xlfn.TEXTSPLIT(C17,";")),0)</f>
        <v>52</v>
      </c>
      <c r="C17" t="s">
        <v>1966</v>
      </c>
      <c r="D17" s="37" t="s">
        <v>1940</v>
      </c>
      <c r="E17" s="37" t="s">
        <v>1962</v>
      </c>
      <c r="F17" s="74" t="s">
        <v>1914</v>
      </c>
      <c r="G17" s="75" t="s">
        <v>1915</v>
      </c>
      <c r="H17" s="77">
        <v>12000000</v>
      </c>
      <c r="I17" s="77" t="s">
        <v>1979</v>
      </c>
      <c r="J17" s="78" t="s">
        <v>1941</v>
      </c>
    </row>
    <row r="18" spans="1:10" ht="28.8" x14ac:dyDescent="0.3">
      <c r="A18" s="82">
        <f t="shared" si="0"/>
        <v>60</v>
      </c>
      <c r="B18" s="83" cm="1">
        <f t="array" ref="B18">IFERROR(MAX(--_xlfn.TEXTSPLIT(C18,";")),0)</f>
        <v>56</v>
      </c>
      <c r="C18" s="86" t="s">
        <v>1969</v>
      </c>
      <c r="D18" s="37" t="s">
        <v>1942</v>
      </c>
      <c r="E18" s="37" t="s">
        <v>37</v>
      </c>
      <c r="F18" s="74" t="s">
        <v>1914</v>
      </c>
      <c r="G18" s="75" t="s">
        <v>1915</v>
      </c>
      <c r="H18" s="77">
        <v>35000000</v>
      </c>
      <c r="I18" s="77" t="s">
        <v>1981</v>
      </c>
      <c r="J18" s="78" t="s">
        <v>1943</v>
      </c>
    </row>
    <row r="19" spans="1:10" ht="28.8" x14ac:dyDescent="0.3">
      <c r="A19" s="81">
        <f t="shared" si="0"/>
        <v>60</v>
      </c>
      <c r="B19" s="83" cm="1">
        <f t="array" ref="B19">IFERROR(MAX(--_xlfn.TEXTSPLIT(C19,";")),0)</f>
        <v>0</v>
      </c>
      <c r="D19" s="37" t="s">
        <v>1944</v>
      </c>
      <c r="E19" s="37" t="s">
        <v>1963</v>
      </c>
      <c r="F19" s="74" t="s">
        <v>1914</v>
      </c>
      <c r="G19" s="75" t="s">
        <v>1915</v>
      </c>
      <c r="H19" s="77">
        <v>32000000</v>
      </c>
      <c r="I19" s="77"/>
      <c r="J19" s="78" t="s">
        <v>1945</v>
      </c>
    </row>
    <row r="20" spans="1:10" x14ac:dyDescent="0.3">
      <c r="A20" s="82">
        <f t="shared" si="0"/>
        <v>60</v>
      </c>
      <c r="B20" s="83" cm="1">
        <f t="array" ref="B20">IFERROR(MAX(--_xlfn.TEXTSPLIT(C20,";")),0)</f>
        <v>40</v>
      </c>
      <c r="C20" t="s">
        <v>1957</v>
      </c>
      <c r="D20" s="37" t="s">
        <v>1946</v>
      </c>
      <c r="E20" s="37" t="s">
        <v>1011</v>
      </c>
      <c r="F20" s="74" t="s">
        <v>1914</v>
      </c>
      <c r="G20" s="75" t="s">
        <v>1915</v>
      </c>
      <c r="H20" s="77">
        <v>212000000</v>
      </c>
      <c r="I20" s="77" t="s">
        <v>1979</v>
      </c>
      <c r="J20" s="78" t="s">
        <v>1947</v>
      </c>
    </row>
    <row r="21" spans="1:10" ht="28.8" x14ac:dyDescent="0.3">
      <c r="A21" s="81">
        <f t="shared" si="0"/>
        <v>60</v>
      </c>
      <c r="B21" s="73" cm="1">
        <f t="array" ref="B21">IFERROR(MAX(--_xlfn.TEXTSPLIT(C21,";")),0)</f>
        <v>45</v>
      </c>
      <c r="C21" t="s">
        <v>1960</v>
      </c>
      <c r="D21" s="37" t="s">
        <v>1948</v>
      </c>
      <c r="E21" s="37" t="s">
        <v>1962</v>
      </c>
      <c r="F21" s="74" t="s">
        <v>1914</v>
      </c>
      <c r="G21" s="75" t="s">
        <v>1915</v>
      </c>
      <c r="H21" s="80" t="s">
        <v>1949</v>
      </c>
      <c r="I21" s="80" t="s">
        <v>1979</v>
      </c>
      <c r="J21" s="78" t="s">
        <v>1950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TD BD</vt:lpstr>
      <vt:lpstr>BD</vt:lpstr>
      <vt:lpstr>OF</vt:lpstr>
      <vt:lpstr>Consideraciones</vt:lpstr>
      <vt:lpstr>EFE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Pérez</dc:creator>
  <cp:lastModifiedBy>Vicente Pérez</cp:lastModifiedBy>
  <dcterms:created xsi:type="dcterms:W3CDTF">2026-07-14T23:28:04Z</dcterms:created>
  <dcterms:modified xsi:type="dcterms:W3CDTF">2026-08-07T00:55:03Z</dcterms:modified>
</cp:coreProperties>
</file>