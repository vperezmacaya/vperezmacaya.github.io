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TLEC\Codigo CATLEC - backup\"/>
    </mc:Choice>
  </mc:AlternateContent>
  <xr:revisionPtr revIDLastSave="0" documentId="13_ncr:1_{5572B8D9-8510-4866-869A-48C8C3433842}" xr6:coauthVersionLast="47" xr6:coauthVersionMax="47" xr10:uidLastSave="{00000000-0000-0000-0000-000000000000}"/>
  <bookViews>
    <workbookView xWindow="-108" yWindow="-108" windowWidth="23256" windowHeight="13896" activeTab="4" xr2:uid="{AFBC47FB-AA6E-4273-9F80-1754DD486B9C}"/>
  </bookViews>
  <sheets>
    <sheet name="TD BD" sheetId="3" r:id="rId1"/>
    <sheet name="BD" sheetId="1" r:id="rId2"/>
    <sheet name="OF" sheetId="4" r:id="rId3"/>
    <sheet name="Consideraciones" sheetId="6" r:id="rId4"/>
    <sheet name="EFE" sheetId="9" r:id="rId5"/>
  </sheets>
  <definedNames>
    <definedName name="_xlnm._FilterDatabase" localSheetId="1" hidden="1">BD!$AK$1:$AK$128</definedName>
  </definedNames>
  <calcPr calcId="191029"/>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2" i="9" l="1" a="1"/>
  <c r="B22" i="9" s="1"/>
  <c r="B21" i="9" a="1"/>
  <c r="B21" i="9" s="1"/>
  <c r="B20" i="9" a="1"/>
  <c r="B20" i="9" s="1"/>
  <c r="B19" i="9" a="1"/>
  <c r="B19" i="9" s="1"/>
  <c r="B18" i="9" a="1"/>
  <c r="B18" i="9" s="1"/>
  <c r="B17" i="9" a="1"/>
  <c r="B17" i="9" s="1"/>
  <c r="B16" i="9" a="1"/>
  <c r="B16" i="9" s="1"/>
  <c r="B15" i="9" a="1"/>
  <c r="B15" i="9" s="1"/>
  <c r="B14" i="9" a="1"/>
  <c r="B14" i="9" s="1"/>
  <c r="B13" i="9" a="1"/>
  <c r="B13" i="9" s="1"/>
  <c r="B12" i="9" a="1"/>
  <c r="B12" i="9" s="1"/>
  <c r="B11" i="9" a="1"/>
  <c r="B11" i="9" s="1"/>
  <c r="B10" i="9" a="1"/>
  <c r="B10" i="9" s="1"/>
  <c r="B9" i="9" a="1"/>
  <c r="B9" i="9" s="1"/>
  <c r="B8" i="9" a="1"/>
  <c r="B8" i="9" s="1"/>
  <c r="B7" i="9" a="1"/>
  <c r="B7" i="9" s="1"/>
  <c r="B6" i="9" a="1"/>
  <c r="B6" i="9" s="1"/>
  <c r="B5" i="9" a="1"/>
  <c r="B5" i="9" s="1"/>
  <c r="B4" i="9" a="1"/>
  <c r="B4" i="9" s="1"/>
  <c r="B3" i="9" a="1"/>
  <c r="B3" i="9" s="1"/>
  <c r="B2" i="9" a="1"/>
  <c r="B2" i="9" s="1"/>
  <c r="C2" i="1" a="1"/>
  <c r="C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52" i="1" a="1"/>
  <c r="C52" i="1" s="1"/>
  <c r="C53" i="1" a="1"/>
  <c r="C53" i="1" s="1"/>
  <c r="C54" i="1" a="1"/>
  <c r="C54" i="1" s="1"/>
  <c r="C55" i="1" a="1"/>
  <c r="C55" i="1" s="1"/>
  <c r="C56" i="1" a="1"/>
  <c r="C56" i="1" s="1"/>
  <c r="C57" i="1" a="1"/>
  <c r="C57" i="1" s="1"/>
  <c r="C58" i="1" a="1"/>
  <c r="C58" i="1" s="1"/>
  <c r="C59" i="1" a="1"/>
  <c r="C59" i="1" s="1"/>
  <c r="C60" i="1" a="1"/>
  <c r="C60" i="1" s="1"/>
  <c r="C61" i="1" a="1"/>
  <c r="C61" i="1" s="1"/>
  <c r="C62" i="1" a="1"/>
  <c r="C62" i="1" s="1"/>
  <c r="C63" i="1" a="1"/>
  <c r="C63" i="1" s="1"/>
  <c r="C64" i="1" a="1"/>
  <c r="C64" i="1" s="1"/>
  <c r="C65" i="1" a="1"/>
  <c r="C65" i="1" s="1"/>
  <c r="C66" i="1" a="1"/>
  <c r="C66" i="1" s="1"/>
  <c r="C67" i="1" a="1"/>
  <c r="C67" i="1" s="1"/>
  <c r="C68" i="1" a="1"/>
  <c r="C68" i="1" s="1"/>
  <c r="C69" i="1" a="1"/>
  <c r="C69" i="1" s="1"/>
  <c r="C70" i="1" a="1"/>
  <c r="C70" i="1" s="1"/>
  <c r="C71" i="1" a="1"/>
  <c r="C71" i="1" s="1"/>
  <c r="C72" i="1" a="1"/>
  <c r="C72" i="1" s="1"/>
  <c r="C73" i="1" a="1"/>
  <c r="C73" i="1" s="1"/>
  <c r="C74" i="1" a="1"/>
  <c r="C74" i="1" s="1"/>
  <c r="C75" i="1" a="1"/>
  <c r="C75" i="1" s="1"/>
  <c r="C76" i="1" a="1"/>
  <c r="C76" i="1" s="1"/>
  <c r="C77" i="1" a="1"/>
  <c r="C77" i="1" s="1"/>
  <c r="C78" i="1" a="1"/>
  <c r="C78" i="1" s="1"/>
  <c r="C79" i="1" a="1"/>
  <c r="C79" i="1" s="1"/>
  <c r="C80" i="1" a="1"/>
  <c r="C80" i="1" s="1"/>
  <c r="C81" i="1" a="1"/>
  <c r="C81" i="1" s="1"/>
  <c r="C82" i="1" a="1"/>
  <c r="C82" i="1" s="1"/>
  <c r="C83" i="1" a="1"/>
  <c r="C83" i="1" s="1"/>
  <c r="C84" i="1" a="1"/>
  <c r="C84" i="1" s="1"/>
  <c r="C85" i="1" a="1"/>
  <c r="C85" i="1" s="1"/>
  <c r="C86" i="1" a="1"/>
  <c r="C86" i="1" s="1"/>
  <c r="C87" i="1" a="1"/>
  <c r="C87" i="1" s="1"/>
  <c r="C88" i="1" a="1"/>
  <c r="C88" i="1" s="1"/>
  <c r="C89" i="1" a="1"/>
  <c r="C89" i="1" s="1"/>
  <c r="C90" i="1" a="1"/>
  <c r="C90" i="1" s="1"/>
  <c r="C91" i="1" a="1"/>
  <c r="C91" i="1" s="1"/>
  <c r="C92" i="1" a="1"/>
  <c r="C92" i="1" s="1"/>
  <c r="C93" i="1" a="1"/>
  <c r="C93" i="1" s="1"/>
  <c r="C94" i="1" a="1"/>
  <c r="C94" i="1" s="1"/>
  <c r="C95" i="1" a="1"/>
  <c r="C95" i="1" s="1"/>
  <c r="C96" i="1" a="1"/>
  <c r="C96" i="1" s="1"/>
  <c r="C97" i="1" a="1"/>
  <c r="C97" i="1" s="1"/>
  <c r="C98" i="1" a="1"/>
  <c r="C98" i="1" s="1"/>
  <c r="C99" i="1" a="1"/>
  <c r="C99" i="1" s="1"/>
  <c r="C100" i="1" a="1"/>
  <c r="C100" i="1" s="1"/>
  <c r="C101" i="1" a="1"/>
  <c r="C101" i="1" s="1"/>
  <c r="C102" i="1" a="1"/>
  <c r="C102" i="1" s="1"/>
  <c r="C103" i="1" a="1"/>
  <c r="C103" i="1" s="1"/>
  <c r="C104" i="1" a="1"/>
  <c r="C104" i="1" s="1"/>
  <c r="C105" i="1" a="1"/>
  <c r="C105" i="1" s="1"/>
  <c r="C106" i="1" a="1"/>
  <c r="C106" i="1" s="1"/>
  <c r="C107" i="1" a="1"/>
  <c r="C107" i="1" s="1"/>
  <c r="C108" i="1" a="1"/>
  <c r="C108" i="1" s="1"/>
  <c r="C109" i="1" a="1"/>
  <c r="C109" i="1" s="1"/>
  <c r="C110" i="1" a="1"/>
  <c r="C110" i="1" s="1"/>
  <c r="C111" i="1" a="1"/>
  <c r="C111" i="1" s="1"/>
  <c r="C112" i="1" a="1"/>
  <c r="C112" i="1" s="1"/>
  <c r="C113" i="1" a="1"/>
  <c r="C113" i="1" s="1"/>
  <c r="C114" i="1" a="1"/>
  <c r="C114" i="1" s="1"/>
  <c r="C115" i="1" a="1"/>
  <c r="C115" i="1" s="1"/>
  <c r="C116" i="1" a="1"/>
  <c r="C116" i="1" s="1"/>
  <c r="C117" i="1" a="1"/>
  <c r="C117" i="1" s="1"/>
  <c r="C118" i="1" a="1"/>
  <c r="C118" i="1" s="1"/>
  <c r="C119" i="1" a="1"/>
  <c r="C119" i="1" s="1"/>
  <c r="C120" i="1" a="1"/>
  <c r="C120" i="1" s="1"/>
  <c r="C121" i="1" a="1"/>
  <c r="C121" i="1" s="1"/>
  <c r="C122" i="1" a="1"/>
  <c r="C122" i="1" s="1"/>
  <c r="C123" i="1" a="1"/>
  <c r="C123" i="1" s="1"/>
  <c r="C124" i="1" a="1"/>
  <c r="C124" i="1" s="1"/>
  <c r="C125" i="1" a="1"/>
  <c r="C125" i="1" s="1"/>
  <c r="C126" i="1" a="1"/>
  <c r="C126" i="1" s="1"/>
  <c r="C127" i="1" a="1"/>
  <c r="C127" i="1" s="1"/>
  <c r="C128" i="1" a="1"/>
  <c r="C128" i="1" s="1"/>
  <c r="AK55" i="1"/>
  <c r="AK108" i="1"/>
  <c r="AK107" i="1"/>
  <c r="AK99" i="1"/>
  <c r="AK93" i="1"/>
  <c r="AK59" i="1"/>
  <c r="AK124" i="1"/>
  <c r="AK35" i="1"/>
  <c r="AK95" i="1"/>
  <c r="AK32" i="1"/>
  <c r="AK29" i="1"/>
  <c r="AK111" i="1"/>
  <c r="AK89" i="1"/>
  <c r="AK78" i="1"/>
  <c r="AK65" i="1"/>
  <c r="AK48" i="1"/>
  <c r="AK68" i="1"/>
  <c r="AK76" i="1"/>
  <c r="AK22" i="1"/>
  <c r="AK69" i="1"/>
  <c r="AK39" i="1"/>
  <c r="AK70" i="1"/>
  <c r="AK113" i="1"/>
  <c r="AK71" i="1"/>
  <c r="AK66" i="1"/>
  <c r="AK64" i="1"/>
  <c r="AK67" i="1"/>
  <c r="AK25" i="1"/>
  <c r="AK119" i="1"/>
  <c r="AK9" i="1"/>
  <c r="AK16" i="1"/>
  <c r="AK80" i="1"/>
  <c r="AK92" i="1"/>
  <c r="AK13" i="1"/>
  <c r="AK7" i="1"/>
  <c r="AK8" i="1"/>
  <c r="AK58" i="1"/>
  <c r="AK120" i="1"/>
  <c r="AK105" i="1"/>
  <c r="AK106" i="1"/>
  <c r="AK2" i="1"/>
  <c r="AK21" i="1"/>
  <c r="AK30" i="1"/>
  <c r="AK53" i="1"/>
  <c r="AK122" i="1"/>
  <c r="AK60" i="1"/>
  <c r="AK11" i="1"/>
  <c r="AK73" i="1"/>
  <c r="AK75" i="1"/>
  <c r="AK19" i="1"/>
  <c r="AK90" i="1"/>
  <c r="AK46" i="1"/>
  <c r="AK88" i="1"/>
  <c r="AK72" i="1"/>
  <c r="AK33" i="1"/>
  <c r="AK81" i="1"/>
  <c r="AK104" i="1"/>
  <c r="AK125" i="1"/>
  <c r="AK3" i="1"/>
  <c r="AK34" i="1"/>
  <c r="AK49" i="1"/>
  <c r="AK12" i="1"/>
  <c r="AK26" i="1"/>
  <c r="AK36" i="1"/>
  <c r="AK103" i="1"/>
  <c r="AK14" i="1"/>
  <c r="AK20" i="1"/>
  <c r="AK101" i="1"/>
  <c r="AK6" i="1"/>
  <c r="AK74" i="1"/>
  <c r="AK38" i="1"/>
  <c r="AK50" i="1"/>
  <c r="AK127" i="1"/>
  <c r="AK4" i="1"/>
  <c r="AK23" i="1"/>
  <c r="AK43" i="1"/>
  <c r="AK63" i="1"/>
  <c r="AK52" i="1"/>
  <c r="AK62" i="1"/>
  <c r="AK56" i="1"/>
  <c r="AK128" i="1"/>
  <c r="AK96" i="1"/>
  <c r="AK82" i="1"/>
  <c r="AK61" i="1"/>
  <c r="AK87" i="1"/>
  <c r="AK10" i="1"/>
  <c r="AK84" i="1"/>
  <c r="AK57" i="1"/>
  <c r="AK94" i="1"/>
  <c r="AK86" i="1"/>
  <c r="AK15" i="1"/>
  <c r="AK91" i="1"/>
  <c r="AK17" i="1"/>
  <c r="AK5" i="1"/>
  <c r="AK100" i="1"/>
  <c r="AK41" i="1"/>
  <c r="AK102" i="1"/>
  <c r="AK126" i="1"/>
  <c r="AK40" i="1"/>
  <c r="AK109" i="1"/>
  <c r="AK116" i="1"/>
  <c r="AK83" i="1"/>
  <c r="AK42" i="1"/>
  <c r="AK117" i="1"/>
  <c r="AK44" i="1"/>
  <c r="AK18" i="1"/>
  <c r="AK114" i="1"/>
  <c r="AK54" i="1"/>
  <c r="AK97" i="1"/>
  <c r="AK98" i="1"/>
  <c r="AK24" i="1"/>
  <c r="AK27" i="1"/>
  <c r="AK79" i="1"/>
  <c r="AK123" i="1"/>
  <c r="AK47" i="1"/>
  <c r="AK77" i="1"/>
  <c r="AK110" i="1"/>
  <c r="AK115" i="1"/>
  <c r="AK118" i="1"/>
  <c r="AK37" i="1"/>
  <c r="AK51" i="1"/>
  <c r="AK112" i="1"/>
  <c r="AK28" i="1"/>
  <c r="AK85" i="1"/>
  <c r="AK31" i="1"/>
  <c r="AK45" i="1"/>
  <c r="AK121" i="1"/>
  <c r="C30" i="3"/>
  <c r="C22" i="3"/>
  <c r="C15" i="3"/>
  <c r="C11" i="3"/>
  <c r="C4" i="3"/>
  <c r="A22" i="9" l="1"/>
  <c r="A4" i="9"/>
  <c r="A5" i="9"/>
  <c r="A6" i="9"/>
  <c r="A8" i="9"/>
  <c r="A10" i="9"/>
  <c r="A3" i="9"/>
  <c r="A7" i="9"/>
  <c r="A9" i="9"/>
  <c r="A11" i="9"/>
  <c r="A12" i="9"/>
  <c r="A13" i="9"/>
  <c r="A14" i="9"/>
  <c r="A15" i="9"/>
  <c r="A17" i="9"/>
  <c r="A19" i="9"/>
  <c r="A18" i="9"/>
  <c r="A20" i="9"/>
  <c r="A21" i="9"/>
  <c r="A16" i="9"/>
  <c r="A2" i="9"/>
  <c r="B8" i="1"/>
  <c r="B28" i="1"/>
  <c r="B48" i="1"/>
  <c r="B68" i="1"/>
  <c r="B88" i="1"/>
  <c r="B108" i="1"/>
  <c r="B128" i="1"/>
  <c r="B21" i="1"/>
  <c r="B22" i="1"/>
  <c r="B82" i="1"/>
  <c r="B63" i="1"/>
  <c r="B123" i="1"/>
  <c r="B4" i="1"/>
  <c r="B24" i="1"/>
  <c r="B64" i="1"/>
  <c r="B104" i="1"/>
  <c r="B124" i="1"/>
  <c r="B25" i="1"/>
  <c r="B26" i="1"/>
  <c r="B66" i="1"/>
  <c r="B106" i="1"/>
  <c r="B27" i="1"/>
  <c r="B87" i="1"/>
  <c r="B9" i="1"/>
  <c r="B29" i="1"/>
  <c r="B49" i="1"/>
  <c r="B69" i="1"/>
  <c r="B89" i="1"/>
  <c r="B109" i="1"/>
  <c r="B10" i="1"/>
  <c r="B30" i="1"/>
  <c r="B50" i="1"/>
  <c r="B70" i="1"/>
  <c r="B90" i="1"/>
  <c r="B110" i="1"/>
  <c r="B11" i="1"/>
  <c r="B31" i="1"/>
  <c r="B51" i="1"/>
  <c r="B71" i="1"/>
  <c r="B91" i="1"/>
  <c r="B111" i="1"/>
  <c r="B12" i="1"/>
  <c r="B32" i="1"/>
  <c r="B52" i="1"/>
  <c r="B72" i="1"/>
  <c r="B92" i="1"/>
  <c r="B112" i="1"/>
  <c r="B13" i="1"/>
  <c r="B33" i="1"/>
  <c r="B53" i="1"/>
  <c r="B73" i="1"/>
  <c r="B93" i="1"/>
  <c r="B113" i="1"/>
  <c r="B20" i="1"/>
  <c r="B40" i="1"/>
  <c r="B60" i="1"/>
  <c r="B100" i="1"/>
  <c r="B120" i="1"/>
  <c r="B41" i="1"/>
  <c r="B81" i="1"/>
  <c r="B121" i="1"/>
  <c r="B2" i="1"/>
  <c r="B42" i="1"/>
  <c r="B102" i="1"/>
  <c r="B3" i="1"/>
  <c r="B43" i="1"/>
  <c r="B103" i="1"/>
  <c r="B84" i="1"/>
  <c r="B5" i="1"/>
  <c r="B45" i="1"/>
  <c r="B85" i="1"/>
  <c r="B125" i="1"/>
  <c r="B86" i="1"/>
  <c r="B67" i="1"/>
  <c r="B107" i="1"/>
  <c r="B14" i="1"/>
  <c r="B34" i="1"/>
  <c r="B54" i="1"/>
  <c r="B74" i="1"/>
  <c r="B94" i="1"/>
  <c r="B114" i="1"/>
  <c r="B15" i="1"/>
  <c r="B35" i="1"/>
  <c r="B55" i="1"/>
  <c r="B75" i="1"/>
  <c r="B95" i="1"/>
  <c r="B115" i="1"/>
  <c r="B16" i="1"/>
  <c r="B36" i="1"/>
  <c r="B56" i="1"/>
  <c r="B76" i="1"/>
  <c r="B96" i="1"/>
  <c r="B116" i="1"/>
  <c r="B17" i="1"/>
  <c r="B37" i="1"/>
  <c r="B57" i="1"/>
  <c r="B77" i="1"/>
  <c r="B97" i="1"/>
  <c r="B117" i="1"/>
  <c r="B18" i="1"/>
  <c r="B38" i="1"/>
  <c r="B58" i="1"/>
  <c r="B78" i="1"/>
  <c r="B98" i="1"/>
  <c r="B118" i="1"/>
  <c r="B19" i="1"/>
  <c r="B39" i="1"/>
  <c r="B59" i="1"/>
  <c r="B79" i="1"/>
  <c r="B99" i="1"/>
  <c r="B119" i="1"/>
  <c r="B80" i="1"/>
  <c r="B61" i="1"/>
  <c r="B101" i="1"/>
  <c r="B62" i="1"/>
  <c r="B122" i="1"/>
  <c r="B23" i="1"/>
  <c r="B83" i="1"/>
  <c r="B44" i="1"/>
  <c r="B65" i="1"/>
  <c r="B105" i="1"/>
  <c r="B6" i="1"/>
  <c r="B126" i="1"/>
  <c r="B7" i="1"/>
  <c r="B47" i="1"/>
  <c r="B127" i="1"/>
  <c r="B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<sst xmlns="http://schemas.openxmlformats.org/spreadsheetml/2006/main" count="4719" uniqueCount="1964">
  <si>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</si>
  <si>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</si>
  <si>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</si>
  <si>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</si>
  <si>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</si>
  <si>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</si>
  <si>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</si>
  <si>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</si>
  <si>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</si>
  <si>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</si>
  <si>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</si>
  <si>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</si>
  <si>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</si>
  <si>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</si>
  <si>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</si>
  <si>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</si>
  <si>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</si>
  <si>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</si>
  <si>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</si>
  <si>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</si>
  <si>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</si>
  <si>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</si>
  <si>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</si>
  <si>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</si>
  <si>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</si>
  <si>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</si>
  <si>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</si>
  <si>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</si>
  <si>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</si>
  <si>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</si>
  <si>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</si>
  <si>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</si>
  <si>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</si>
  <si>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</si>
  <si>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</si>
  <si>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</si>
  <si>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</si>
  <si>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</si>
  <si>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</si>
  <si>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</si>
  <si>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</si>
  <si>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</si>
  <si>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</si>
  <si>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</si>
  <si>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</si>
  <si>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</si>
  <si>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</si>
  <si>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</si>
  <si>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</si>
  <si>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</si>
  <si>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</si>
  <si>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</si>
  <si>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</si>
  <si>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</si>
  <si>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</si>
  <si>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</si>
  <si>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</si>
  <si>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</si>
  <si>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</si>
  <si>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</si>
  <si>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</si>
  <si>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</si>
  <si>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</si>
  <si>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</si>
  <si>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</si>
  <si>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</si>
  <si>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</si>
  <si>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</si>
  <si>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</si>
  <si>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</si>
  <si>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</si>
  <si>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</si>
  <si>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</si>
  <si>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</si>
  <si>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</si>
  <si>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</si>
  <si>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</si>
  <si>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</si>
  <si>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</si>
  <si>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</si>
  <si>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</si>
  <si>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</si>
  <si>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</si>
  <si>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</si>
  <si>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</si>
  <si>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</si>
  <si>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</si>
  <si>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</si>
  <si>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</si>
  <si>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</si>
  <si>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</si>
  <si>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</si>
  <si>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</si>
  <si>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</si>
  <si>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</si>
  <si>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</si>
  <si>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</si>
  <si>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</si>
  <si>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</si>
  <si>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</si>
  <si>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</si>
  <si>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</si>
  <si>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</si>
  <si>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</si>
  <si>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</si>
  <si>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</si>
  <si>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</si>
  <si>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</si>
  <si>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</si>
  <si>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</si>
  <si>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</si>
  <si>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</si>
  <si>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</si>
  <si>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</si>
  <si>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</si>
  <si>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</si>
  <si>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</si>
  <si>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</si>
  <si>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</si>
  <si>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</si>
  <si>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</si>
  <si>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</si>
  <si>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</si>
  <si>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</si>
  <si>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</si>
  <si>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</si>
  <si>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</si>
  <si>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</si>
  <si>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</si>
  <si>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</si>
  <si>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</si>
  <si>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</si>
  <si>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</si>
  <si>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</si>
  <si>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</si>
  <si>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</si>
  <si>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</si>
  <si>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</si>
  <si>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</si>
  <si>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</si>
  <si>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</si>
  <si>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</si>
  <si>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</si>
  <si>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</si>
  <si>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</si>
  <si>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</si>
  <si>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</si>
  <si>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</si>
  <si>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</si>
  <si>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</si>
  <si>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</si>
  <si>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</si>
  <si>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</si>
  <si>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</si>
  <si>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</si>
  <si>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</si>
  <si>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</si>
  <si>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</si>
  <si>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</si>
  <si>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</si>
  <si>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</si>
  <si>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</si>
  <si>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</si>
  <si>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</si>
  <si>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</si>
  <si>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</si>
  <si>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</si>
  <si>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</si>
  <si>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</si>
  <si>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</si>
  <si>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</si>
  <si>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</si>
  <si>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</si>
  <si>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</si>
  <si>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</si>
  <si>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</si>
  <si>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</si>
  <si>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</si>
  <si>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</si>
  <si>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</si>
  <si>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</si>
  <si>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</si>
  <si>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</si>
  <si>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</si>
  <si>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</si>
  <si>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</si>
  <si>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</si>
  <si>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</si>
  <si>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</si>
  <si>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</si>
  <si>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</si>
  <si>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</si>
  <si>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</si>
  <si>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</si>
  <si>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</si>
  <si>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</si>
  <si>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</si>
  <si>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</si>
  <si>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</si>
  <si>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</si>
  <si>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</si>
  <si>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</si>
  <si>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</si>
  <si>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</si>
  <si>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</si>
  <si>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</si>
  <si>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</si>
  <si>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</si>
  <si>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</si>
  <si>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</si>
  <si>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</si>
  <si>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</si>
  <si>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</si>
  <si>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</si>
  <si>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</si>
  <si>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</si>
  <si>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</si>
  <si>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</si>
  <si>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</si>
  <si>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</si>
  <si>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</si>
  <si>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</si>
  <si>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</si>
  <si>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</si>
  <si>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</si>
  <si>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</si>
  <si>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</si>
  <si>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</si>
  <si>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</si>
  <si>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</si>
  <si>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</si>
  <si>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</si>
  <si>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</si>
  <si>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</si>
  <si>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</si>
  <si>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</si>
  <si>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</si>
  <si>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</si>
  <si>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</si>
  <si>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</si>
  <si>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</si>
  <si>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</si>
  <si>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</si>
  <si>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</si>
  <si>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</si>
  <si>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</si>
  <si>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</si>
  <si>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</si>
  <si>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</si>
  <si>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</si>
  <si>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</si>
  <si>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</si>
  <si>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</si>
  <si>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</si>
  <si>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</si>
  <si>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</si>
  <si>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</si>
  <si>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</si>
  <si>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</si>
  <si>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</si>
  <si>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</si>
  <si>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</si>
  <si>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</si>
  <si>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</si>
  <si>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</si>
  <si>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</si>
  <si>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</si>
  <si>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</si>
  <si>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</si>
  <si>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</si>
  <si>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</si>
  <si>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</si>
  <si>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</si>
  <si>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</si>
  <si>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</si>
  <si>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</si>
  <si>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</si>
  <si>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</si>
  <si>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</si>
  <si>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</si>
  <si>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</si>
  <si>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</si>
  <si>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</si>
  <si>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</si>
  <si>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</si>
  <si>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</si>
  <si>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</si>
  <si>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</si>
  <si>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</si>
  <si>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</si>
  <si>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</si>
  <si>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</si>
  <si>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</si>
  <si>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</si>
  <si>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</si>
  <si>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</si>
  <si>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</si>
  <si>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</si>
  <si>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</si>
  <si>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</si>
  <si>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</si>
  <si>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</si>
  <si>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</si>
  <si>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</si>
  <si>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</si>
  <si>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</si>
  <si>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</si>
  <si>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</si>
  <si>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</si>
  <si>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</si>
  <si>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</si>
  <si>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</si>
  <si>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</si>
  <si>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</si>
  <si>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</si>
  <si>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</si>
  <si>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</si>
  <si>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</si>
  <si>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</si>
  <si>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</si>
  <si>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</si>
  <si>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</si>
  <si>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</si>
  <si>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</si>
  <si>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</si>
  <si>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</si>
  <si>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</si>
  <si>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</si>
  <si>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</si>
  <si>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</si>
  <si>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</si>
  <si>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</si>
  <si>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</si>
  <si>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</si>
  <si>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</si>
  <si>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</si>
  <si>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</si>
  <si>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</si>
  <si>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</si>
  <si>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</si>
  <si>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</si>
  <si>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</si>
  <si>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</si>
  <si>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</si>
  <si>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</si>
  <si>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</si>
  <si>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</si>
  <si>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</si>
  <si>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</si>
  <si>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</si>
  <si>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</si>
  <si>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</si>
  <si>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</si>
  <si>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</si>
  <si>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</si>
  <si>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</si>
  <si>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</si>
  <si>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</si>
  <si>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</si>
  <si>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</si>
  <si>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</si>
  <si>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</si>
  <si>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</si>
  <si>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</si>
  <si>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</si>
  <si>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</si>
  <si>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</si>
  <si>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</si>
  <si>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</si>
  <si>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</si>
  <si>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</si>
  <si>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</si>
  <si>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</si>
  <si>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</si>
  <si>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</si>
  <si>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</si>
  <si>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</si>
  <si>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</si>
  <si>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</si>
  <si>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</si>
  <si>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</si>
  <si>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</si>
  <si>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</si>
  <si>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</si>
  <si>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</si>
  <si>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</si>
  <si>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</si>
  <si>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</si>
  <si>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</si>
  <si>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</si>
  <si>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</si>
  <si>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</si>
  <si>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</si>
  <si>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</si>
  <si>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</si>
  <si>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</si>
  <si>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</si>
  <si>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</si>
  <si>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</si>
  <si>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</si>
  <si>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</si>
  <si>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</si>
  <si>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</si>
  <si>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</si>
  <si>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</si>
  <si>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</si>
  <si>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</si>
  <si>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</si>
  <si>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</si>
  <si>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</si>
  <si>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</si>
  <si>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</si>
  <si>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</si>
  <si>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</si>
  <si>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</si>
  <si>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</si>
  <si>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</si>
  <si>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</si>
  <si>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</si>
  <si>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</si>
  <si>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</si>
  <si>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</si>
  <si>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</si>
  <si>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</si>
  <si>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</si>
  <si>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</si>
  <si>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</si>
  <si>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</si>
  <si>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</si>
  <si>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</si>
  <si>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</si>
  <si>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</si>
  <si>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</si>
  <si>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</si>
  <si>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</si>
  <si>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</si>
  <si>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</si>
  <si>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</si>
  <si>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</si>
  <si>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</si>
  <si>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</si>
  <si>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</si>
  <si>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</si>
  <si>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</si>
  <si>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</si>
  <si>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</si>
  <si>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</si>
  <si>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</si>
  <si>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</si>
  <si>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</si>
  <si>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</si>
  <si>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</si>
  <si>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</si>
  <si>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</si>
  <si>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</si>
  <si>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</si>
  <si>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</si>
  <si>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</si>
  <si>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</si>
  <si>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</si>
  <si>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</si>
  <si>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</si>
  <si>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</si>
  <si>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</si>
  <si>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</si>
  <si>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</si>
  <si>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</si>
  <si>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</si>
  <si>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</si>
  <si>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</si>
  <si>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</si>
  <si>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</si>
  <si>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</si>
  <si>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</si>
  <si>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</si>
  <si>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</si>
  <si>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</si>
  <si>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</si>
  <si>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</si>
  <si>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</si>
  <si>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</si>
  <si>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</si>
  <si>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</si>
  <si>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</si>
  <si>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</si>
  <si>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</si>
  <si>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</si>
  <si>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</si>
  <si>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</si>
  <si>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</si>
  <si>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</si>
  <si>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</si>
  <si>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</si>
  <si>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</si>
  <si>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</si>
  <si>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</si>
  <si>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</si>
  <si>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</si>
  <si>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</si>
  <si>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</si>
  <si>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</si>
  <si>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</si>
  <si>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</si>
  <si>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</si>
  <si>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</si>
  <si>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</si>
  <si>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</si>
  <si>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</si>
  <si>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</si>
  <si>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</si>
  <si>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</si>
  <si>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</si>
  <si>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</si>
  <si>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</si>
  <si>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</si>
  <si>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</si>
  <si>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</si>
  <si>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</si>
  <si>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</si>
  <si>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</si>
  <si>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</si>
  <si>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</si>
  <si>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</si>
  <si>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</si>
  <si>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</si>
  <si>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</si>
  <si>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</si>
  <si>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</si>
  <si>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</si>
  <si>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</si>
  <si>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</si>
  <si>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</si>
  <si>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</si>
  <si>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</si>
  <si>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</si>
  <si>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</si>
  <si>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</si>
  <si>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</si>
  <si>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</si>
  <si>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</si>
  <si>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</si>
  <si>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</si>
  <si>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</si>
  <si>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</si>
  <si>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</si>
  <si>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</si>
  <si>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</si>
  <si>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</si>
  <si>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</si>
  <si>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</si>
  <si>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</si>
  <si>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</si>
  <si>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</si>
  <si>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</si>
  <si>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</si>
  <si>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</si>
  <si>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</si>
  <si>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</si>
  <si>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</si>
  <si>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</si>
  <si>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</si>
  <si>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</si>
  <si>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</si>
  <si>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</si>
  <si>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</si>
  <si>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</si>
  <si>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</si>
  <si>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</si>
  <si>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</si>
  <si>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</si>
  <si>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</si>
  <si>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</si>
  <si>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</si>
  <si>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</si>
  <si>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</si>
  <si>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</si>
  <si>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</si>
  <si>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</si>
  <si>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</si>
  <si>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</si>
  <si>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</si>
  <si>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</si>
  <si>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</si>
  <si>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</si>
  <si>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</si>
  <si>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</si>
  <si>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</si>
  <si>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</si>
  <si>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</si>
  <si>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</si>
  <si>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</si>
  <si>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</si>
  <si>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</si>
  <si>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</si>
  <si>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</si>
  <si>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</si>
  <si>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</si>
  <si>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</si>
  <si>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</si>
  <si>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</si>
  <si>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</si>
  <si>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</si>
  <si>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</si>
  <si>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</si>
  <si>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</si>
  <si>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</si>
  <si>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</si>
  <si>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</si>
  <si>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</si>
  <si>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</si>
  <si>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</si>
  <si>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</si>
  <si>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</si>
  <si>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</si>
  <si>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</si>
  <si>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</si>
  <si>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</si>
  <si>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</si>
  <si>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</si>
  <si>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</si>
  <si>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</si>
  <si>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</si>
  <si>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</si>
  <si>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</si>
  <si>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</si>
  <si>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</si>
  <si>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</si>
  <si>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</si>
  <si>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</si>
  <si>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</si>
  <si>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</si>
  <si>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</si>
  <si>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</si>
  <si>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</si>
  <si>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</si>
  <si>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</si>
  <si>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</si>
  <si>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</si>
  <si>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</si>
  <si>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</si>
  <si>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</si>
  <si>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</si>
  <si>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</si>
  <si>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</si>
  <si>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</si>
  <si>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</si>
  <si>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</si>
  <si>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</si>
  <si>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</si>
  <si>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</si>
  <si>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</si>
  <si>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</si>
  <si>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</si>
  <si>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</si>
  <si>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</si>
  <si>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</si>
  <si>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</si>
  <si>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</si>
  <si>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</si>
  <si>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</si>
  <si>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</si>
  <si>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</si>
  <si>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</si>
  <si>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</si>
  <si>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</si>
  <si>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</si>
  <si>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</si>
  <si>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</si>
  <si>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</si>
  <si>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</si>
  <si>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</si>
  <si>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</si>
  <si>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</si>
  <si>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</si>
  <si>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</si>
  <si>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</si>
  <si>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</si>
  <si>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</si>
  <si>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</si>
  <si>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</si>
  <si>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</si>
  <si>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</si>
  <si>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</si>
  <si>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</si>
  <si>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</si>
  <si>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</si>
  <si>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</si>
  <si>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</si>
  <si>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</si>
  <si>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</si>
  <si>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</si>
  <si>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</si>
  <si>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</si>
  <si>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</si>
  <si>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</si>
  <si>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</si>
  <si>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</si>
  <si>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</si>
  <si>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</si>
  <si>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</si>
  <si>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</si>
  <si>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</si>
  <si>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</si>
  <si>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</si>
  <si>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</si>
  <si>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</si>
  <si>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</si>
  <si>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</si>
  <si>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</si>
  <si>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</si>
  <si>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</si>
  <si>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</si>
  <si>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</si>
  <si>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</si>
  <si>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</si>
  <si>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</si>
  <si>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</si>
  <si>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</si>
  <si>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</si>
  <si>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</si>
  <si>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</si>
  <si>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</si>
  <si>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</si>
  <si>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</si>
  <si>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</si>
  <si>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</si>
  <si>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</si>
  <si>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</si>
  <si>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</si>
  <si>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</si>
  <si>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</si>
  <si>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</si>
  <si>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</si>
  <si>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</si>
  <si>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</si>
  <si>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</si>
  <si>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</si>
  <si>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</si>
  <si>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</si>
  <si>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</si>
  <si>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</si>
  <si>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</si>
  <si>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</si>
  <si>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</si>
  <si>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</si>
  <si>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</si>
  <si>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</si>
  <si>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</si>
  <si>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</si>
  <si>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</si>
  <si>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</si>
  <si>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</si>
  <si>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</si>
  <si>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</si>
  <si>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</si>
  <si>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</si>
  <si>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</si>
  <si>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</si>
  <si>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</si>
  <si>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</si>
  <si>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</si>
  <si>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</si>
  <si>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</si>
  <si>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</si>
  <si>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</si>
  <si>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</si>
  <si>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</si>
  <si>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</si>
  <si>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</si>
  <si>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</si>
  <si>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</si>
  <si>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</si>
  <si>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</si>
  <si>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</si>
  <si>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</si>
  <si>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</si>
  <si>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</si>
  <si>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</si>
  <si>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</si>
  <si>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</si>
  <si>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</si>
  <si>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</si>
  <si>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</si>
  <si>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</si>
  <si>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</si>
  <si>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</si>
  <si>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</si>
  <si>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</si>
  <si>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</si>
  <si>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</si>
  <si>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</si>
  <si>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</si>
  <si>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</si>
  <si>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</si>
  <si>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</si>
  <si>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</si>
  <si>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</si>
  <si>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</si>
  <si>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</si>
  <si>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</si>
  <si>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</si>
  <si>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</si>
  <si>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</si>
  <si>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</si>
  <si>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</si>
  <si>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</si>
  <si>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</si>
  <si>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</si>
  <si>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</si>
  <si>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</si>
  <si>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</si>
  <si>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</si>
  <si>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</si>
  <si>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</si>
  <si>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</si>
  <si>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</si>
  <si>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</si>
  <si>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</si>
  <si>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</si>
  <si>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</si>
  <si>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</si>
  <si>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</si>
  <si>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</si>
  <si>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</si>
  <si>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</si>
  <si>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</si>
  <si>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</si>
  <si>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</si>
  <si>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</si>
  <si>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</si>
  <si>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</si>
  <si>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</si>
  <si>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</si>
  <si>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</si>
  <si>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</si>
  <si>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</si>
  <si>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</si>
  <si>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</si>
  <si>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</si>
  <si>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</si>
  <si>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</si>
  <si>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</si>
  <si>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</si>
  <si>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</si>
  <si>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</si>
  <si>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</si>
  <si>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</si>
  <si>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</si>
  <si>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</si>
  <si>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</si>
  <si>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</si>
  <si>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</si>
  <si>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</si>
  <si>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</si>
  <si>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</si>
  <si>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</si>
  <si>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</si>
  <si>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</si>
  <si>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</si>
  <si>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</si>
  <si>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</si>
  <si>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</si>
  <si>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</si>
  <si>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</si>
  <si>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</si>
  <si>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</si>
  <si>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</si>
  <si>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</si>
  <si>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</si>
  <si>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</si>
  <si>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</si>
  <si>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</si>
  <si>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</si>
  <si>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</si>
  <si>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</si>
  <si>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</si>
  <si>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</si>
  <si>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</si>
  <si>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</si>
  <si>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</si>
  <si>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</si>
  <si>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</si>
  <si>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</si>
  <si>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</si>
  <si>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</si>
  <si>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</si>
  <si>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</si>
  <si>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</si>
  <si>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</si>
  <si>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</si>
  <si>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</si>
  <si>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</si>
  <si>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</si>
  <si>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</si>
  <si>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</si>
  <si>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</si>
  <si>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</si>
  <si>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</si>
  <si>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</si>
  <si>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</si>
  <si>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</si>
  <si>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</si>
  <si>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</si>
  <si>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</si>
  <si>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</si>
  <si>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</si>
  <si>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</si>
  <si>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</si>
  <si>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</si>
  <si>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</si>
  <si>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</si>
  <si>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</si>
  <si>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</si>
  <si>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</si>
  <si>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</si>
  <si>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</si>
  <si>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</si>
  <si>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</si>
  <si>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</si>
  <si>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</si>
  <si>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</si>
  <si>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</si>
  <si>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</si>
  <si>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</si>
  <si>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</si>
  <si>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</si>
  <si>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</si>
  <si>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</si>
  <si>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</si>
  <si>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</si>
  <si>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</si>
  <si>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</si>
  <si>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</si>
  <si>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</si>
  <si>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</si>
  <si>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</si>
  <si>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</si>
  <si>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</si>
  <si>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</si>
  <si>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</si>
  <si>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</si>
  <si>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</si>
  <si>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</si>
  <si>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</si>
  <si>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</si>
  <si>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</si>
  <si>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</si>
  <si>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</si>
  <si>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</si>
  <si>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</si>
  <si>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</si>
  <si>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</si>
  <si>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</si>
  <si>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</si>
  <si>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</si>
  <si>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</si>
  <si>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</si>
  <si>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</si>
  <si>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</si>
  <si>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</si>
  <si>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</si>
  <si>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</si>
  <si>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</si>
  <si>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</si>
  <si>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</si>
  <si>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</si>
  <si>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</si>
  <si>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</si>
  <si>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</si>
  <si>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</si>
  <si>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</si>
  <si>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</si>
  <si>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</si>
  <si>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</si>
  <si>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</si>
  <si>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</si>
  <si>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</si>
  <si>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</si>
  <si>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</si>
  <si>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</si>
  <si>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</si>
  <si>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</si>
  <si>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</si>
  <si>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</si>
  <si>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</si>
  <si>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</si>
  <si>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</si>
  <si>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</si>
  <si>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</si>
  <si>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</si>
  <si>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</si>
  <si>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</si>
  <si>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</si>
  <si>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</si>
  <si>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</si>
  <si>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</si>
  <si>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</si>
  <si>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</si>
  <si>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</si>
  <si>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</si>
  <si>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</si>
  <si>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</si>
  <si>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</si>
  <si>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</si>
  <si>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</si>
  <si>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</si>
  <si>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</si>
  <si>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</si>
  <si>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</si>
  <si>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</si>
  <si>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</si>
  <si>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</si>
  <si>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</si>
  <si>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</si>
  <si>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</si>
  <si>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</si>
  <si>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</si>
  <si>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</si>
  <si>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</si>
  <si>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</si>
  <si>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</si>
  <si>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</si>
  <si>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</si>
  <si>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</si>
  <si>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</si>
  <si>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</si>
  <si>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</si>
  <si>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</si>
  <si>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</si>
  <si>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</si>
  <si>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</si>
  <si>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</si>
  <si>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</si>
  <si>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</si>
  <si>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</si>
  <si>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</si>
  <si>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</si>
  <si>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</si>
  <si>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</si>
  <si>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</si>
  <si>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</si>
  <si>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</si>
  <si>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</si>
  <si>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</si>
  <si>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</si>
  <si>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</si>
  <si>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</si>
  <si>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</si>
  <si>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</si>
  <si>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</si>
  <si>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</si>
  <si>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</si>
  <si>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</si>
  <si>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</si>
  <si>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</si>
  <si>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</si>
  <si>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</si>
  <si>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</si>
  <si>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</si>
  <si>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</si>
  <si>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</si>
  <si>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</si>
  <si>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</si>
  <si>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</si>
  <si>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</si>
  <si>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</si>
  <si>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</si>
  <si>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</si>
  <si>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</si>
  <si>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</si>
  <si>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</si>
  <si>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</si>
  <si>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</si>
  <si>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</si>
  <si>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</si>
  <si>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</si>
  <si>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</si>
  <si>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</si>
  <si>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</si>
  <si>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</si>
  <si>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</si>
  <si>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</si>
  <si>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</si>
  <si>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</si>
  <si>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</si>
  <si>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</si>
  <si>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</si>
  <si>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</si>
  <si>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</si>
  <si>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</si>
  <si>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</si>
  <si>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</si>
  <si>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</si>
  <si>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</si>
  <si>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</si>
  <si>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</si>
  <si>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</si>
  <si>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</si>
  <si>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</si>
  <si>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</si>
  <si>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</si>
  <si>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</si>
  <si>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</si>
  <si>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</si>
  <si>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</si>
  <si>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</si>
  <si>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</si>
  <si>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</si>
  <si>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</si>
  <si>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</si>
  <si>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</si>
  <si>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</si>
  <si>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</si>
  <si>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</si>
  <si>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</si>
  <si>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</si>
  <si>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</si>
  <si>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</si>
  <si>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</si>
  <si>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</si>
  <si>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</si>
  <si>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</si>
  <si>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</si>
  <si>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</si>
  <si>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</si>
  <si>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</si>
  <si>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</si>
  <si>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</si>
  <si>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</si>
  <si>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</si>
  <si>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</si>
  <si>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</si>
  <si>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</si>
  <si>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</si>
  <si>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</si>
  <si>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</si>
  <si>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</si>
  <si>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</si>
  <si>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</si>
  <si>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</si>
  <si>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</si>
  <si>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</si>
  <si>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</si>
  <si>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</si>
  <si>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</si>
  <si>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</si>
  <si>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</si>
  <si>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</si>
  <si>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</si>
  <si>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</si>
  <si>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</si>
  <si>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</si>
  <si>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</si>
  <si>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</si>
  <si>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</si>
  <si>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</si>
  <si>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</si>
  <si>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</si>
  <si>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</si>
  <si>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</si>
  <si>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</si>
  <si>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</si>
  <si>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</si>
  <si>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</si>
  <si>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</si>
  <si>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</si>
  <si>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</si>
  <si>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</si>
  <si>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</si>
  <si>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</si>
  <si>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</si>
  <si>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</si>
  <si>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</si>
  <si>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</si>
  <si>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</si>
  <si>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</si>
  <si>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</si>
  <si>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</si>
  <si>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</si>
  <si>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</si>
  <si>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</si>
  <si>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</si>
  <si>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</si>
  <si>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</si>
  <si>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</si>
  <si>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</si>
  <si>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</si>
  <si>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</si>
  <si>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</si>
  <si>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</si>
  <si>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</si>
  <si>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</si>
  <si>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</si>
  <si>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</si>
  <si>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</si>
  <si>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</si>
  <si>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</si>
  <si>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</si>
  <si>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</si>
  <si>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</si>
  <si>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</si>
  <si>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</si>
  <si>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</si>
  <si>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</si>
  <si>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</si>
  <si>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</si>
  <si>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</si>
  <si>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</si>
  <si>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</si>
  <si>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</si>
  <si>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</si>
  <si>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</si>
  <si>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</si>
  <si>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</si>
  <si>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</si>
  <si>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</si>
  <si>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</si>
  <si>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</si>
  <si>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</si>
  <si>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</si>
  <si>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</si>
  <si>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</si>
  <si>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</si>
  <si>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</si>
  <si>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</si>
  <si>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</si>
  <si>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</si>
  <si>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</si>
  <si>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</si>
  <si>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</si>
  <si>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</si>
  <si>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</si>
  <si>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</si>
  <si>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</si>
  <si>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</si>
  <si>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</si>
  <si>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</si>
  <si>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</si>
  <si>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</si>
  <si>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</si>
  <si>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</si>
  <si>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</si>
  <si>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</si>
  <si>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</si>
  <si>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</si>
  <si>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</si>
  <si>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</si>
  <si>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</si>
  <si>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</si>
  <si>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</si>
  <si>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</si>
  <si>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</si>
  <si>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</si>
  <si>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</si>
  <si>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</si>
  <si>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</si>
  <si>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</si>
  <si>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</si>
  <si>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</si>
  <si>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</si>
  <si>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</si>
  <si>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</si>
  <si>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</si>
  <si>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</si>
  <si>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</si>
  <si>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</si>
  <si>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</si>
  <si>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</si>
  <si>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</si>
  <si>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</si>
  <si>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</si>
  <si>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</si>
  <si>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</si>
  <si>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</si>
  <si>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</si>
  <si>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</si>
  <si>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</si>
  <si>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</si>
  <si>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</si>
  <si>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</si>
  <si>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</si>
  <si>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</si>
  <si>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</si>
  <si>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</si>
  <si>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</si>
  <si>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</si>
  <si>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</si>
  <si>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</si>
  <si>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</si>
  <si>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</si>
  <si>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</si>
  <si>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</si>
  <si>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</si>
  <si>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</si>
  <si>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</si>
  <si>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</si>
  <si>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</si>
  <si>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</si>
  <si>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</si>
  <si>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</si>
  <si>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</si>
  <si>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</si>
  <si>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</si>
  <si>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</si>
  <si>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</si>
  <si>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</si>
  <si>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</si>
  <si>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</si>
  <si>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</si>
  <si>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</si>
  <si>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</si>
  <si>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</si>
  <si>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</si>
  <si>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</si>
  <si>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</si>
  <si>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</si>
  <si>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</si>
  <si>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</si>
  <si>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</si>
  <si>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</si>
  <si>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</si>
  <si>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</si>
  <si>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</si>
  <si>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</si>
  <si>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</si>
  <si>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</si>
  <si>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</si>
  <si>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</si>
  <si>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</si>
  <si>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</si>
  <si>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</si>
  <si>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</si>
  <si>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</si>
  <si>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</si>
  <si>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</si>
  <si>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</si>
  <si>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</si>
  <si>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</si>
  <si>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</si>
  <si>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</si>
  <si>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</si>
  <si>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</si>
  <si>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</si>
  <si>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</si>
  <si>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</si>
  <si>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</si>
  <si>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</si>
  <si>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</si>
  <si>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</si>
  <si>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</si>
  <si>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</si>
  <si>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</si>
  <si>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</si>
  <si>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</si>
  <si>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</si>
  <si>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</si>
  <si>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</si>
  <si>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</si>
  <si>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</si>
  <si>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</si>
  <si>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</si>
  <si>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</si>
  <si>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</si>
  <si>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</si>
  <si>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</si>
  <si>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</si>
  <si>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</si>
  <si>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</si>
  <si>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</si>
  <si>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</si>
  <si>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</si>
  <si>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</si>
  <si>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</si>
  <si>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</si>
  <si>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</si>
  <si>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</si>
  <si>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</si>
  <si>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</si>
  <si>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</si>
  <si>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</si>
  <si>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</si>
  <si>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</si>
  <si>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</si>
  <si>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</si>
  <si>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</si>
  <si>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</si>
  <si>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</si>
  <si>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</si>
  <si>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</si>
  <si>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</si>
  <si>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</si>
  <si>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</si>
  <si>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</si>
  <si>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</si>
  <si>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</si>
  <si>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</si>
  <si>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</si>
  <si>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</si>
  <si>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</si>
  <si>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</si>
  <si>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</si>
  <si>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</si>
  <si>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</si>
  <si>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</si>
  <si>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</si>
  <si>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</si>
  <si>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</si>
  <si>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</si>
  <si>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</si>
  <si>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</si>
  <si>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</si>
  <si>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</si>
  <si>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</si>
  <si>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</si>
  <si>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</si>
  <si>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</si>
  <si>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</si>
  <si>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</si>
  <si>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</si>
  <si>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</si>
  <si>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</si>
  <si>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</si>
  <si>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</si>
  <si>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</si>
  <si>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</si>
  <si>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</si>
  <si>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</si>
  <si>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</si>
  <si>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</si>
  <si>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</si>
  <si>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</si>
  <si>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</si>
  <si>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</si>
  <si>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</si>
  <si>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</si>
  <si>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</si>
  <si>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</si>
  <si>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</si>
  <si>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</si>
  <si>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</si>
  <si>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</si>
  <si>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</si>
  <si>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</si>
  <si>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</si>
  <si>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</si>
  <si>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</si>
  <si>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</si>
  <si>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</si>
  <si>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</si>
  <si>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</si>
  <si>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</si>
  <si>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</si>
  <si>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</si>
  <si>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</si>
  <si>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</si>
  <si>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</si>
  <si>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</si>
  <si>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</si>
  <si>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</si>
  <si>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</si>
  <si>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</si>
  <si>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</si>
  <si>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</si>
  <si>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</si>
  <si>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</si>
  <si>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</si>
  <si>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</si>
  <si>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</si>
  <si>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</si>
  <si>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</si>
  <si>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</si>
  <si>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</si>
  <si>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</si>
  <si>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</si>
  <si>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</si>
  <si>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</si>
  <si>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</si>
  <si>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</si>
  <si>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</si>
  <si>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</si>
  <si>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</si>
  <si>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</si>
  <si>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</si>
  <si>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</si>
  <si>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</si>
  <si>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</si>
  <si>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</si>
  <si>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</si>
  <si>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</si>
  <si>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</si>
  <si>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</si>
  <si>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</si>
  <si>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</si>
  <si>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</si>
  <si>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</si>
  <si>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</si>
  <si>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</si>
  <si>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</si>
  <si>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</si>
  <si>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</si>
  <si>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</si>
  <si>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</si>
  <si>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</si>
  <si>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</si>
  <si>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</si>
  <si>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</si>
  <si>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</si>
  <si>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</si>
  <si>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</si>
  <si>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</si>
  <si>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</si>
  <si>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</si>
  <si>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</si>
  <si>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</si>
  <si>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</si>
  <si>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</si>
  <si>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</si>
  <si>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</si>
  <si>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</si>
  <si>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</si>
  <si>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</si>
  <si>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</si>
  <si>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</si>
  <si>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</si>
  <si>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</si>
  <si>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</si>
  <si>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</si>
  <si>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</si>
  <si>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</si>
  <si>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</si>
  <si>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</si>
  <si>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</si>
  <si>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</si>
  <si>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</si>
  <si>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</si>
  <si>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</si>
  <si>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</si>
  <si>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</si>
  <si>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</si>
  <si>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</si>
  <si>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</si>
  <si>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</si>
  <si>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</si>
  <si>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</si>
  <si>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</si>
  <si>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</si>
  <si>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</si>
  <si>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</si>
  <si>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</si>
  <si>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</si>
  <si>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</si>
  <si>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</si>
  <si>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</si>
  <si>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</si>
  <si>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</si>
  <si>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</si>
  <si>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</si>
  <si>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</si>
  <si>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</si>
  <si>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</si>
  <si>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</si>
  <si>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</si>
  <si>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</si>
  <si>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</si>
  <si>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</si>
  <si>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</si>
  <si>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</si>
  <si>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</si>
  <si>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</si>
  <si>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</si>
  <si>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</si>
  <si>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</si>
  <si>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</si>
  <si>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</si>
  <si>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</si>
  <si>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</si>
  <si>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</si>
  <si>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</si>
  <si>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</si>
  <si>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</si>
  <si>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</si>
  <si>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</si>
  <si>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</si>
  <si>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</si>
  <si>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</si>
  <si>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</si>
  <si>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</si>
  <si>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</si>
  <si>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</si>
  <si>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</si>
  <si>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</si>
  <si>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</si>
  <si>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</si>
  <si>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</si>
  <si>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</si>
  <si>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</si>
  <si>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</si>
  <si>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</si>
  <si>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</si>
  <si>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</si>
  <si>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</si>
  <si>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</si>
  <si>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</si>
  <si>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</si>
  <si>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</si>
  <si>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</si>
  <si>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</si>
  <si>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</si>
  <si>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</si>
  <si>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</si>
  <si>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</si>
  <si>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</si>
  <si>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</si>
  <si>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</si>
  <si>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</si>
  <si>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</si>
  <si>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</si>
  <si>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</si>
  <si>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</si>
  <si>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</si>
  <si>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</si>
  <si>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</si>
  <si>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</si>
  <si>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</si>
  <si>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</si>
  <si>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</si>
  <si>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</si>
  <si>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</si>
  <si>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</si>
  <si>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</si>
  <si>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</si>
  <si>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</si>
  <si>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</si>
  <si>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</si>
  <si>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</si>
  <si>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</si>
  <si>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</si>
  <si>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</si>
  <si>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</si>
  <si>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</si>
  <si>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</si>
  <si>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</si>
  <si>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</si>
  <si>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</si>
  <si>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</si>
  <si>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</si>
  <si>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</si>
  <si>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</si>
  <si>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</si>
  <si>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</si>
  <si>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</si>
  <si>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</si>
  <si>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</si>
  <si>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</si>
  <si>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</si>
  <si>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</si>
  <si>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</si>
  <si>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</si>
  <si>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</si>
  <si>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</si>
  <si>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</si>
  <si>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</si>
  <si>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</si>
  <si>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</si>
  <si>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</si>
  <si>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</si>
  <si>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</si>
  <si>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</si>
  <si>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</si>
  <si>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</si>
  <si>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</si>
  <si>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</si>
  <si>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</si>
  <si>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</si>
  <si>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</si>
  <si>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</si>
  <si>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</si>
  <si>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</si>
  <si>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</si>
  <si>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</si>
  <si>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</si>
  <si>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</si>
  <si>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</si>
  <si>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</si>
  <si>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</si>
  <si>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</si>
  <si>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</si>
  <si>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</si>
  <si>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</si>
  <si>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</si>
  <si>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</si>
  <si>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</si>
  <si>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</si>
  <si>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</si>
  <si>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</si>
  <si>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</si>
  <si>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</si>
  <si>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</si>
  <si>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</si>
  <si>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</si>
  <si>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</si>
  <si>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</si>
  <si>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</si>
  <si>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</si>
  <si>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</si>
  <si>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</si>
  <si>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</si>
  <si>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</si>
  <si>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</si>
  <si>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</si>
  <si>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</si>
  <si>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</si>
  <si>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</si>
  <si>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</si>
  <si>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</si>
  <si>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</si>
  <si>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</si>
  <si>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</si>
  <si>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</si>
  <si>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</si>
  <si>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</si>
  <si>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</si>
  <si>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</si>
  <si>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</si>
  <si>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</si>
  <si>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</si>
  <si>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</si>
  <si>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</si>
  <si>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</si>
  <si>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</si>
  <si>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</si>
  <si>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</si>
  <si>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</si>
  <si>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</si>
  <si>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</si>
  <si>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</si>
  <si>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</si>
  <si>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</si>
  <si>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</si>
  <si>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</si>
  <si>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</si>
  <si>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</si>
  <si>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</si>
  <si>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</si>
  <si>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</si>
  <si>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</si>
  <si>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</si>
  <si>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</si>
  <si>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</si>
  <si>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</si>
  <si>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</si>
  <si>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</si>
  <si>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</si>
  <si>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</si>
  <si>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</si>
  <si>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</si>
  <si>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</si>
  <si>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</si>
  <si>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</si>
  <si>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</si>
  <si>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</si>
  <si>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</si>
  <si>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</si>
  <si>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</si>
  <si>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</si>
  <si>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</si>
  <si>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</si>
  <si>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</si>
  <si>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</si>
  <si>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</si>
  <si>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</si>
  <si>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</si>
  <si>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</si>
  <si>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</si>
  <si>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</si>
  <si>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</si>
  <si>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</si>
  <si>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</si>
  <si>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</si>
  <si>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</si>
  <si>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</si>
  <si>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</si>
  <si>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</si>
  <si>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</si>
  <si>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</si>
  <si>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</si>
  <si>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</si>
  <si>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</si>
  <si>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</si>
  <si>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</si>
  <si>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</si>
  <si>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</si>
  <si>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</si>
  <si>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</si>
  <si>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</si>
  <si>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</si>
  <si>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</si>
  <si>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</si>
  <si>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</si>
  <si>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</si>
  <si>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</si>
  <si>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</si>
  <si>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</si>
  <si>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</si>
  <si>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</si>
  <si>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</si>
  <si>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</si>
  <si>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</si>
  <si>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</si>
  <si>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</si>
  <si>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</si>
  <si>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</si>
  <si>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</si>
  <si>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</si>
  <si>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</si>
  <si>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</si>
  <si>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</si>
  <si>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</si>
  <si>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</si>
  <si>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</si>
  <si>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</si>
  <si>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</si>
  <si>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</si>
  <si>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</si>
  <si>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</si>
  <si>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</si>
  <si>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</si>
  <si>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</si>
  <si>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</si>
  <si>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</si>
  <si>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</si>
  <si>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</si>
  <si>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</si>
  <si>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</si>
  <si>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</si>
  <si>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</si>
  <si>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</si>
  <si>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</si>
  <si>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</si>
  <si>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</si>
  <si>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162</t>
  </si>
  <si>
    <t>163</t>
  </si>
  <si>
    <t>164</t>
  </si>
  <si>
    <t>165;166;167;168</t>
  </si>
  <si>
    <t>169;171;172;173;174</t>
  </si>
  <si>
    <t>XXX_RPMO1</t>
  </si>
  <si>
    <t>Aeropuerto Chacalluta de Arica</t>
  </si>
  <si>
    <t>Ruta del Itata</t>
  </si>
  <si>
    <t>Américo Vespucio Oriente, Tramo Av. El Salto - Príncipe de Gales</t>
  </si>
  <si>
    <t>Mejoramiento Ruta G-21</t>
  </si>
  <si>
    <t>Américo Vespucio Oriente, Tramo Av. Príncipe de Gales - Los Presidentes</t>
  </si>
  <si>
    <t>Mejoramiento y conservación de la Ruta 43 de la Región de Coquimbo</t>
  </si>
  <si>
    <t>Autopistas de la Región de Antofagasta</t>
  </si>
  <si>
    <t>Aeropuerto La Florida de La Serena</t>
  </si>
  <si>
    <t>Nuevo Aeropuerto Regional de Atacama</t>
  </si>
  <si>
    <t>Ruta 5 Tramo Chillán - Collipulli</t>
  </si>
  <si>
    <t xml:space="preserve">Autopista Concepción - Cabrero </t>
  </si>
  <si>
    <t>Ruta 5 Tramo Collipulli - Temuco</t>
  </si>
  <si>
    <t>Ruta 5 Tramo Los Vilos - La Serena</t>
  </si>
  <si>
    <t>Embalse Convento Viejo II Etapa</t>
  </si>
  <si>
    <t>Embalse Illapel</t>
  </si>
  <si>
    <t>Embalse Las Palmas</t>
  </si>
  <si>
    <t>Nuevo establecimiento penitenciario de Copiapó</t>
  </si>
  <si>
    <t>Embalse La Punilla</t>
  </si>
  <si>
    <t>Hospital de Buin Paine</t>
  </si>
  <si>
    <t>Red Biobío: Hospital Santa Bárbara, Hospital de Nacimiento, Hospital de Coronel y Hospital de Lota</t>
  </si>
  <si>
    <t>Red Maule:  Hospital Cauquenes, Hospital de Constitución y Hospital de Parral</t>
  </si>
  <si>
    <t>Red O'Higgins: Hospital de Rengo y Hospital de Pichilemu</t>
  </si>
  <si>
    <t>Hospital de Coquimbo</t>
  </si>
  <si>
    <t>Hospital de La Serena</t>
  </si>
  <si>
    <t>Red Los Ríos-Los Lagos</t>
  </si>
  <si>
    <t>Instituto Nacional del Cáncer</t>
  </si>
  <si>
    <t>Ruta 5 Tramo Los Vilos – La Serena</t>
  </si>
  <si>
    <t>Puente Industrial</t>
  </si>
  <si>
    <t>Ruta 5 Tramo Río Bueno - Puerto Montt</t>
  </si>
  <si>
    <t>Ruta 5 Tramo Puerto Montt - Pargua</t>
  </si>
  <si>
    <t>Programa de Concesiones de Infraestructura Penitenciaria, Grupo 3</t>
  </si>
  <si>
    <t>Red Aeroportuaria Austral</t>
  </si>
  <si>
    <t>Rutas del Loa</t>
  </si>
  <si>
    <t>Ruta 5 Tramo Santiago - Los Vilos</t>
  </si>
  <si>
    <t>Ruta 5 Tramo Santiago - Talca y Acceso Sur a Santiago</t>
  </si>
  <si>
    <t>Sistema Oriente - Poniente</t>
  </si>
  <si>
    <t>Ruta 5 Tramo Talca - Chillán</t>
  </si>
  <si>
    <t>Teleférico Bicentenario</t>
  </si>
  <si>
    <t>Ruta 5 Tramo Temuco - Río Bueno</t>
  </si>
  <si>
    <t>Segunda Concesión Ruta 5 Tramo Temuco - Río Bueno</t>
  </si>
  <si>
    <t>Ruta 5 Tramo La Serena - Vallenar</t>
  </si>
  <si>
    <t>Ruta 5 Tramo Vallenar - Caldera</t>
  </si>
  <si>
    <t>streetview</t>
  </si>
  <si>
    <t>https://www.google.com/maps/embed?pb=!4v1785283585828!6m8!1m7!1s20BCqV-EOvWBmVTwswXMrQ!2m2!1d-32.61811778474448!2d-71.22931129306323!3f330.5117709771579!4f-8.06135341617177!5f0.7820865974627469</t>
  </si>
  <si>
    <t>https://www.google.com/maps/embed?pb=!4v1785285335812!6m8!1m7!1soJnziCqD_8PXFeaagV9Hdw!2m2!1d-37.32559402006441!2d-73.29328068536594!3f221.61285992040317!4f-5.796473675989418!5f0.7820865974627469</t>
  </si>
  <si>
    <t>https://www.google.com/maps/embed?pb=!4v1785285521779!6m8!1m7!1sXzkZpJWXOmsoG7zC6zbcBQ!2m2!1d-33.39050050801918!2d-70.60431768680888!3f233.50224000419246!4f0.5053603487983196!5f0.5082050155148539</t>
  </si>
  <si>
    <t>https://www.google.com/maps/embed?pb=!4v1785285777442!6m8!1m7!1szqlUoOJhY3StrcbTh7zLIw!2m2!1d-30.13618511871525!2d-71.22909520698978!3f156.1504396754161!4f-0.054600542371815664!5f0.7820865974627469</t>
  </si>
  <si>
    <t>https://www.google.com/maps/embed?pb=!4v1785285963490!6m8!1m7!1ssfwgjQbAJOz9WzKDSlGA5A!2m2!1d-33.75938366741146!2d-71.23482570696129!3f38.710607391076906!4f-5.066115333094032!5f0.7820865974627469</t>
  </si>
  <si>
    <t>https://www.google.com/maps/embed?pb=!4v1785286037393!6m8!1m7!1suTzf6BIKnbrSQSD7Pk5BbA!2m2!1d-32.80907816537668!2d-70.92375082589824!3f45.270988914669346!4f-1.6655021873636144!5f0.7820865974627469</t>
  </si>
  <si>
    <t>https://www.google.com/maps/embed?pb=!4v1785286120343!6m8!1m7!1sjEoOA31Dc-3Rj-8nmoIUVw!2m2!1d-34.06734182172545!2d-71.36683395895622!3f168.0046528187875!4f-1.2905443962804526!5f0.7820865974627469</t>
  </si>
  <si>
    <t>https://www.google.com/maps/embed?pb=!4v1785286251647!6m8!1m7!1s1aaMVIZzGyBY1dnc7DaHcw!2m2!1d-20.26083849874912!2d-70.03386979536246!3f200.38391921001812!4f-3.9969951923617657!5f0.7820865974627469</t>
  </si>
  <si>
    <t>https://www.google.com/maps/embed?pb=!4v1785286330694!6m8!1m7!1sszX8fAEXrRMa3zB3-T1bhw!2m2!1d-33.31207032281502!2d-70.65050532654125!3f112.46069538385784!4f2.037033717414971!5f0.7820865974627469</t>
  </si>
  <si>
    <t>https://www.google.com/maps/embed?pb=!4v1785286404030!6m8!1m7!1sqHZW3gYmLF4VCIGTfPjhzg!2m2!1d-36.65327881345259!2d-72.4279205293022!3f55.40858398408112!4f-0.2642350994423168!5f0.7820865974627469</t>
  </si>
  <si>
    <t>https://www.google.com/maps/embed?pb=!4v1785288132986!6m8!1m7!1sCDF-t26y7H62mUieiHJDWw!2m2!1d-18.34958681251418!2d-70.33525618435634!3f326.32318528900606!4f6.879629010340125!5f0.7820865974627469</t>
  </si>
  <si>
    <t>https://www.google.com/maps/embed?pb=!4v1785288271477!6m8!1m7!1sfUiKkKHd-Ghu6lgAVwoPkA!2m2!1d-18.34950887593706!2d-70.33532883821316!3f333.1185764722373!4f-4.3879259808882125!5f0.7820865974627469</t>
  </si>
  <si>
    <t>https://www.google.com/maps/embed?pb=!4v1785288788341!6m8!1m7!1s7TV558cbLc7VmXdUWzQ-nQ!2m2!1d-36.77728992931906!2d-73.06053490339305!3f75.33233412569366!4f-1.6181881493233874!5f0.7820865974627469</t>
  </si>
  <si>
    <t>https://www.google.com/maps/embed?pb=!4v1785288833540!6m8!1m7!1s_JoHKWpzuVkOZv5-laeW1A!2m2!1d-36.77747764253254!2d-73.06058128880079!3f42.34327637973716!4f-1.2206193163364247!5f0.7820865974627469</t>
  </si>
  <si>
    <t>https://www.google.com/maps/embed?pb=!4v1785289251637!6m8!1m7!1siZ_Cc4rgjDdUSkKO2pnp5g!2m2!1d-20.54631459157731!2d-70.1778640005833!3f219.08149553873756!4f6.692883431763079!5f0.7071141048142802</t>
  </si>
  <si>
    <t>https://www.google.com/maps/embed?pb=!4v1785289376514!6m8!1m7!1stROQT0gLOgEgjqMrtaxa_Q!2m2!1d-20.54730347770245!2d-70.17798990710968!3f241.32073687212875!4f0.4013124812893807!5f0.7820865974627469</t>
  </si>
  <si>
    <t>https://www.google.com/maps/embed?pb=!4v1785289603096!6m8!1m7!1sXNtRhdir38Wj-AiqajC3pQ!2m2!1d-22.49493414479877!2d-68.90858113066156!3f202.78833232309853!4f-4.1049154122937495!5f0.7820865974627469</t>
  </si>
  <si>
    <t>https://www.google.com/maps/embed?pb=!4v1785289636511!6m8!1m7!1sjOQd2WQCzwI9fODANtasSg!2m2!1d-22.49490036105452!2d-68.90835872569598!3f111.1657325733429!4f2.6466407450393064!5f0.7820865974627469</t>
  </si>
  <si>
    <t>https://www.google.com/maps/embed?pb=!4v1785290150295!6m8!1m7!1sicThNaSV4Im5zlPp8Z8EwA!2m2!1d-36.8134299744532!2d-73.13195268530824!3f185.4989004980487!4f5.353377164855985!5f0.7820865974627469</t>
  </si>
  <si>
    <t>Proyecto</t>
  </si>
  <si>
    <t>Institucion mandante</t>
  </si>
  <si>
    <t>Fuente  de inf</t>
  </si>
  <si>
    <t xml:space="preserve">Inversion (USD) </t>
  </si>
  <si>
    <t>Descripcion</t>
  </si>
  <si>
    <t>Extension Tren Limache - Puerto a Quillota y La Calera</t>
  </si>
  <si>
    <t>EFE</t>
  </si>
  <si>
    <t>https://www.efe.cl/proyectos/</t>
  </si>
  <si>
    <t>Nuevo Servicio Tren Chillan - Estacion Central</t>
  </si>
  <si>
    <t>Mejoramiento ramal Tren - Talca-Constitucion</t>
  </si>
  <si>
    <t>Puente Biobio</t>
  </si>
  <si>
    <t>Tren Batuco - Quinta Normal</t>
  </si>
  <si>
    <t>Tren Melipilla - Estacion Central</t>
  </si>
  <si>
    <t>Tren Puerto Montt - Llanquihue</t>
  </si>
  <si>
    <t>-</t>
  </si>
  <si>
    <t>Plataforma Logistica Ferroportuaria</t>
  </si>
  <si>
    <t>La primera fase de este proyecto corresponde a la modernización del Patio Barrancas ubicado en el costado del terminal portuario de San Antonio y la construcción de desvíos ferroviarios fuera del recinto. La iniciativa, denominada Terminal Intermodal Barrancas permitirá quintuplicar la capacidad de carga movilizada por tren en ese puerto, pasando de 50 mil TEU´s a 250 mil TEU´s por año, con servicios disponibles para todos los concesionarios del puerto. Asimismo, permitirá el tránsito de trenes de mayor longitud, pasando de 400 a 600 metros</t>
  </si>
  <si>
    <t>Nuevo medio de pago</t>
  </si>
  <si>
    <t>Este proyecto considera la modernización del sistema de pago de todos los servicios existentes en el país, correspondientes a las tres filiales con operaciones de pasajeros (EFE Valparaíso, EFE Central y EFE Sur). Contempla el uso de la nueva tarjeta Conecta, válida para cualquiera de los servicios de EFE, con lo que se integra el sistema de cobro, pudiendo utilizarse este medio de pago también en otros sistemas de transporte público. La primera etapa comenzó a implementarse en la Región del Biobío, con la habilitación de la nueva tarjeta, el reemplazo de los validadores, la reparación de torniquetes, la instalación de nuevas máquinas de autoatención en estaciones y el sistema de recarga a través de la aplicación de EFE o por página web. La siguiente etapa correspondió a su habilitación en los servicios de EFE Valparaíso. La tercera fase incorporó el uso de QR, además de tarjeta de crédito y débito (EMV) para pago directo en validadores tanto en Valparaíso como en Concepción. La última etapa, implementada en febrero de 2026 comenzó a operar en el servicio San Fernando- Rancagua-Alameda de EFE Central.</t>
  </si>
  <si>
    <t>Limache - La Calera</t>
  </si>
  <si>
    <t>Este proyecto contempla la ampliación de los servicios del tren Limache Puerto hasta La Calera, incorporando a las comunas de Quillota, La Cruz y La Calera. Considera la construcción de 26 kilómetros de vías dobles para pasajeros y el mejoramiento de la existente para el transporte de carga. En su trazado se proyecta 7 estaciones, pasos vehiculares desnivelados, pasos peatonales desnivelados y 15 nuevos trenes. Actualmente, el proyecto se encuentra en etapa de diseño (ingeniería de detalle) y en tramitación ambiental.</t>
  </si>
  <si>
    <t>Estacion Valencia</t>
  </si>
  <si>
    <t>Cumpliendo con un anhelo transversal de los vecinos de Quilpué, en enero de 2026 se inauguró la Estación Valencia para el servicio de tren Limache-Puerto. En el marco del mismo proyecto, iniciado en 2023, se instaló un paradero de buses para facilitar la conexión a los vecinos de distintos sectores, lo que permite la combinación con el tren en la estación.</t>
  </si>
  <si>
    <t>Nuevos trenes para reforazar servicio Rancagua - Estacion Central</t>
  </si>
  <si>
    <t>Con el propósito de atender la creciente demanda de pasajeros en el servicio Rancagua-Estación Central, EFE realizó durante el mes de diciembre de 2022 la compra de 3 nuevos trenes para reforzar los servicios. Durante 2023, este servicio movilizó un total de 7,1 millones de pasajeros, lo que representa un incremento de 115% en relación con 2021, y de 173% si se compara con 2019, año pre pandemia. Los trenes fueron probados y 2 se encuentran habilitados, poniéndose en servicio en la ruta hasta San Fernando. Gracias a esto, los habitantes de San Fernando pueden usar trenes nuevos después de más de 40 años.</t>
  </si>
  <si>
    <t>Extension de Biotren Coronel - Lota</t>
  </si>
  <si>
    <t>El sistema de transporte en el Gran Concepción ha enfrentado numerosas dificultades a raíz del crecimiento de los sectores habitacionales y la limitada capacidad de traslado por la vialidad existente (Ruta 160) y el deficiente sistema de transporte público (microbuses). A raíz de esta situación, los servicios del Biotren han incrementado considerablemente sus flujos, llegando a 11,7 millones de pasajeros en 2024. De ese total, el 85% corresponde a la Línea 2 que une Coronel y Concepción. Este proyecto, considera la extensión de la Línea 2 hasta Lota, con una inversión de US$ 155 MM, la compra de 6 nuevos trenes y la habilitación de 5 nuevas estaciones (Coronel Sur, Playa Blanca, Cousiño, Chiflón y Lota). Actualmente, el proyecto alcanza un 27% de avance, lo que considera la implementación de medidas de Participación Ciudadana Temprana para el Estudio de Impacto Ambiental.</t>
  </si>
  <si>
    <t>Paradas de Cajon y Padre Las Casas</t>
  </si>
  <si>
    <t>Con el objetivo de mejorar la conectividad de los habitantes de la Región de La Araucanía, se desarrollaron dos proyectos destinados a: Ampliar el servicio Victoria Temuco hacia Padre Las Casas con la instalación de una nueva parada en esa comuna, inaugurada en abril de 2025. En diciembre de 2023, se habilitó una parada en la localidad de Cajón, en la comuna de Vilcún, en un trayecto que realiza el servicio Victoria-Temuco, pero debido a la falta de infraestrutura el tren no se podía detener.</t>
  </si>
  <si>
    <t>Mejoramiento de estaciones Region de O'Higgins</t>
  </si>
  <si>
    <t>Financiacion GORE</t>
  </si>
  <si>
    <t>En el marco del convenio suscrito con la Gobernación Regional de O’Higgins en agosto de 2022 y con el apoyo de la Dirección Regional de Arquitectura del MOP se realizó un primer proceso de licitación para la recuperación arquitectónica de dos primeras estaciones, correspondientes a Requínoa y Rosario, a cargo de la empresa Calfrío, con el financiamiento es del Gobierno Regional.</t>
  </si>
  <si>
    <t>Ampliacion de Capacidad de Biotren</t>
  </si>
  <si>
    <t>La ampliación de capacidad tiene por objetivo aumentar la oferta de servicios ferroviarios en el tramo Concepción-Coronel. El proyecto considera la compra de 10 nuevos trenes, el refuerzo de la alimentación de tracción existente (doble hilo de contacto en catenarias), extensión de los andenes en las 14 estaciones del trazado, como también la modificación de los sistemas ferroviarios, la construcción de un nuevo taller de mantenimiento en Escuadrón y la construcción de una subestación eléctrica rectificadora (SER). El objetivo es duplicar la capacidad de viajes, con la operación de trenes dobles. A través de soluciones modulares en una primera fase (durante primer trimestre de 2027) y de andenes definitivos en una etapa siguiente (hacia 2028), se generará un aumento de oferta de transporte de 40% (en hora punta mañana, durante la primera fase) y de 100% en horas punta mañana y tarde en la segunda fase), minimizando la posibilidad de que los pasajeros queden abajo del tren y deban esperar el siguiente.</t>
  </si>
  <si>
    <t>Adquisicion de 2 nuevos trenes de respaldo para Biotren</t>
  </si>
  <si>
    <t>Para fortalecer la resiliencia de las operaciones de Biotren, se dispuso la compra de dos nuevos trenes destinados a complementar la disponibilidad de material rodante en la Línea 2 de Biotren.</t>
  </si>
  <si>
    <t>Ampliacion de capacidad de operaciones EFE Valparaiso</t>
  </si>
  <si>
    <t>Este proyecto considera la adquisición de 5 nuevos trenes para robustecer el funcionamiento del servicio Limache Puerto, que anualmente mueve más de 20 millones de pasajeros.</t>
  </si>
  <si>
    <t>Adquisicion de 8 locomotoras para tareas de mantenimiento</t>
  </si>
  <si>
    <t>Con el objetivo de reforzar la flota para labores de mantenimiento y traslado de materiales, EFE lleva adelante un proceso de licitación destinado a adquirir 8 locomotoras nuevas, que complementarán la labor desarrollada por las actualmente disponibles que tienen más de 60 años de funcionamiento.</t>
  </si>
  <si>
    <t>Servicio Temuco - Gorbea</t>
  </si>
  <si>
    <t>El nuevo servicio ferroviario entre Temuco y Gorbea considera la rehabilitación completa de la vía férrea, la adquisición de 4 nuevos trenes; la rehabilitación de la estación de Gorbea, además de la construcción de 3 nuevos paraderos (2 en Temuco y 1 en Freire). Asimismo, contempla la habilitación y mejoramiento de 50 pasos peatonales y la automatización de 13 pasos vehiculares. Además, incorpora la ampliación del taller de mantenimiento de Victoria. El tiempo de traslado será de 44 minutos y el estándar de la vía será Clase C para 100 kilómetros/hora. En diciembre de 2025 se iniciaron las obras de rehabilitación de vías, mientars que durante el segundo semestre de 2026 se estima la llegada de cuatro nuevos trenes, actualmente en proceso de fabricación.</t>
  </si>
  <si>
    <t>Construccion Servicio Ferroviario Biotren Hacia el Norte de Concepcion (Biotren a Penco)</t>
  </si>
  <si>
    <t>En factibilidad</t>
  </si>
  <si>
    <t>El proyecto consiste en la extensión en 19,5 km del servicio Biotren desde la comuna de Concepción hacia la comuna de Penco, hasta el sector de Lirquén. Esta extensión se realizará por la actual vía ferroviaria que utilizan los trenes de carga para ir hacia y desde el Puerto Lirquén</t>
  </si>
  <si>
    <t>max</t>
  </si>
  <si>
    <t>1;2;3</t>
  </si>
  <si>
    <t>4;5;6;7;8;9;10;11;12;13;14;15;16;17;18;19;20;21;22</t>
  </si>
  <si>
    <t>23;24;9</t>
  </si>
  <si>
    <t>25;26</t>
  </si>
  <si>
    <t>27;28;29</t>
  </si>
  <si>
    <t>30;31;32;33;34;22</t>
  </si>
  <si>
    <t>36;37</t>
  </si>
  <si>
    <t>39;40</t>
  </si>
  <si>
    <t>43;44</t>
  </si>
  <si>
    <t>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</si>
</sst>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 #,##0_ ;_ * \-#,##0_ ;_ * &quot;-&quot;_ ;_ @_ "/>
    <numFmt numFmtId="164" formatCode="#,##0.0"/>
    <numFmt numFmtId="165" formatCode="0.0%"/>
  </numFmts>
  <fonts count="18"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
      <sz val="10"/>
      <name val="Arial"/>
      <family val="2"/>
    </font>
    <font>
      <sz val="10"/>
      <color rgb="FF525252"/>
      <name val="Arial"/>
      <family val="2"/>
    </font>
    <font>
      <sz val="10"/>
      <color theme="0"/>
      <name val="Arial"/>
      <family val="2"/>
    </font>
  </fonts>
  <fills count="10">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4"/>
        <bgColor indexed="64"/>
      </patternFill>
    </fill>
  </fills>
  <borders count="9">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0">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41" fontId="1" fillId="0" borderId="0" applyFont="0" applyFill="0" applyBorder="0" applyAlignment="0" applyProtection="0"/>
  </cellStyleXfs>
  <cellXfs count="88">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165" fontId="6" fillId="0" borderId="0" xfId="1" applyNumberFormat="1" applyFont="1" applyFill="1" applyBorder="1" applyAlignment="1">
      <alignment wrapText="1"/>
    </xf>
    <xf numFmtId="0" fontId="6" fillId="0" borderId="0" xfId="0" applyFont="1"/>
    <xf numFmtId="0" fontId="8" fillId="0" borderId="1" xfId="6" applyFont="1" applyBorder="1" applyAlignment="1">
      <alignment wrapText="1"/>
    </xf>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xf numFmtId="0" fontId="0" fillId="5" borderId="7" xfId="0" applyFont="1" applyFill="1" applyBorder="1"/>
    <xf numFmtId="0" fontId="15" fillId="0" borderId="0" xfId="0" applyFont="1" applyAlignment="1">
      <alignment wrapText="1"/>
    </xf>
    <xf numFmtId="0" fontId="3" fillId="0" borderId="0" xfId="2" applyAlignment="1">
      <alignment wrapText="1"/>
    </xf>
    <xf numFmtId="41" fontId="0" fillId="0" borderId="0" xfId="9" applyFont="1"/>
    <xf numFmtId="3" fontId="0" fillId="0" borderId="0" xfId="0" applyNumberFormat="1"/>
    <xf numFmtId="0" fontId="16" fillId="0" borderId="0" xfId="0" applyFont="1"/>
    <xf numFmtId="0" fontId="16" fillId="0" borderId="0" xfId="0" applyFont="1" applyAlignment="1">
      <alignment horizontal="left" vertical="center"/>
    </xf>
    <xf numFmtId="0" fontId="15" fillId="0" borderId="0" xfId="0" applyFont="1"/>
    <xf numFmtId="0" fontId="6" fillId="5" borderId="8" xfId="0" applyFont="1" applyFill="1" applyBorder="1" applyAlignment="1">
      <alignment wrapText="1"/>
    </xf>
    <xf numFmtId="0" fontId="6" fillId="0" borderId="8" xfId="0" applyFont="1" applyFill="1" applyBorder="1" applyAlignment="1">
      <alignment wrapText="1"/>
    </xf>
    <xf numFmtId="0" fontId="0" fillId="0" borderId="7" xfId="0" applyFont="1" applyFill="1" applyBorder="1"/>
    <xf numFmtId="0" fontId="0" fillId="9" borderId="0" xfId="0" applyFill="1"/>
    <xf numFmtId="0" fontId="17" fillId="9" borderId="0" xfId="0" applyFont="1" applyFill="1"/>
  </cellXfs>
  <cellStyles count="10">
    <cellStyle name="Hipervínculo" xfId="2" builtinId="8"/>
    <cellStyle name="Millares [0]" xfId="9" builtinId="6"/>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50">
    <dxf>
      <alignment horizontal="general" vertical="bottom" textRotation="0" wrapText="1" indent="0" justifyLastLine="0" shrinkToFit="0" readingOrder="0"/>
    </dxf>
    <dxf>
      <font>
        <b val="0"/>
        <i val="0"/>
        <strike val="0"/>
        <condense val="0"/>
        <extend val="0"/>
        <outline val="0"/>
        <shadow val="0"/>
        <u val="none"/>
        <vertAlign val="baseline"/>
        <sz val="10"/>
        <color rgb="FF525252"/>
        <name val="Arial"/>
        <family val="2"/>
        <scheme val="none"/>
      </font>
    </dxf>
    <dxf>
      <numFmt numFmtId="3" formatCode="#,##0"/>
    </dxf>
    <dxf>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Aptos Narrow"/>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fill>
        <patternFill patternType="solid">
          <fgColor indexed="64"/>
          <bgColor theme="7" tint="0.79998168889431442"/>
        </patternFill>
      </fill>
    </dxf>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ill>
        <patternFill patternType="solid">
          <fgColor rgb="FFFFFF00"/>
          <bgColor rgb="FF000000"/>
        </patternFill>
      </fill>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49">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B1:AJ128" totalsRowShown="0" headerRowDxfId="48" dataDxfId="46" headerRowBorderDxfId="47" tableBorderDxfId="45" headerRowCellStyle="Normal_Hoja1">
  <autoFilter ref="B1:AJ128" xr:uid="{1D629CF4-C472-4B9E-A105-412493DC473F}"/>
  <sortState xmlns:xlrd2="http://schemas.microsoft.com/office/spreadsheetml/2017/richdata2" ref="C2:AJ128">
    <sortCondition sortBy="cellColor" ref="C1:C128" dxfId="44"/>
  </sortState>
  <tableColumns count="35">
    <tableColumn id="35" xr3:uid="{51A86E7B-74D4-4FC2-AD10-E5089F2EAB7C}" name="Max" dataDxfId="43">
      <calculatedColumnFormula>MAX($C$2:$C$128)</calculatedColumnFormula>
    </tableColumn>
    <tableColumn id="33" xr3:uid="{B847CA8D-C350-4F19-B0B8-2917E9EC5B6C}" name="Aux" dataDxfId="42">
      <calculatedColumnFormula array="1">IFERROR(MAX(--_xlfn.TEXTSPLIT(D2,";")),0)</calculatedColumnFormula>
    </tableColumn>
    <tableColumn id="36" xr3:uid="{E47F5A70-B048-4DBD-9AF1-48355874D056}" name="Shapes" dataDxfId="41"/>
    <tableColumn id="1" xr3:uid="{EBDE2C74-BB18-41CD-8BA6-80BB4E8B06B1}" name="Código proyecto"/>
    <tableColumn id="2" xr3:uid="{8994AC55-2992-4943-AB61-CF0DD8F7A78E}" name="Nombre de la Concesión " dataDxfId="40" dataCellStyle="Normal_Hoja4"/>
    <tableColumn id="3" xr3:uid="{199CE7EE-D5DD-4FFA-88F3-4B42D02F42E8}" name="NUM_Lic" dataDxfId="39"/>
    <tableColumn id="4" xr3:uid="{01B27C31-31AA-4F49-A1FD-C3C1240EB455}" name="Nombre de uso común"/>
    <tableColumn id="5" xr3:uid="{64C5A640-42EC-4144-B04D-666608CEAFE2}" name="Descripción " dataDxfId="38"/>
    <tableColumn id="6" xr3:uid="{13C62034-984D-4E5D-AB34-D275E07F5CFF}" name="Sector del proyecto" dataDxfId="37"/>
    <tableColumn id="7" xr3:uid="{A8E1B4AC-7E7D-43EE-B773-2387BED2697E}" name="Región geográfica" dataDxfId="36"/>
    <tableColumn id="8" xr3:uid="{ACB4D0A1-A214-4257-9A64-04AE08CBDCF0}" name="Link a mapa página web" dataDxfId="35"/>
    <tableColumn id="9" xr3:uid="{3F605780-9F24-461D-9698-7F8452C70D1E}" name="Origen" dataDxfId="34"/>
    <tableColumn id="10" xr3:uid="{281D68A1-621E-4015-9C81-9D94E9998382}" name="Fecha resolución declaración interes público" dataDxfId="33"/>
    <tableColumn id="11" xr3:uid="{13DDD2FD-8CA4-42D3-A2D5-F76365E0DBED}" name="Presupuesto oficial estimado" dataDxfId="32"/>
    <tableColumn id="12" xr3:uid="{AFC4B2C5-540B-4756-B680-CD2A7629D579}" name="Moneda" dataDxfId="31"/>
    <tableColumn id="13" xr3:uid="{4FD5FD1D-7705-4B4C-9A2E-A7A7BAF6E82D}" name="Link pagina web concesiones" dataDxfId="30"/>
    <tableColumn id="14" xr3:uid="{FF0D18CC-FA0A-42A1-95D9-3698F56C5ACF}" name="ESTADO" dataDxfId="29"/>
    <tableColumn id="15" xr3:uid="{3AE3E861-AFBE-4630-8BED-5CA5A76395D3}" name="Metodo de licitación" dataDxfId="28"/>
    <tableColumn id="16" xr3:uid="{D61F26D9-4B85-4C5D-85EF-D8159E5D7FA1}" name="Variable(s) de licitación" dataDxfId="27"/>
    <tableColumn id="17" xr3:uid="{9687CFD7-71C4-4072-BAAA-7FC78075F6B1}" name="Fecha llamado a licitación" dataDxfId="26"/>
    <tableColumn id="18" xr3:uid="{F33696E1-7AD1-464F-9199-3F6F741E9835}" name="Fecha recepción ofertas" dataDxfId="25"/>
    <tableColumn id="19" xr3:uid="{756DB67B-EA63-48D3-8F28-59AF88366085}" name="Fecha apertura económica" dataDxfId="24"/>
    <tableColumn id="20" xr3:uid="{22F790CF-19CD-4603-BF9F-2587C5A71936}" name="Fecha decreto adjudicación" dataDxfId="23"/>
    <tableColumn id="21" xr3:uid="{BB8AEA3E-D460-4F64-81D2-E3D08FB6D544}" name="Fecha publicación decreto adjudicación" dataDxfId="22"/>
    <tableColumn id="22" xr3:uid="{3A2DC6EE-EA8A-40F7-BAE0-1EA6BE4B5481}" name="Rut sociedad Concesionaria" dataDxfId="21"/>
    <tableColumn id="23" xr3:uid="{83CA2B19-8A13-4C41-9638-871A8314B5E6}" name="Nombre sociedad concesionaria" dataDxfId="20"/>
    <tableColumn id="24" xr3:uid="{31D5D919-9566-44A9-BDE9-6FEF13E2901A}" name="Link a CMF de SC" dataDxfId="19"/>
    <tableColumn id="25" xr3:uid="{2862DEB5-FE1F-45DF-BCB8-740E1822719D}" name="Fecha inicio del contrato de concesión" dataDxfId="18"/>
    <tableColumn id="26" xr3:uid="{B7C7929B-54AB-4155-9E19-ACF37DC76466}" name="Fecha término de la concesión" dataDxfId="17"/>
    <tableColumn id="27" xr3:uid="{90E5B86B-AE98-44B1-B104-70965591C697}" name="Plazo fijo / variable " dataDxfId="16"/>
    <tableColumn id="28" xr3:uid="{E800A02A-FACD-4C1E-B7D3-B714F52FD9DD}" name="Fecha inicio de obras" dataDxfId="15"/>
    <tableColumn id="29" xr3:uid="{D75CEDED-9144-4A02-857E-1E11FE744D55}" name="Fecha puesta servicio provisorio" dataDxfId="14"/>
    <tableColumn id="30" xr3:uid="{9306ADC6-CB38-41A8-854D-C5D6E10C5C6B}" name="Fecha puesta servicio definitivo" dataDxfId="13"/>
    <tableColumn id="31" xr3:uid="{7DEE930E-F463-4177-8D0D-8158058CE5A6}" name="Inversión Materializada estimada" dataDxfId="12"/>
    <tableColumn id="32" xr3:uid="{815A6E54-D54F-4981-A920-452331C73487}" name="% Avance obras físicas" dataDxfId="11"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10"/>
    <tableColumn id="3" xr3:uid="{09EFDC4D-986E-43B3-BC94-7B7B41772935}" name="Codigo oferente"/>
    <tableColumn id="4" xr3:uid="{6598E2A9-FC2E-4DDA-AF0A-F94F4B12052E}" name="Nombre oferente" dataDxfId="9"/>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5DCCE2-1A06-45E1-9362-F498B312CF33}" name="Tabla5" displayName="Tabla5" ref="A1:I22" totalsRowShown="0" headerRowDxfId="8">
  <autoFilter ref="A1:I22" xr:uid="{3E5DCCE2-1A06-45E1-9362-F498B312CF33}"/>
  <tableColumns count="9">
    <tableColumn id="1" xr3:uid="{1EA8F6C1-92AF-464C-97F8-5259DBA7CBB5}" name="max" dataDxfId="7">
      <calculatedColumnFormula>MAX($B$2:$B$128)</calculatedColumnFormula>
    </tableColumn>
    <tableColumn id="2" xr3:uid="{33793EA3-34D7-4D6D-B86D-3F250842C10A}" name="aux" dataDxfId="6">
      <calculatedColumnFormula array="1">IFERROR(MAX(--_xlfn.TEXTSPLIT(C2,";")),0)</calculatedColumnFormula>
    </tableColumn>
    <tableColumn id="3" xr3:uid="{14343C55-2461-432C-9954-29952162B76E}" name="Shapes"/>
    <tableColumn id="4" xr3:uid="{0A185E16-2B61-4FF8-AF73-88336466F284}" name="Proyecto" dataDxfId="5"/>
    <tableColumn id="9" xr3:uid="{7C61B78F-F4DD-4F80-8D4D-AABD3B55036C}" name="region" dataDxfId="0"/>
    <tableColumn id="5" xr3:uid="{AFB4B37C-C7FF-4D77-AB2A-762A7D41A8ED}" name="Institucion mandante" dataDxfId="4"/>
    <tableColumn id="6" xr3:uid="{D863FC92-BAB3-47C2-BB80-F22D29F3D864}" name="Fuente  de inf" dataDxfId="3" dataCellStyle="Hipervínculo"/>
    <tableColumn id="7" xr3:uid="{D3486ADD-FCAB-467D-B0EB-251EEB3E245B}" name="Inversion (USD) " dataDxfId="2"/>
    <tableColumn id="8" xr3:uid="{9234F28E-E88E-4763-A76E-73B745ADAF0C}" name="Descripcion" dataDxfId="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7"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3" t="s">
        <v>1034</v>
      </c>
      <c r="B3" t="s">
        <v>1036</v>
      </c>
      <c r="C3" s="51" t="s">
        <v>1732</v>
      </c>
    </row>
    <row r="4" spans="1:4" x14ac:dyDescent="0.3">
      <c r="A4" s="34" t="s">
        <v>693</v>
      </c>
      <c r="B4" s="56">
        <v>20</v>
      </c>
      <c r="C4" s="55">
        <f>SUM(C5:C10)</f>
        <v>20</v>
      </c>
    </row>
    <row r="5" spans="1:4" x14ac:dyDescent="0.3">
      <c r="A5" s="52" t="s">
        <v>385</v>
      </c>
      <c r="B5" s="35">
        <v>1</v>
      </c>
      <c r="C5" s="54">
        <v>1</v>
      </c>
    </row>
    <row r="6" spans="1:4" x14ac:dyDescent="0.3">
      <c r="A6" s="52" t="s">
        <v>535</v>
      </c>
      <c r="B6" s="35">
        <v>10</v>
      </c>
      <c r="C6" s="54">
        <v>10</v>
      </c>
    </row>
    <row r="7" spans="1:4" x14ac:dyDescent="0.3">
      <c r="A7" s="52" t="s">
        <v>309</v>
      </c>
      <c r="B7" s="35">
        <v>1</v>
      </c>
      <c r="C7" s="54">
        <v>1</v>
      </c>
    </row>
    <row r="8" spans="1:4" x14ac:dyDescent="0.3">
      <c r="A8" s="52" t="s">
        <v>263</v>
      </c>
      <c r="B8" s="35">
        <v>2</v>
      </c>
      <c r="C8" s="54">
        <v>2</v>
      </c>
      <c r="D8" s="57" t="s">
        <v>1733</v>
      </c>
    </row>
    <row r="9" spans="1:4" x14ac:dyDescent="0.3">
      <c r="A9" s="52" t="s">
        <v>36</v>
      </c>
      <c r="B9" s="35">
        <v>2</v>
      </c>
      <c r="C9" s="54">
        <v>2</v>
      </c>
      <c r="D9" s="57" t="s">
        <v>1733</v>
      </c>
    </row>
    <row r="10" spans="1:4" x14ac:dyDescent="0.3">
      <c r="A10" s="52" t="s">
        <v>111</v>
      </c>
      <c r="B10" s="35">
        <v>4</v>
      </c>
      <c r="C10" s="54">
        <v>4</v>
      </c>
    </row>
    <row r="11" spans="1:4" x14ac:dyDescent="0.3">
      <c r="A11" s="34" t="s">
        <v>662</v>
      </c>
      <c r="B11" s="35">
        <v>19</v>
      </c>
      <c r="C11" s="55">
        <f>SUM(C12:C14)</f>
        <v>19</v>
      </c>
    </row>
    <row r="12" spans="1:4" x14ac:dyDescent="0.3">
      <c r="A12" s="52" t="s">
        <v>64</v>
      </c>
      <c r="B12" s="35">
        <v>5</v>
      </c>
      <c r="C12" s="54">
        <v>5</v>
      </c>
    </row>
    <row r="13" spans="1:4" x14ac:dyDescent="0.3">
      <c r="A13" s="52" t="s">
        <v>36</v>
      </c>
      <c r="B13" s="35">
        <v>13</v>
      </c>
      <c r="C13" s="54">
        <v>13</v>
      </c>
      <c r="D13" s="57" t="s">
        <v>1733</v>
      </c>
    </row>
    <row r="14" spans="1:4" x14ac:dyDescent="0.3">
      <c r="A14" s="52" t="s">
        <v>111</v>
      </c>
      <c r="B14" s="35">
        <v>1</v>
      </c>
      <c r="C14" s="54">
        <v>1</v>
      </c>
    </row>
    <row r="15" spans="1:4" x14ac:dyDescent="0.3">
      <c r="A15" s="34" t="s">
        <v>43</v>
      </c>
      <c r="B15" s="35">
        <v>44</v>
      </c>
      <c r="C15" s="55">
        <f>SUM(C16:C21)</f>
        <v>41</v>
      </c>
    </row>
    <row r="16" spans="1:4" x14ac:dyDescent="0.3">
      <c r="A16" s="52" t="s">
        <v>64</v>
      </c>
      <c r="B16" s="35">
        <v>19</v>
      </c>
      <c r="C16" s="54">
        <v>19</v>
      </c>
      <c r="D16" s="57" t="s">
        <v>1733</v>
      </c>
    </row>
    <row r="17" spans="1:4" x14ac:dyDescent="0.3">
      <c r="A17" s="52" t="s">
        <v>385</v>
      </c>
      <c r="B17" s="35">
        <v>4</v>
      </c>
      <c r="C17" s="54">
        <v>4</v>
      </c>
    </row>
    <row r="18" spans="1:4" x14ac:dyDescent="0.3">
      <c r="A18" s="52" t="s">
        <v>309</v>
      </c>
      <c r="B18" s="35">
        <v>1</v>
      </c>
      <c r="C18" s="54">
        <v>0</v>
      </c>
      <c r="D18" s="57" t="s">
        <v>1733</v>
      </c>
    </row>
    <row r="19" spans="1:4" x14ac:dyDescent="0.3">
      <c r="A19" s="52" t="s">
        <v>263</v>
      </c>
      <c r="B19" s="35">
        <v>2</v>
      </c>
      <c r="C19" s="54">
        <v>2</v>
      </c>
      <c r="D19" s="57" t="s">
        <v>1733</v>
      </c>
    </row>
    <row r="20" spans="1:4" x14ac:dyDescent="0.3">
      <c r="A20" s="52" t="s">
        <v>36</v>
      </c>
      <c r="B20" s="35">
        <v>16</v>
      </c>
      <c r="C20" s="54">
        <v>14</v>
      </c>
      <c r="D20" s="57" t="s">
        <v>1733</v>
      </c>
    </row>
    <row r="21" spans="1:4" x14ac:dyDescent="0.3">
      <c r="A21" s="52" t="s">
        <v>111</v>
      </c>
      <c r="B21" s="35">
        <v>2</v>
      </c>
      <c r="C21" s="54">
        <v>2</v>
      </c>
      <c r="D21" s="57" t="s">
        <v>1733</v>
      </c>
    </row>
    <row r="22" spans="1:4" x14ac:dyDescent="0.3">
      <c r="A22" s="34" t="s">
        <v>133</v>
      </c>
      <c r="B22" s="35">
        <v>44</v>
      </c>
      <c r="C22" s="55">
        <f>SUM(C23:C29)</f>
        <v>44</v>
      </c>
    </row>
    <row r="23" spans="1:4" x14ac:dyDescent="0.3">
      <c r="A23" s="52" t="s">
        <v>64</v>
      </c>
      <c r="B23" s="35">
        <v>5</v>
      </c>
      <c r="C23" s="54">
        <v>5</v>
      </c>
      <c r="D23" s="57" t="s">
        <v>1733</v>
      </c>
    </row>
    <row r="24" spans="1:4" x14ac:dyDescent="0.3">
      <c r="A24" s="52" t="s">
        <v>385</v>
      </c>
      <c r="B24" s="35">
        <v>7</v>
      </c>
      <c r="C24" s="54">
        <v>7</v>
      </c>
    </row>
    <row r="25" spans="1:4" x14ac:dyDescent="0.3">
      <c r="A25" s="52" t="s">
        <v>535</v>
      </c>
      <c r="B25" s="35">
        <v>3</v>
      </c>
      <c r="C25" s="54">
        <v>3</v>
      </c>
    </row>
    <row r="26" spans="1:4" x14ac:dyDescent="0.3">
      <c r="A26" s="52" t="s">
        <v>309</v>
      </c>
      <c r="B26" s="35">
        <v>4</v>
      </c>
      <c r="C26" s="54">
        <v>4</v>
      </c>
    </row>
    <row r="27" spans="1:4" x14ac:dyDescent="0.3">
      <c r="A27" s="52" t="s">
        <v>263</v>
      </c>
      <c r="B27" s="35">
        <v>1</v>
      </c>
      <c r="C27" s="54">
        <v>1</v>
      </c>
    </row>
    <row r="28" spans="1:4" x14ac:dyDescent="0.3">
      <c r="A28" s="52" t="s">
        <v>36</v>
      </c>
      <c r="B28" s="35">
        <v>16</v>
      </c>
      <c r="C28" s="54">
        <v>16</v>
      </c>
      <c r="D28" t="s">
        <v>1733</v>
      </c>
    </row>
    <row r="29" spans="1:4" x14ac:dyDescent="0.3">
      <c r="A29" s="52" t="s">
        <v>111</v>
      </c>
      <c r="B29" s="35">
        <v>8</v>
      </c>
      <c r="C29" s="55">
        <v>8</v>
      </c>
    </row>
    <row r="30" spans="1:4" x14ac:dyDescent="0.3">
      <c r="A30" s="34" t="s">
        <v>1035</v>
      </c>
      <c r="B30" s="35">
        <v>127</v>
      </c>
      <c r="C30" s="53">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K128"/>
  <sheetViews>
    <sheetView zoomScale="70" zoomScaleNormal="70" workbookViewId="0">
      <pane ySplit="1" topLeftCell="A2" activePane="bottomLeft" state="frozen"/>
      <selection pane="bottomLeft" activeCell="B2" sqref="B2"/>
    </sheetView>
  </sheetViews>
  <sheetFormatPr baseColWidth="10" defaultRowHeight="14.4" x14ac:dyDescent="0.3"/>
  <cols>
    <col min="3" max="3" width="18.88671875" customWidth="1"/>
    <col min="5" max="5" width="17.109375" customWidth="1"/>
    <col min="6" max="6" width="24.5546875" customWidth="1"/>
    <col min="8" max="8" width="32" customWidth="1"/>
    <col min="9" max="9" width="59.77734375" customWidth="1"/>
    <col min="10" max="10" width="20" customWidth="1"/>
    <col min="11" max="11" width="18.109375" customWidth="1"/>
    <col min="12" max="12" width="23.44140625" customWidth="1"/>
    <col min="13" max="13" width="8.88671875" customWidth="1"/>
    <col min="14" max="14" width="12.44140625" customWidth="1"/>
    <col min="15" max="15" width="27.88671875" customWidth="1"/>
    <col min="16" max="16" width="10.109375" customWidth="1"/>
    <col min="17" max="17" width="86.88671875" bestFit="1" customWidth="1"/>
    <col min="18" max="18" width="11.33203125" bestFit="1" customWidth="1"/>
    <col min="19" max="19" width="20.6640625" customWidth="1"/>
    <col min="20" max="20" width="22.88671875" customWidth="1"/>
    <col min="21" max="21" width="28.21875" bestFit="1" customWidth="1"/>
    <col min="22" max="22" width="23.44140625" customWidth="1"/>
    <col min="23" max="23" width="25.6640625" customWidth="1"/>
    <col min="24" max="24" width="26.33203125" customWidth="1"/>
    <col min="25" max="25" width="36.33203125" customWidth="1"/>
    <col min="26" max="26" width="26.33203125" customWidth="1"/>
    <col min="27" max="27" width="37.33203125" bestFit="1" customWidth="1"/>
    <col min="28" max="28" width="23" bestFit="1" customWidth="1"/>
    <col min="29" max="29" width="35.5546875" customWidth="1"/>
    <col min="30" max="30" width="29" customWidth="1"/>
    <col min="31" max="31" width="19.88671875" customWidth="1"/>
    <col min="32" max="32" width="20.6640625" customWidth="1"/>
    <col min="33" max="33" width="30.44140625" customWidth="1"/>
    <col min="34" max="34" width="30" customWidth="1"/>
    <col min="35" max="35" width="31.44140625" customWidth="1"/>
    <col min="36" max="36" width="21.6640625" customWidth="1"/>
    <col min="37" max="37" width="12.21875" customWidth="1"/>
  </cols>
  <sheetData>
    <row r="1" spans="1:37" ht="37.200000000000003" customHeight="1" x14ac:dyDescent="0.3">
      <c r="A1" t="s">
        <v>1888</v>
      </c>
      <c r="B1" s="30" t="s">
        <v>1748</v>
      </c>
      <c r="C1" t="s">
        <v>1747</v>
      </c>
      <c r="D1" s="30" t="s">
        <v>1746</v>
      </c>
      <c r="E1" s="30" t="s">
        <v>0</v>
      </c>
      <c r="F1" s="31" t="s">
        <v>1</v>
      </c>
      <c r="G1" s="30" t="s">
        <v>2</v>
      </c>
      <c r="H1" s="30" t="s">
        <v>3</v>
      </c>
      <c r="I1" s="30" t="s">
        <v>4</v>
      </c>
      <c r="J1" s="30" t="s">
        <v>5</v>
      </c>
      <c r="K1" s="30" t="s">
        <v>6</v>
      </c>
      <c r="L1" s="30" t="s">
        <v>7</v>
      </c>
      <c r="M1" s="30" t="s">
        <v>8</v>
      </c>
      <c r="N1" s="30" t="s">
        <v>9</v>
      </c>
      <c r="O1" s="30" t="s">
        <v>10</v>
      </c>
      <c r="P1" s="30" t="s">
        <v>11</v>
      </c>
      <c r="Q1" s="30" t="s">
        <v>12</v>
      </c>
      <c r="R1" s="30" t="s">
        <v>13</v>
      </c>
      <c r="S1" s="30" t="s">
        <v>14</v>
      </c>
      <c r="T1" s="30" t="s">
        <v>15</v>
      </c>
      <c r="U1" s="30" t="s">
        <v>16</v>
      </c>
      <c r="V1" s="30" t="s">
        <v>17</v>
      </c>
      <c r="W1" s="30" t="s">
        <v>18</v>
      </c>
      <c r="X1" s="30" t="s">
        <v>19</v>
      </c>
      <c r="Y1" s="30" t="s">
        <v>20</v>
      </c>
      <c r="Z1" s="30" t="s">
        <v>21</v>
      </c>
      <c r="AA1" s="30" t="s">
        <v>22</v>
      </c>
      <c r="AB1" s="30" t="s">
        <v>23</v>
      </c>
      <c r="AC1" s="30" t="s">
        <v>24</v>
      </c>
      <c r="AD1" s="30" t="s">
        <v>25</v>
      </c>
      <c r="AE1" s="30" t="s">
        <v>26</v>
      </c>
      <c r="AF1" s="30" t="s">
        <v>27</v>
      </c>
      <c r="AG1" s="30" t="s">
        <v>28</v>
      </c>
      <c r="AH1" s="30" t="s">
        <v>29</v>
      </c>
      <c r="AI1" s="32" t="s">
        <v>30</v>
      </c>
      <c r="AJ1" s="30" t="s">
        <v>31</v>
      </c>
      <c r="AK1" s="30" t="s">
        <v>1743</v>
      </c>
    </row>
    <row r="2" spans="1:37" ht="115.2" x14ac:dyDescent="0.3">
      <c r="B2" s="1">
        <f t="shared" ref="B2:B33" si="0">MAX($C$2:$C$128)</f>
        <v>189</v>
      </c>
      <c r="C2" cm="1">
        <f t="array" ref="C2">IFERROR(MAX(--_xlfn.TEXTSPLIT(D2,";")),0)</f>
        <v>0</v>
      </c>
      <c r="D2" s="57"/>
      <c r="E2" s="1" t="s">
        <v>381</v>
      </c>
      <c r="F2" s="1" t="s">
        <v>382</v>
      </c>
      <c r="G2" s="1">
        <v>1</v>
      </c>
      <c r="H2" s="1" t="s">
        <v>383</v>
      </c>
      <c r="I2" s="1" t="s">
        <v>384</v>
      </c>
      <c r="J2" s="1" t="s">
        <v>385</v>
      </c>
      <c r="K2" s="1" t="s">
        <v>112</v>
      </c>
      <c r="L2" s="1" t="s">
        <v>38</v>
      </c>
      <c r="M2" s="1" t="s">
        <v>39</v>
      </c>
      <c r="N2" s="2" t="s">
        <v>40</v>
      </c>
      <c r="O2" s="3">
        <v>800000</v>
      </c>
      <c r="P2" s="3" t="s">
        <v>41</v>
      </c>
      <c r="Q2" s="1" t="s">
        <v>386</v>
      </c>
      <c r="R2" s="1" t="s">
        <v>43</v>
      </c>
      <c r="S2" s="3" t="s">
        <v>123</v>
      </c>
      <c r="T2" s="3" t="s">
        <v>200</v>
      </c>
      <c r="U2" s="2">
        <v>37773</v>
      </c>
      <c r="V2" s="2">
        <v>37986</v>
      </c>
      <c r="W2" s="2">
        <v>38013</v>
      </c>
      <c r="X2" s="2">
        <v>38072</v>
      </c>
      <c r="Y2" s="2">
        <v>38120</v>
      </c>
      <c r="Z2" s="3" t="s">
        <v>387</v>
      </c>
      <c r="AA2" s="3" t="s">
        <v>388</v>
      </c>
      <c r="AB2" s="3" t="s">
        <v>389</v>
      </c>
      <c r="AC2" s="2">
        <v>38120</v>
      </c>
      <c r="AD2" s="2">
        <v>39079</v>
      </c>
      <c r="AE2" s="2" t="s">
        <v>49</v>
      </c>
      <c r="AF2" s="2" t="s">
        <v>50</v>
      </c>
      <c r="AG2" s="2">
        <v>39228</v>
      </c>
      <c r="AH2" s="2">
        <v>39470</v>
      </c>
      <c r="AI2" s="5">
        <v>294554.44999999995</v>
      </c>
      <c r="AJ2" s="6">
        <v>0</v>
      </c>
      <c r="AK2" s="71" t="str">
        <f t="shared" ref="AK2:AK33" si="1">MID(E2,5,LEN(E2)-4)</f>
        <v>EIMQ1</v>
      </c>
    </row>
    <row r="3" spans="1:37" ht="118.95" customHeight="1" x14ac:dyDescent="0.3">
      <c r="B3" s="1">
        <f t="shared" si="0"/>
        <v>189</v>
      </c>
      <c r="C3" cm="1">
        <f t="array" ref="C3">IFERROR(MAX(--_xlfn.TEXTSPLIT(D3,";")),0)</f>
        <v>188</v>
      </c>
      <c r="D3" s="57">
        <v>188</v>
      </c>
      <c r="E3" s="1" t="s">
        <v>365</v>
      </c>
      <c r="F3" s="1" t="s">
        <v>366</v>
      </c>
      <c r="G3" s="1">
        <v>1</v>
      </c>
      <c r="H3" s="1" t="s">
        <v>367</v>
      </c>
      <c r="I3" s="1">
        <v>0</v>
      </c>
      <c r="J3" s="1" t="s">
        <v>36</v>
      </c>
      <c r="K3" s="1" t="s">
        <v>75</v>
      </c>
      <c r="L3" s="1" t="s">
        <v>38</v>
      </c>
      <c r="M3" s="1" t="s">
        <v>39</v>
      </c>
      <c r="N3" s="2" t="s">
        <v>40</v>
      </c>
      <c r="O3" s="3">
        <v>14150000</v>
      </c>
      <c r="P3" s="3" t="s">
        <v>41</v>
      </c>
      <c r="Q3" s="1" t="s">
        <v>264</v>
      </c>
      <c r="R3" s="1" t="s">
        <v>43</v>
      </c>
      <c r="S3" s="3" t="s">
        <v>123</v>
      </c>
      <c r="T3" s="3" t="s">
        <v>368</v>
      </c>
      <c r="U3" s="2">
        <v>37291</v>
      </c>
      <c r="V3" s="2">
        <v>38343</v>
      </c>
      <c r="W3" s="2">
        <v>38366</v>
      </c>
      <c r="X3" s="2">
        <v>38469</v>
      </c>
      <c r="Y3" s="2">
        <v>38548</v>
      </c>
      <c r="Z3" s="3" t="s">
        <v>369</v>
      </c>
      <c r="AA3" s="3" t="s">
        <v>370</v>
      </c>
      <c r="AB3" s="3" t="s">
        <v>371</v>
      </c>
      <c r="AC3" s="2">
        <v>38548</v>
      </c>
      <c r="AD3" s="2">
        <v>39106</v>
      </c>
      <c r="AE3" s="2" t="s">
        <v>49</v>
      </c>
      <c r="AF3" s="2" t="s">
        <v>269</v>
      </c>
      <c r="AG3" s="2" t="s">
        <v>269</v>
      </c>
      <c r="AH3" s="2" t="s">
        <v>269</v>
      </c>
      <c r="AI3" s="5">
        <v>344061.75</v>
      </c>
      <c r="AJ3" s="6">
        <v>0</v>
      </c>
      <c r="AK3" s="71" t="str">
        <f t="shared" si="1"/>
        <v>PBCH1</v>
      </c>
    </row>
    <row r="4" spans="1:37" ht="130.19999999999999" customHeight="1" x14ac:dyDescent="0.3">
      <c r="B4" s="1">
        <f t="shared" si="0"/>
        <v>189</v>
      </c>
      <c r="C4" cm="1">
        <f t="array" ref="C4">IFERROR(MAX(--_xlfn.TEXTSPLIT(D4,";")),0)</f>
        <v>187</v>
      </c>
      <c r="D4" t="s">
        <v>1752</v>
      </c>
      <c r="E4" s="58" t="s">
        <v>1750</v>
      </c>
      <c r="F4" s="62" t="s">
        <v>1734</v>
      </c>
      <c r="G4" s="59">
        <v>1</v>
      </c>
      <c r="H4" s="74" t="s">
        <v>1749</v>
      </c>
      <c r="I4" s="59"/>
      <c r="J4" s="59" t="s">
        <v>263</v>
      </c>
      <c r="K4" s="59" t="s">
        <v>175</v>
      </c>
      <c r="L4" s="59"/>
      <c r="M4" s="59"/>
      <c r="N4" s="60"/>
      <c r="O4" s="61"/>
      <c r="P4" s="59"/>
      <c r="Q4" s="59"/>
      <c r="R4" s="59" t="s">
        <v>693</v>
      </c>
      <c r="S4" s="59"/>
      <c r="T4" s="59"/>
      <c r="U4" s="60">
        <v>45657</v>
      </c>
      <c r="V4" s="60">
        <v>45944</v>
      </c>
      <c r="W4" s="60"/>
      <c r="X4" s="60"/>
      <c r="Y4" s="60"/>
      <c r="Z4" s="59"/>
      <c r="AA4" s="59"/>
      <c r="AB4" s="59"/>
      <c r="AC4" s="60"/>
      <c r="AD4" s="60"/>
      <c r="AE4" s="59"/>
      <c r="AF4" s="59"/>
      <c r="AG4" s="59"/>
      <c r="AH4" s="59"/>
      <c r="AI4" s="22"/>
      <c r="AJ4" s="23"/>
      <c r="AK4" s="71" t="str">
        <f t="shared" si="1"/>
        <v>PDRC1</v>
      </c>
    </row>
    <row r="5" spans="1:37" ht="118.95" customHeight="1" x14ac:dyDescent="0.3">
      <c r="A5" t="s">
        <v>1890</v>
      </c>
      <c r="B5" s="1">
        <f t="shared" si="0"/>
        <v>189</v>
      </c>
      <c r="C5" cm="1">
        <f t="array" ref="C5">IFERROR(MAX(--_xlfn.TEXTSPLIT(D5,";")),0)</f>
        <v>1</v>
      </c>
      <c r="D5" t="s">
        <v>1751</v>
      </c>
      <c r="E5" s="1" t="s">
        <v>479</v>
      </c>
      <c r="F5" s="1" t="s">
        <v>480</v>
      </c>
      <c r="G5" s="1">
        <v>1</v>
      </c>
      <c r="H5" s="1" t="s">
        <v>481</v>
      </c>
      <c r="I5" s="1" t="s">
        <v>482</v>
      </c>
      <c r="J5" s="1" t="s">
        <v>36</v>
      </c>
      <c r="K5" s="1" t="s">
        <v>55</v>
      </c>
      <c r="L5" s="1" t="s">
        <v>38</v>
      </c>
      <c r="M5" s="1" t="s">
        <v>39</v>
      </c>
      <c r="N5" s="2" t="s">
        <v>40</v>
      </c>
      <c r="O5" s="3">
        <v>7700000</v>
      </c>
      <c r="P5" s="3" t="s">
        <v>41</v>
      </c>
      <c r="Q5" s="1" t="s">
        <v>483</v>
      </c>
      <c r="R5" s="1" t="s">
        <v>133</v>
      </c>
      <c r="S5" s="3" t="s">
        <v>44</v>
      </c>
      <c r="T5" s="3" t="s">
        <v>484</v>
      </c>
      <c r="U5" s="2">
        <v>39087</v>
      </c>
      <c r="V5" s="2">
        <v>39511</v>
      </c>
      <c r="W5" s="2">
        <v>39542</v>
      </c>
      <c r="X5" s="2">
        <v>39626</v>
      </c>
      <c r="Y5" s="2">
        <v>39704</v>
      </c>
      <c r="Z5" s="3" t="s">
        <v>485</v>
      </c>
      <c r="AA5" s="3" t="s">
        <v>486</v>
      </c>
      <c r="AB5" s="3" t="s">
        <v>487</v>
      </c>
      <c r="AC5" s="2">
        <v>39704</v>
      </c>
      <c r="AD5" s="2">
        <v>54313</v>
      </c>
      <c r="AE5" s="2" t="s">
        <v>106</v>
      </c>
      <c r="AF5" s="2">
        <v>40552</v>
      </c>
      <c r="AG5" s="2">
        <v>42642</v>
      </c>
      <c r="AH5" s="2">
        <v>42886</v>
      </c>
      <c r="AI5" s="8">
        <v>8391266.1999999993</v>
      </c>
      <c r="AJ5" s="6">
        <v>1</v>
      </c>
      <c r="AK5" s="71" t="str">
        <f t="shared" si="1"/>
        <v>160R1</v>
      </c>
    </row>
    <row r="6" spans="1:37" ht="118.95" customHeight="1" x14ac:dyDescent="0.3">
      <c r="A6" t="s">
        <v>1891</v>
      </c>
      <c r="B6" s="1">
        <f t="shared" si="0"/>
        <v>189</v>
      </c>
      <c r="C6" cm="1">
        <f t="array" ref="C6">IFERROR(MAX(--_xlfn.TEXTSPLIT(D6,";")),0)</f>
        <v>2</v>
      </c>
      <c r="D6" t="s">
        <v>1753</v>
      </c>
      <c r="E6" s="1" t="s">
        <v>674</v>
      </c>
      <c r="F6" s="1" t="s">
        <v>1848</v>
      </c>
      <c r="G6" s="1">
        <v>1</v>
      </c>
      <c r="H6" s="1" t="s">
        <v>675</v>
      </c>
      <c r="I6" s="1" t="s">
        <v>676</v>
      </c>
      <c r="J6" s="1" t="s">
        <v>111</v>
      </c>
      <c r="K6" s="1" t="s">
        <v>112</v>
      </c>
      <c r="L6" s="1" t="s">
        <v>38</v>
      </c>
      <c r="M6" s="1" t="s">
        <v>39</v>
      </c>
      <c r="N6" s="2" t="s">
        <v>40</v>
      </c>
      <c r="O6" s="3">
        <v>21900000</v>
      </c>
      <c r="P6" s="3" t="s">
        <v>41</v>
      </c>
      <c r="Q6" s="1" t="s">
        <v>677</v>
      </c>
      <c r="R6" s="1" t="s">
        <v>133</v>
      </c>
      <c r="S6" s="3" t="s">
        <v>123</v>
      </c>
      <c r="T6" s="3" t="s">
        <v>484</v>
      </c>
      <c r="U6" s="2">
        <v>41485</v>
      </c>
      <c r="V6" s="2">
        <v>41655</v>
      </c>
      <c r="W6" s="2">
        <v>41667</v>
      </c>
      <c r="X6" s="2">
        <v>41670</v>
      </c>
      <c r="Y6" s="2">
        <v>41711</v>
      </c>
      <c r="Z6" s="3" t="s">
        <v>678</v>
      </c>
      <c r="AA6" s="3" t="s">
        <v>679</v>
      </c>
      <c r="AB6" s="3" t="s">
        <v>680</v>
      </c>
      <c r="AC6" s="2">
        <v>41711</v>
      </c>
      <c r="AD6" s="2">
        <v>58146</v>
      </c>
      <c r="AE6" s="2" t="s">
        <v>106</v>
      </c>
      <c r="AF6" s="2">
        <v>43049</v>
      </c>
      <c r="AG6" s="2">
        <v>44770</v>
      </c>
      <c r="AH6" s="2">
        <v>45075</v>
      </c>
      <c r="AI6" s="8">
        <v>28379077.100000001</v>
      </c>
      <c r="AJ6" s="6">
        <v>1</v>
      </c>
      <c r="AK6" s="71" t="str">
        <f t="shared" si="1"/>
        <v>1AVO1</v>
      </c>
    </row>
    <row r="7" spans="1:37" ht="118.95" customHeight="1" x14ac:dyDescent="0.3">
      <c r="B7" s="1">
        <f t="shared" si="0"/>
        <v>189</v>
      </c>
      <c r="C7" cm="1">
        <f t="array" ref="C7">IFERROR(MAX(--_xlfn.TEXTSPLIT(D7,";")),0)</f>
        <v>3</v>
      </c>
      <c r="D7" t="s">
        <v>1754</v>
      </c>
      <c r="E7" s="1" t="s">
        <v>816</v>
      </c>
      <c r="F7" s="1" t="s">
        <v>1849</v>
      </c>
      <c r="G7" s="1">
        <v>1</v>
      </c>
      <c r="H7" s="1" t="s">
        <v>817</v>
      </c>
      <c r="I7" s="1" t="s">
        <v>818</v>
      </c>
      <c r="J7" s="1" t="s">
        <v>111</v>
      </c>
      <c r="K7" s="1" t="s">
        <v>112</v>
      </c>
      <c r="L7" s="1" t="s">
        <v>38</v>
      </c>
      <c r="M7" s="1" t="s">
        <v>66</v>
      </c>
      <c r="N7" s="2">
        <v>38385</v>
      </c>
      <c r="O7" s="3">
        <v>2308000</v>
      </c>
      <c r="P7" s="3" t="s">
        <v>41</v>
      </c>
      <c r="Q7" s="4" t="s">
        <v>819</v>
      </c>
      <c r="R7" s="1" t="s">
        <v>43</v>
      </c>
      <c r="S7" s="3" t="s">
        <v>44</v>
      </c>
      <c r="T7" s="3" t="s">
        <v>820</v>
      </c>
      <c r="U7" s="2">
        <v>43195</v>
      </c>
      <c r="V7" s="2">
        <v>43398</v>
      </c>
      <c r="W7" s="2">
        <v>43420</v>
      </c>
      <c r="X7" s="2">
        <v>43487</v>
      </c>
      <c r="Y7" s="2">
        <v>43557</v>
      </c>
      <c r="Z7" s="3" t="s">
        <v>821</v>
      </c>
      <c r="AA7" s="3" t="s">
        <v>822</v>
      </c>
      <c r="AB7" s="3" t="s">
        <v>823</v>
      </c>
      <c r="AC7" s="2">
        <v>43557</v>
      </c>
      <c r="AD7" s="2">
        <v>45145</v>
      </c>
      <c r="AE7" s="2" t="s">
        <v>106</v>
      </c>
      <c r="AF7" s="2" t="s">
        <v>269</v>
      </c>
      <c r="AG7" s="2" t="s">
        <v>269</v>
      </c>
      <c r="AH7" s="2" t="s">
        <v>269</v>
      </c>
      <c r="AI7" s="5">
        <v>825000</v>
      </c>
      <c r="AJ7" s="6">
        <v>0</v>
      </c>
      <c r="AK7" s="71" t="str">
        <f t="shared" si="1"/>
        <v>21RG1</v>
      </c>
    </row>
    <row r="8" spans="1:37" ht="118.95" customHeight="1" x14ac:dyDescent="0.3">
      <c r="B8" s="1">
        <f t="shared" si="0"/>
        <v>189</v>
      </c>
      <c r="C8" cm="1">
        <f t="array" ref="C8">IFERROR(MAX(--_xlfn.TEXTSPLIT(D8,";")),0)</f>
        <v>4</v>
      </c>
      <c r="D8" t="s">
        <v>1755</v>
      </c>
      <c r="E8" s="1" t="s">
        <v>753</v>
      </c>
      <c r="F8" s="1" t="s">
        <v>1850</v>
      </c>
      <c r="G8" s="1">
        <v>1</v>
      </c>
      <c r="H8" s="1" t="s">
        <v>754</v>
      </c>
      <c r="I8" s="1" t="s">
        <v>755</v>
      </c>
      <c r="J8" s="1" t="s">
        <v>111</v>
      </c>
      <c r="K8" s="1" t="s">
        <v>112</v>
      </c>
      <c r="L8" s="1" t="s">
        <v>38</v>
      </c>
      <c r="M8" s="1" t="s">
        <v>39</v>
      </c>
      <c r="N8" s="2" t="s">
        <v>40</v>
      </c>
      <c r="O8" s="3">
        <v>19670000</v>
      </c>
      <c r="P8" s="3" t="s">
        <v>41</v>
      </c>
      <c r="Q8" s="1" t="s">
        <v>756</v>
      </c>
      <c r="R8" s="1" t="s">
        <v>693</v>
      </c>
      <c r="S8" s="3" t="s">
        <v>123</v>
      </c>
      <c r="T8" s="3" t="s">
        <v>484</v>
      </c>
      <c r="U8" s="2">
        <v>42594</v>
      </c>
      <c r="V8" s="2">
        <v>42885</v>
      </c>
      <c r="W8" s="2">
        <v>43309</v>
      </c>
      <c r="X8" s="2">
        <v>43054</v>
      </c>
      <c r="Y8" s="2">
        <v>43195</v>
      </c>
      <c r="Z8" s="3" t="s">
        <v>757</v>
      </c>
      <c r="AA8" s="3" t="s">
        <v>758</v>
      </c>
      <c r="AB8" s="3" t="s">
        <v>759</v>
      </c>
      <c r="AC8" s="2">
        <v>43195</v>
      </c>
      <c r="AD8" s="2">
        <v>59630</v>
      </c>
      <c r="AE8" s="2" t="s">
        <v>106</v>
      </c>
      <c r="AF8" s="2">
        <v>45288</v>
      </c>
      <c r="AG8" s="2" t="s">
        <v>697</v>
      </c>
      <c r="AH8" s="2" t="s">
        <v>697</v>
      </c>
      <c r="AI8" s="5">
        <v>19670000</v>
      </c>
      <c r="AJ8" s="13">
        <v>0.2641</v>
      </c>
      <c r="AK8" s="71" t="str">
        <f t="shared" si="1"/>
        <v>2AVO1</v>
      </c>
    </row>
    <row r="9" spans="1:37" ht="118.95" customHeight="1" x14ac:dyDescent="0.3">
      <c r="A9" t="s">
        <v>1892</v>
      </c>
      <c r="B9" s="1">
        <f t="shared" si="0"/>
        <v>189</v>
      </c>
      <c r="C9" cm="1">
        <f t="array" ref="C9">IFERROR(MAX(--_xlfn.TEXTSPLIT(D9,";")),0)</f>
        <v>6</v>
      </c>
      <c r="D9" t="s">
        <v>1756</v>
      </c>
      <c r="E9" s="1" t="s">
        <v>615</v>
      </c>
      <c r="F9" s="1" t="s">
        <v>1851</v>
      </c>
      <c r="G9" s="1">
        <v>1</v>
      </c>
      <c r="H9" s="1" t="s">
        <v>616</v>
      </c>
      <c r="I9" s="1" t="s">
        <v>617</v>
      </c>
      <c r="J9" s="1" t="s">
        <v>36</v>
      </c>
      <c r="K9" s="1" t="s">
        <v>175</v>
      </c>
      <c r="L9" s="1" t="s">
        <v>38</v>
      </c>
      <c r="M9" s="1" t="s">
        <v>39</v>
      </c>
      <c r="N9" s="2" t="s">
        <v>40</v>
      </c>
      <c r="O9" s="3">
        <v>5100000</v>
      </c>
      <c r="P9" s="3" t="s">
        <v>41</v>
      </c>
      <c r="Q9" s="1" t="s">
        <v>618</v>
      </c>
      <c r="R9" s="1" t="s">
        <v>133</v>
      </c>
      <c r="S9" s="3" t="s">
        <v>123</v>
      </c>
      <c r="T9" s="3" t="s">
        <v>484</v>
      </c>
      <c r="U9" s="2">
        <v>40858</v>
      </c>
      <c r="V9" s="2">
        <v>41201</v>
      </c>
      <c r="W9" s="2">
        <v>41208</v>
      </c>
      <c r="X9" s="2">
        <v>41339</v>
      </c>
      <c r="Y9" s="2">
        <v>41425</v>
      </c>
      <c r="Z9" s="3" t="s">
        <v>619</v>
      </c>
      <c r="AA9" s="3" t="s">
        <v>620</v>
      </c>
      <c r="AB9" s="3" t="s">
        <v>621</v>
      </c>
      <c r="AC9" s="2">
        <v>41425</v>
      </c>
      <c r="AD9" s="2">
        <v>59687</v>
      </c>
      <c r="AE9" s="2" t="s">
        <v>106</v>
      </c>
      <c r="AF9" s="2">
        <v>41844</v>
      </c>
      <c r="AG9" s="2">
        <v>43289</v>
      </c>
      <c r="AH9" s="2">
        <v>43469</v>
      </c>
      <c r="AI9" s="8">
        <v>5612046.0600000005</v>
      </c>
      <c r="AJ9" s="6">
        <v>1</v>
      </c>
      <c r="AK9" s="71" t="str">
        <f t="shared" si="1"/>
        <v>43RU1</v>
      </c>
    </row>
    <row r="10" spans="1:37" ht="118.95" customHeight="1" x14ac:dyDescent="0.3">
      <c r="A10" t="s">
        <v>1893</v>
      </c>
      <c r="B10" s="1">
        <f t="shared" si="0"/>
        <v>189</v>
      </c>
      <c r="C10" cm="1">
        <f t="array" ref="C10">IFERROR(MAX(--_xlfn.TEXTSPLIT(D10,";")),0)</f>
        <v>7</v>
      </c>
      <c r="D10" t="s">
        <v>1757</v>
      </c>
      <c r="E10" s="1" t="s">
        <v>502</v>
      </c>
      <c r="F10" s="1" t="s">
        <v>503</v>
      </c>
      <c r="G10" s="1">
        <v>1</v>
      </c>
      <c r="H10" s="1" t="s">
        <v>504</v>
      </c>
      <c r="I10" s="1">
        <v>0</v>
      </c>
      <c r="J10" s="1" t="s">
        <v>36</v>
      </c>
      <c r="K10" s="1" t="s">
        <v>112</v>
      </c>
      <c r="L10" s="1" t="s">
        <v>38</v>
      </c>
      <c r="M10" s="1" t="s">
        <v>66</v>
      </c>
      <c r="N10" s="2">
        <v>38006</v>
      </c>
      <c r="O10" s="3">
        <v>880000</v>
      </c>
      <c r="P10" s="3" t="s">
        <v>41</v>
      </c>
      <c r="Q10" s="1" t="s">
        <v>264</v>
      </c>
      <c r="R10" s="1" t="s">
        <v>43</v>
      </c>
      <c r="S10" s="3" t="s">
        <v>44</v>
      </c>
      <c r="T10" s="3" t="s">
        <v>484</v>
      </c>
      <c r="U10" s="2">
        <v>39445</v>
      </c>
      <c r="V10" s="2">
        <v>39660</v>
      </c>
      <c r="W10" s="2">
        <v>39688</v>
      </c>
      <c r="X10" s="2">
        <v>39780</v>
      </c>
      <c r="Y10" s="2">
        <v>39842</v>
      </c>
      <c r="Z10" s="3" t="s">
        <v>505</v>
      </c>
      <c r="AA10" s="3" t="s">
        <v>506</v>
      </c>
      <c r="AB10" s="3" t="s">
        <v>507</v>
      </c>
      <c r="AC10" s="2">
        <v>39842</v>
      </c>
      <c r="AD10" s="2">
        <v>41773</v>
      </c>
      <c r="AE10" s="2" t="s">
        <v>106</v>
      </c>
      <c r="AF10" s="2" t="s">
        <v>269</v>
      </c>
      <c r="AG10" s="2" t="s">
        <v>269</v>
      </c>
      <c r="AH10" s="2" t="s">
        <v>269</v>
      </c>
      <c r="AI10" s="5">
        <v>308326.59999999998</v>
      </c>
      <c r="AJ10" s="6">
        <v>0</v>
      </c>
      <c r="AK10" s="71" t="str">
        <f t="shared" si="1"/>
        <v>60GR1</v>
      </c>
    </row>
    <row r="11" spans="1:37" ht="172.8" x14ac:dyDescent="0.3">
      <c r="A11" t="s">
        <v>1894</v>
      </c>
      <c r="B11" s="1">
        <f t="shared" si="0"/>
        <v>189</v>
      </c>
      <c r="C11" cm="1">
        <f t="array" ref="C11">IFERROR(MAX(--_xlfn.TEXTSPLIT(D11,";")),0)</f>
        <v>9</v>
      </c>
      <c r="D11" t="s">
        <v>1758</v>
      </c>
      <c r="E11" s="1" t="s">
        <v>333</v>
      </c>
      <c r="F11" s="1" t="s">
        <v>334</v>
      </c>
      <c r="G11" s="1">
        <v>1</v>
      </c>
      <c r="H11" s="1" t="s">
        <v>335</v>
      </c>
      <c r="I11" s="1" t="s">
        <v>336</v>
      </c>
      <c r="J11" s="1" t="s">
        <v>36</v>
      </c>
      <c r="K11" s="1" t="s">
        <v>37</v>
      </c>
      <c r="L11" s="1" t="s">
        <v>38</v>
      </c>
      <c r="M11" s="1" t="s">
        <v>39</v>
      </c>
      <c r="N11" s="2" t="s">
        <v>40</v>
      </c>
      <c r="O11" s="3">
        <v>6680000</v>
      </c>
      <c r="P11" s="3" t="s">
        <v>41</v>
      </c>
      <c r="Q11" s="1" t="s">
        <v>337</v>
      </c>
      <c r="R11" s="1" t="s">
        <v>133</v>
      </c>
      <c r="S11" s="3" t="s">
        <v>123</v>
      </c>
      <c r="T11" s="3" t="s">
        <v>248</v>
      </c>
      <c r="U11" s="2">
        <v>37141</v>
      </c>
      <c r="V11" s="2">
        <v>37286</v>
      </c>
      <c r="W11" s="2">
        <v>37327</v>
      </c>
      <c r="X11" s="2">
        <v>37551</v>
      </c>
      <c r="Y11" s="2">
        <v>37648</v>
      </c>
      <c r="Z11" s="3" t="s">
        <v>338</v>
      </c>
      <c r="AA11" s="3" t="s">
        <v>339</v>
      </c>
      <c r="AB11" s="3" t="s">
        <v>340</v>
      </c>
      <c r="AC11" s="2">
        <v>37648</v>
      </c>
      <c r="AD11" s="2">
        <v>49877</v>
      </c>
      <c r="AE11" s="2" t="s">
        <v>49</v>
      </c>
      <c r="AF11" s="2">
        <v>38379</v>
      </c>
      <c r="AG11" s="2">
        <v>43489</v>
      </c>
      <c r="AH11" s="2">
        <v>43685</v>
      </c>
      <c r="AI11" s="8">
        <v>12335209.380517498</v>
      </c>
      <c r="AJ11" s="6">
        <v>1</v>
      </c>
      <c r="AK11" s="71" t="str">
        <f t="shared" si="1"/>
        <v>60RU1</v>
      </c>
    </row>
    <row r="12" spans="1:37" ht="118.95" customHeight="1" x14ac:dyDescent="0.3">
      <c r="B12" s="1">
        <f t="shared" si="0"/>
        <v>189</v>
      </c>
      <c r="C12" cm="1">
        <f t="array" ref="C12">IFERROR(MAX(--_xlfn.TEXTSPLIT(D12,";")),0)</f>
        <v>10</v>
      </c>
      <c r="D12" t="s">
        <v>1759</v>
      </c>
      <c r="E12" s="1" t="s">
        <v>540</v>
      </c>
      <c r="F12" s="1" t="s">
        <v>541</v>
      </c>
      <c r="G12" s="1">
        <v>1</v>
      </c>
      <c r="H12" s="1" t="s">
        <v>542</v>
      </c>
      <c r="I12" s="1">
        <v>0</v>
      </c>
      <c r="J12" s="1" t="s">
        <v>36</v>
      </c>
      <c r="K12" s="1" t="s">
        <v>543</v>
      </c>
      <c r="L12" s="1" t="s">
        <v>38</v>
      </c>
      <c r="M12" s="1" t="s">
        <v>39</v>
      </c>
      <c r="N12" s="2" t="s">
        <v>40</v>
      </c>
      <c r="O12" s="3">
        <v>8653000</v>
      </c>
      <c r="P12" s="3" t="s">
        <v>41</v>
      </c>
      <c r="Q12" s="1" t="s">
        <v>264</v>
      </c>
      <c r="R12" s="1" t="s">
        <v>43</v>
      </c>
      <c r="S12" s="3" t="s">
        <v>44</v>
      </c>
      <c r="T12" s="3" t="s">
        <v>484</v>
      </c>
      <c r="U12" s="2">
        <v>39781</v>
      </c>
      <c r="V12" s="2">
        <v>40169</v>
      </c>
      <c r="W12" s="2">
        <v>40197</v>
      </c>
      <c r="X12" s="2">
        <v>40219</v>
      </c>
      <c r="Y12" s="2">
        <v>40285</v>
      </c>
      <c r="Z12" s="3" t="s">
        <v>544</v>
      </c>
      <c r="AA12" s="3" t="s">
        <v>545</v>
      </c>
      <c r="AB12" s="3" t="s">
        <v>546</v>
      </c>
      <c r="AC12" s="2">
        <v>40285</v>
      </c>
      <c r="AD12" s="2">
        <v>41668</v>
      </c>
      <c r="AE12" s="2" t="s">
        <v>106</v>
      </c>
      <c r="AF12" s="2" t="s">
        <v>269</v>
      </c>
      <c r="AG12" s="2" t="s">
        <v>269</v>
      </c>
      <c r="AH12" s="2" t="s">
        <v>269</v>
      </c>
      <c r="AI12" s="5">
        <v>1639583.19</v>
      </c>
      <c r="AJ12" s="6">
        <v>0</v>
      </c>
      <c r="AK12" s="71" t="str">
        <f t="shared" si="1"/>
        <v>66RF1</v>
      </c>
    </row>
    <row r="13" spans="1:37" ht="409.6" x14ac:dyDescent="0.3">
      <c r="A13" t="s">
        <v>1895</v>
      </c>
      <c r="B13" s="1">
        <f t="shared" si="0"/>
        <v>189</v>
      </c>
      <c r="C13" cm="1">
        <f t="array" ref="C13">IFERROR(MAX(--_xlfn.TEXTSPLIT(D13,";")),0)</f>
        <v>10</v>
      </c>
      <c r="D13" t="s">
        <v>1759</v>
      </c>
      <c r="E13" s="1" t="s">
        <v>800</v>
      </c>
      <c r="F13" s="1" t="s">
        <v>541</v>
      </c>
      <c r="G13" s="1">
        <v>2</v>
      </c>
      <c r="H13" s="1" t="s">
        <v>801</v>
      </c>
      <c r="I13" s="1" t="s">
        <v>802</v>
      </c>
      <c r="J13" s="1" t="s">
        <v>36</v>
      </c>
      <c r="K13" s="1" t="s">
        <v>543</v>
      </c>
      <c r="L13" s="1" t="s">
        <v>38</v>
      </c>
      <c r="M13" s="1" t="s">
        <v>39</v>
      </c>
      <c r="N13" s="2" t="s">
        <v>40</v>
      </c>
      <c r="O13" s="3">
        <v>13425000</v>
      </c>
      <c r="P13" s="3" t="s">
        <v>41</v>
      </c>
      <c r="Q13" s="1" t="s">
        <v>803</v>
      </c>
      <c r="R13" s="1" t="s">
        <v>662</v>
      </c>
      <c r="S13" s="3" t="s">
        <v>44</v>
      </c>
      <c r="T13" s="3" t="s">
        <v>484</v>
      </c>
      <c r="U13" s="2">
        <v>43020</v>
      </c>
      <c r="V13" s="2">
        <v>43616</v>
      </c>
      <c r="W13" s="2">
        <v>43642</v>
      </c>
      <c r="X13" s="2">
        <v>43697</v>
      </c>
      <c r="Y13" s="2">
        <v>43778</v>
      </c>
      <c r="Z13" s="3" t="s">
        <v>804</v>
      </c>
      <c r="AA13" s="3" t="s">
        <v>805</v>
      </c>
      <c r="AB13" s="3" t="s">
        <v>806</v>
      </c>
      <c r="AC13" s="2">
        <v>43778</v>
      </c>
      <c r="AD13" s="2">
        <v>60214</v>
      </c>
      <c r="AE13" s="2" t="s">
        <v>106</v>
      </c>
      <c r="AF13" s="2">
        <v>44439</v>
      </c>
      <c r="AG13" s="2" t="s">
        <v>697</v>
      </c>
      <c r="AH13" s="2" t="s">
        <v>697</v>
      </c>
      <c r="AI13" s="5">
        <v>13425000</v>
      </c>
      <c r="AJ13" s="6" t="s">
        <v>807</v>
      </c>
      <c r="AK13" s="71" t="str">
        <f t="shared" si="1"/>
        <v>66RF2</v>
      </c>
    </row>
    <row r="14" spans="1:37" ht="118.95" customHeight="1" x14ac:dyDescent="0.3">
      <c r="B14" s="1">
        <f t="shared" si="0"/>
        <v>189</v>
      </c>
      <c r="C14" cm="1">
        <f t="array" ref="C14">IFERROR(MAX(--_xlfn.TEXTSPLIT(D14,";")),0)</f>
        <v>11</v>
      </c>
      <c r="D14" t="s">
        <v>1760</v>
      </c>
      <c r="E14" s="1" t="s">
        <v>792</v>
      </c>
      <c r="F14" s="1" t="s">
        <v>793</v>
      </c>
      <c r="G14" s="1">
        <v>1</v>
      </c>
      <c r="H14" s="1" t="s">
        <v>794</v>
      </c>
      <c r="I14" s="1" t="s">
        <v>795</v>
      </c>
      <c r="J14" s="1" t="s">
        <v>111</v>
      </c>
      <c r="K14" s="1" t="s">
        <v>112</v>
      </c>
      <c r="L14" s="1" t="s">
        <v>38</v>
      </c>
      <c r="M14" s="1" t="s">
        <v>66</v>
      </c>
      <c r="N14" s="2">
        <v>39826</v>
      </c>
      <c r="O14" s="3">
        <v>6100000</v>
      </c>
      <c r="P14" s="3" t="s">
        <v>41</v>
      </c>
      <c r="Q14" s="1" t="s">
        <v>796</v>
      </c>
      <c r="R14" s="1" t="s">
        <v>693</v>
      </c>
      <c r="S14" s="3" t="s">
        <v>44</v>
      </c>
      <c r="T14" s="3" t="s">
        <v>152</v>
      </c>
      <c r="U14" s="2">
        <v>42990</v>
      </c>
      <c r="V14" s="2">
        <v>43111</v>
      </c>
      <c r="W14" s="2">
        <v>43132</v>
      </c>
      <c r="X14" s="2">
        <v>43164</v>
      </c>
      <c r="Y14" s="2">
        <v>43211</v>
      </c>
      <c r="Z14" s="3" t="s">
        <v>797</v>
      </c>
      <c r="AA14" s="3" t="s">
        <v>798</v>
      </c>
      <c r="AB14" s="3" t="s">
        <v>799</v>
      </c>
      <c r="AC14" s="2">
        <v>43211</v>
      </c>
      <c r="AD14" s="2">
        <v>59646</v>
      </c>
      <c r="AE14" s="2" t="s">
        <v>106</v>
      </c>
      <c r="AF14" s="2">
        <v>45972</v>
      </c>
      <c r="AG14" s="2" t="s">
        <v>697</v>
      </c>
      <c r="AH14" s="2" t="s">
        <v>697</v>
      </c>
      <c r="AI14" s="5">
        <v>6100000</v>
      </c>
      <c r="AJ14" s="13">
        <v>2.8500000000000001E-2</v>
      </c>
      <c r="AK14" s="71" t="str">
        <f t="shared" si="1"/>
        <v>67CV1</v>
      </c>
    </row>
    <row r="15" spans="1:37" ht="118.95" customHeight="1" x14ac:dyDescent="0.3">
      <c r="A15" t="s">
        <v>1896</v>
      </c>
      <c r="B15" s="1">
        <f t="shared" si="0"/>
        <v>189</v>
      </c>
      <c r="C15" cm="1">
        <f t="array" ref="C15">IFERROR(MAX(--_xlfn.TEXTSPLIT(D15,";")),0)</f>
        <v>13</v>
      </c>
      <c r="D15" t="s">
        <v>1761</v>
      </c>
      <c r="E15" s="1" t="s">
        <v>592</v>
      </c>
      <c r="F15" s="1" t="s">
        <v>593</v>
      </c>
      <c r="G15" s="1">
        <v>1</v>
      </c>
      <c r="H15" s="1" t="s">
        <v>594</v>
      </c>
      <c r="I15" s="1" t="s">
        <v>595</v>
      </c>
      <c r="J15" s="1" t="s">
        <v>36</v>
      </c>
      <c r="K15" s="1" t="s">
        <v>65</v>
      </c>
      <c r="L15" s="1" t="s">
        <v>38</v>
      </c>
      <c r="M15" s="1" t="s">
        <v>66</v>
      </c>
      <c r="N15" s="2" t="s">
        <v>40</v>
      </c>
      <c r="O15" s="3">
        <v>5040000</v>
      </c>
      <c r="P15" s="3" t="s">
        <v>41</v>
      </c>
      <c r="Q15" s="1" t="s">
        <v>596</v>
      </c>
      <c r="R15" s="1" t="s">
        <v>133</v>
      </c>
      <c r="S15" s="3" t="s">
        <v>44</v>
      </c>
      <c r="T15" s="3" t="s">
        <v>512</v>
      </c>
      <c r="U15" s="2">
        <v>40186</v>
      </c>
      <c r="V15" s="2">
        <v>40541</v>
      </c>
      <c r="W15" s="2">
        <v>40562</v>
      </c>
      <c r="X15" s="2">
        <v>40700</v>
      </c>
      <c r="Y15" s="2">
        <v>40789</v>
      </c>
      <c r="Z15" s="3" t="s">
        <v>597</v>
      </c>
      <c r="AA15" s="3" t="s">
        <v>598</v>
      </c>
      <c r="AB15" s="3" t="s">
        <v>599</v>
      </c>
      <c r="AC15" s="2">
        <v>40789</v>
      </c>
      <c r="AD15" s="2">
        <v>52475</v>
      </c>
      <c r="AE15" s="2" t="s">
        <v>106</v>
      </c>
      <c r="AF15" s="2" t="s">
        <v>50</v>
      </c>
      <c r="AG15" s="2">
        <v>41946</v>
      </c>
      <c r="AH15" s="2">
        <v>42731</v>
      </c>
      <c r="AI15" s="8">
        <v>4411657.9000000004</v>
      </c>
      <c r="AJ15" s="6">
        <v>1</v>
      </c>
      <c r="AK15" s="71" t="str">
        <f t="shared" si="1"/>
        <v>ACIQ1</v>
      </c>
    </row>
    <row r="16" spans="1:37" ht="118.95" customHeight="1" x14ac:dyDescent="0.3">
      <c r="A16" t="s">
        <v>1897</v>
      </c>
      <c r="B16" s="1">
        <f t="shared" si="0"/>
        <v>189</v>
      </c>
      <c r="C16" cm="1">
        <f t="array" ref="C16">IFERROR(MAX(--_xlfn.TEXTSPLIT(D16,";")),0)</f>
        <v>14</v>
      </c>
      <c r="D16" t="s">
        <v>1762</v>
      </c>
      <c r="E16" s="1" t="s">
        <v>357</v>
      </c>
      <c r="F16" s="1" t="s">
        <v>358</v>
      </c>
      <c r="G16" s="1">
        <v>1</v>
      </c>
      <c r="H16" s="1" t="s">
        <v>359</v>
      </c>
      <c r="I16" s="1" t="s">
        <v>360</v>
      </c>
      <c r="J16" s="1" t="s">
        <v>111</v>
      </c>
      <c r="K16" s="1" t="s">
        <v>112</v>
      </c>
      <c r="L16" s="1" t="s">
        <v>38</v>
      </c>
      <c r="M16" s="1" t="s">
        <v>66</v>
      </c>
      <c r="N16" s="2" t="s">
        <v>40</v>
      </c>
      <c r="O16" s="3">
        <v>5468000</v>
      </c>
      <c r="P16" s="3" t="s">
        <v>41</v>
      </c>
      <c r="Q16" s="1" t="s">
        <v>361</v>
      </c>
      <c r="R16" s="1" t="s">
        <v>133</v>
      </c>
      <c r="S16" s="3" t="s">
        <v>44</v>
      </c>
      <c r="T16" s="3" t="s">
        <v>152</v>
      </c>
      <c r="U16" s="2">
        <v>37264</v>
      </c>
      <c r="V16" s="2">
        <v>37840</v>
      </c>
      <c r="W16" s="2">
        <v>37862</v>
      </c>
      <c r="X16" s="2">
        <v>37924</v>
      </c>
      <c r="Y16" s="2">
        <v>37993</v>
      </c>
      <c r="Z16" s="3" t="s">
        <v>362</v>
      </c>
      <c r="AA16" s="3" t="s">
        <v>363</v>
      </c>
      <c r="AB16" s="3" t="s">
        <v>364</v>
      </c>
      <c r="AC16" s="2">
        <v>37993</v>
      </c>
      <c r="AD16" s="2">
        <v>52908</v>
      </c>
      <c r="AE16" s="2" t="s">
        <v>106</v>
      </c>
      <c r="AF16" s="2" t="s">
        <v>50</v>
      </c>
      <c r="AG16" s="2">
        <v>39484</v>
      </c>
      <c r="AH16" s="2">
        <v>43100</v>
      </c>
      <c r="AI16" s="8">
        <v>8769723.2791693248</v>
      </c>
      <c r="AJ16" s="6">
        <v>1</v>
      </c>
      <c r="AK16" s="71" t="str">
        <f t="shared" si="1"/>
        <v>ACNO1</v>
      </c>
    </row>
    <row r="17" spans="1:37" ht="118.95" customHeight="1" x14ac:dyDescent="0.3">
      <c r="A17" t="s">
        <v>1898</v>
      </c>
      <c r="B17" s="1">
        <f t="shared" si="0"/>
        <v>189</v>
      </c>
      <c r="C17" cm="1">
        <f t="array" ref="C17">IFERROR(MAX(--_xlfn.TEXTSPLIT(D17,";")),0)</f>
        <v>16</v>
      </c>
      <c r="D17" t="s">
        <v>1763</v>
      </c>
      <c r="E17" s="1" t="s">
        <v>80</v>
      </c>
      <c r="F17" s="59" t="s">
        <v>1847</v>
      </c>
      <c r="G17" s="1">
        <v>1</v>
      </c>
      <c r="H17" s="1" t="s">
        <v>81</v>
      </c>
      <c r="I17" s="1" t="s">
        <v>82</v>
      </c>
      <c r="J17" s="1" t="s">
        <v>36</v>
      </c>
      <c r="K17" s="1" t="s">
        <v>83</v>
      </c>
      <c r="L17" s="1" t="s">
        <v>38</v>
      </c>
      <c r="M17" s="1" t="s">
        <v>39</v>
      </c>
      <c r="N17" s="2" t="s">
        <v>40</v>
      </c>
      <c r="O17" s="3">
        <v>3403643</v>
      </c>
      <c r="P17" s="3" t="s">
        <v>41</v>
      </c>
      <c r="Q17" s="4" t="s">
        <v>84</v>
      </c>
      <c r="R17" s="1" t="s">
        <v>43</v>
      </c>
      <c r="S17" s="3" t="s">
        <v>44</v>
      </c>
      <c r="T17" s="3" t="s">
        <v>85</v>
      </c>
      <c r="U17" s="2">
        <v>34645</v>
      </c>
      <c r="V17" s="2">
        <v>34653</v>
      </c>
      <c r="W17" s="2">
        <v>34698</v>
      </c>
      <c r="X17" s="2">
        <v>34705</v>
      </c>
      <c r="Y17" s="2">
        <v>34794</v>
      </c>
      <c r="Z17" s="3" t="s">
        <v>86</v>
      </c>
      <c r="AA17" s="3" t="s">
        <v>87</v>
      </c>
      <c r="AB17" s="3" t="s">
        <v>88</v>
      </c>
      <c r="AC17" s="2">
        <v>34801</v>
      </c>
      <c r="AD17" s="2">
        <v>45747</v>
      </c>
      <c r="AE17" s="2" t="s">
        <v>49</v>
      </c>
      <c r="AF17" s="2" t="s">
        <v>50</v>
      </c>
      <c r="AG17" s="2">
        <v>35999</v>
      </c>
      <c r="AH17" s="2">
        <v>36160</v>
      </c>
      <c r="AI17" s="5">
        <v>7091175.5760826981</v>
      </c>
      <c r="AJ17" s="6">
        <v>1</v>
      </c>
      <c r="AK17" s="71" t="str">
        <f t="shared" si="1"/>
        <v>ANCO1</v>
      </c>
    </row>
    <row r="18" spans="1:37" ht="118.95" customHeight="1" x14ac:dyDescent="0.3">
      <c r="B18" s="1">
        <f t="shared" si="0"/>
        <v>189</v>
      </c>
      <c r="C18" cm="1">
        <f t="array" ref="C18">IFERROR(MAX(--_xlfn.TEXTSPLIT(D18,";")),0)</f>
        <v>17</v>
      </c>
      <c r="D18" t="s">
        <v>1764</v>
      </c>
      <c r="E18" s="1" t="s">
        <v>204</v>
      </c>
      <c r="F18" s="1" t="s">
        <v>205</v>
      </c>
      <c r="G18" s="1">
        <v>1</v>
      </c>
      <c r="H18" s="1" t="s">
        <v>206</v>
      </c>
      <c r="I18" s="1" t="s">
        <v>207</v>
      </c>
      <c r="J18" s="1" t="s">
        <v>64</v>
      </c>
      <c r="K18" s="1" t="s">
        <v>112</v>
      </c>
      <c r="L18" s="1" t="s">
        <v>38</v>
      </c>
      <c r="M18" s="1" t="s">
        <v>39</v>
      </c>
      <c r="N18" s="2" t="s">
        <v>40</v>
      </c>
      <c r="O18" s="3">
        <v>4600000</v>
      </c>
      <c r="P18" s="3" t="s">
        <v>41</v>
      </c>
      <c r="Q18" s="1" t="s">
        <v>208</v>
      </c>
      <c r="R18" s="1" t="s">
        <v>43</v>
      </c>
      <c r="S18" s="3" t="s">
        <v>123</v>
      </c>
      <c r="T18" s="3" t="s">
        <v>209</v>
      </c>
      <c r="U18" s="2">
        <v>35598</v>
      </c>
      <c r="V18" s="2">
        <v>35718</v>
      </c>
      <c r="W18" s="2">
        <v>35752</v>
      </c>
      <c r="X18" s="2">
        <v>35769</v>
      </c>
      <c r="Y18" s="2">
        <v>35846</v>
      </c>
      <c r="Z18" s="3" t="s">
        <v>210</v>
      </c>
      <c r="AA18" s="3" t="s">
        <v>211</v>
      </c>
      <c r="AB18" s="3" t="s">
        <v>212</v>
      </c>
      <c r="AC18" s="2">
        <v>35983</v>
      </c>
      <c r="AD18" s="2">
        <v>42277</v>
      </c>
      <c r="AE18" s="2" t="s">
        <v>106</v>
      </c>
      <c r="AF18" s="2" t="s">
        <v>50</v>
      </c>
      <c r="AG18" s="2" t="s">
        <v>50</v>
      </c>
      <c r="AH18" s="2" t="s">
        <v>50</v>
      </c>
      <c r="AI18" s="5">
        <v>8543190.5899999999</v>
      </c>
      <c r="AJ18" s="6">
        <v>1</v>
      </c>
      <c r="AK18" s="71" t="str">
        <f t="shared" si="1"/>
        <v>AAMB1</v>
      </c>
    </row>
    <row r="19" spans="1:37" ht="118.95" customHeight="1" x14ac:dyDescent="0.3">
      <c r="B19" s="1">
        <f t="shared" si="0"/>
        <v>189</v>
      </c>
      <c r="C19" cm="1">
        <f t="array" ref="C19">IFERROR(MAX(--_xlfn.TEXTSPLIT(D19,";")),0)</f>
        <v>17</v>
      </c>
      <c r="D19" t="s">
        <v>1764</v>
      </c>
      <c r="E19" s="1" t="s">
        <v>706</v>
      </c>
      <c r="F19" s="1" t="s">
        <v>205</v>
      </c>
      <c r="G19" s="1">
        <v>2</v>
      </c>
      <c r="H19" s="1" t="s">
        <v>707</v>
      </c>
      <c r="I19" s="1" t="s">
        <v>708</v>
      </c>
      <c r="J19" s="1" t="s">
        <v>64</v>
      </c>
      <c r="K19" s="1" t="s">
        <v>112</v>
      </c>
      <c r="L19" s="1" t="s">
        <v>38</v>
      </c>
      <c r="M19" s="1" t="s">
        <v>39</v>
      </c>
      <c r="N19" s="2" t="s">
        <v>40</v>
      </c>
      <c r="O19" s="3">
        <v>14980000</v>
      </c>
      <c r="P19" s="3" t="s">
        <v>41</v>
      </c>
      <c r="Q19" s="1" t="s">
        <v>709</v>
      </c>
      <c r="R19" s="1" t="s">
        <v>133</v>
      </c>
      <c r="S19" s="3" t="s">
        <v>123</v>
      </c>
      <c r="T19" s="3" t="s">
        <v>710</v>
      </c>
      <c r="U19" s="2">
        <v>41810</v>
      </c>
      <c r="V19" s="2">
        <v>42003</v>
      </c>
      <c r="W19" s="2">
        <v>42039</v>
      </c>
      <c r="X19" s="2">
        <v>42075</v>
      </c>
      <c r="Y19" s="2">
        <v>42115</v>
      </c>
      <c r="Z19" s="3" t="s">
        <v>711</v>
      </c>
      <c r="AA19" s="3" t="s">
        <v>712</v>
      </c>
      <c r="AB19" s="3" t="s">
        <v>713</v>
      </c>
      <c r="AC19" s="2">
        <v>42115</v>
      </c>
      <c r="AD19" s="2">
        <v>49583</v>
      </c>
      <c r="AE19" s="2" t="s">
        <v>49</v>
      </c>
      <c r="AF19" s="2">
        <v>42678</v>
      </c>
      <c r="AG19" s="2">
        <v>46021</v>
      </c>
      <c r="AH19" s="2" t="s">
        <v>531</v>
      </c>
      <c r="AI19" s="14">
        <v>28944329.199999999</v>
      </c>
      <c r="AJ19" s="15">
        <v>0.99839999999999995</v>
      </c>
      <c r="AK19" s="71" t="str">
        <f t="shared" si="1"/>
        <v>AAMB2</v>
      </c>
    </row>
    <row r="20" spans="1:37" ht="244.2" customHeight="1" x14ac:dyDescent="0.3">
      <c r="A20" t="s">
        <v>1900</v>
      </c>
      <c r="B20" s="1">
        <f t="shared" si="0"/>
        <v>189</v>
      </c>
      <c r="C20" cm="1">
        <f t="array" ref="C20">IFERROR(MAX(--_xlfn.TEXTSPLIT(D20,";")),0)</f>
        <v>18</v>
      </c>
      <c r="D20" t="s">
        <v>1765</v>
      </c>
      <c r="E20" s="1" t="s">
        <v>398</v>
      </c>
      <c r="F20" s="1" t="s">
        <v>1846</v>
      </c>
      <c r="G20" s="1">
        <v>1</v>
      </c>
      <c r="H20" s="1" t="s">
        <v>399</v>
      </c>
      <c r="I20" s="1" t="s">
        <v>400</v>
      </c>
      <c r="J20" s="1" t="s">
        <v>64</v>
      </c>
      <c r="K20" s="1" t="s">
        <v>401</v>
      </c>
      <c r="L20" s="1" t="s">
        <v>38</v>
      </c>
      <c r="M20" s="1" t="s">
        <v>39</v>
      </c>
      <c r="N20" s="2" t="s">
        <v>40</v>
      </c>
      <c r="O20" s="3">
        <v>327809</v>
      </c>
      <c r="P20" s="3" t="s">
        <v>41</v>
      </c>
      <c r="Q20" s="1" t="s">
        <v>402</v>
      </c>
      <c r="R20" s="1" t="s">
        <v>43</v>
      </c>
      <c r="S20" s="3" t="s">
        <v>123</v>
      </c>
      <c r="T20" s="3" t="s">
        <v>114</v>
      </c>
      <c r="U20" s="2">
        <v>37801</v>
      </c>
      <c r="V20" s="2">
        <v>37938</v>
      </c>
      <c r="W20" s="2">
        <v>37971</v>
      </c>
      <c r="X20" s="2">
        <v>38023</v>
      </c>
      <c r="Y20" s="2">
        <v>38096</v>
      </c>
      <c r="Z20" s="3" t="s">
        <v>403</v>
      </c>
      <c r="AA20" s="3" t="s">
        <v>404</v>
      </c>
      <c r="AB20" s="3" t="s">
        <v>405</v>
      </c>
      <c r="AC20" s="2">
        <v>38096</v>
      </c>
      <c r="AD20" s="2">
        <v>43573</v>
      </c>
      <c r="AE20" s="2" t="s">
        <v>49</v>
      </c>
      <c r="AF20" s="2" t="s">
        <v>50</v>
      </c>
      <c r="AG20" s="2">
        <v>38936</v>
      </c>
      <c r="AH20" s="2">
        <v>39118</v>
      </c>
      <c r="AI20" s="5">
        <v>471611.79000000004</v>
      </c>
      <c r="AJ20" s="6">
        <v>1</v>
      </c>
      <c r="AK20" s="71" t="str">
        <f t="shared" si="1"/>
        <v>ACHA1</v>
      </c>
    </row>
    <row r="21" spans="1:37" ht="118.95" customHeight="1" x14ac:dyDescent="0.3">
      <c r="A21" t="s">
        <v>1899</v>
      </c>
      <c r="B21" s="1">
        <f t="shared" si="0"/>
        <v>189</v>
      </c>
      <c r="C21" cm="1">
        <f t="array" ref="C21">IFERROR(MAX(--_xlfn.TEXTSPLIT(D21,";")),0)</f>
        <v>18</v>
      </c>
      <c r="D21" t="s">
        <v>1765</v>
      </c>
      <c r="E21" s="1" t="s">
        <v>832</v>
      </c>
      <c r="F21" s="1" t="s">
        <v>1846</v>
      </c>
      <c r="G21" s="1">
        <v>2</v>
      </c>
      <c r="H21" s="1" t="s">
        <v>833</v>
      </c>
      <c r="I21" s="1" t="s">
        <v>834</v>
      </c>
      <c r="J21" s="1" t="s">
        <v>64</v>
      </c>
      <c r="K21" s="1" t="s">
        <v>401</v>
      </c>
      <c r="L21" s="1" t="s">
        <v>38</v>
      </c>
      <c r="M21" s="1" t="s">
        <v>39</v>
      </c>
      <c r="N21" s="2" t="s">
        <v>40</v>
      </c>
      <c r="O21" s="3">
        <v>2031000</v>
      </c>
      <c r="P21" s="3" t="s">
        <v>41</v>
      </c>
      <c r="Q21" s="1" t="s">
        <v>835</v>
      </c>
      <c r="R21" s="1" t="s">
        <v>662</v>
      </c>
      <c r="S21" s="3" t="s">
        <v>44</v>
      </c>
      <c r="T21" s="3" t="s">
        <v>124</v>
      </c>
      <c r="U21" s="2">
        <v>43364</v>
      </c>
      <c r="V21" s="2">
        <v>43455</v>
      </c>
      <c r="W21" s="2">
        <v>43481</v>
      </c>
      <c r="X21" s="2">
        <v>43500</v>
      </c>
      <c r="Y21" s="2">
        <v>43544</v>
      </c>
      <c r="Z21" s="3" t="s">
        <v>836</v>
      </c>
      <c r="AA21" s="3" t="s">
        <v>837</v>
      </c>
      <c r="AB21" s="3" t="s">
        <v>838</v>
      </c>
      <c r="AC21" s="2">
        <v>43544</v>
      </c>
      <c r="AD21" s="2">
        <v>49035</v>
      </c>
      <c r="AE21" s="2" t="s">
        <v>49</v>
      </c>
      <c r="AF21" s="2">
        <v>44127</v>
      </c>
      <c r="AG21" s="2" t="s">
        <v>697</v>
      </c>
      <c r="AH21" s="2" t="s">
        <v>697</v>
      </c>
      <c r="AI21" s="5">
        <v>2031000</v>
      </c>
      <c r="AJ21" s="15">
        <v>1</v>
      </c>
      <c r="AK21" s="71" t="str">
        <f t="shared" si="1"/>
        <v>ACHA2</v>
      </c>
    </row>
    <row r="22" spans="1:37" ht="118.95" customHeight="1" x14ac:dyDescent="0.3">
      <c r="B22" s="1">
        <f t="shared" si="0"/>
        <v>189</v>
      </c>
      <c r="C22" cm="1">
        <f t="array" ref="C22">IFERROR(MAX(--_xlfn.TEXTSPLIT(D22,";")),0)</f>
        <v>19</v>
      </c>
      <c r="D22" t="s">
        <v>1766</v>
      </c>
      <c r="E22" s="1" t="s">
        <v>252</v>
      </c>
      <c r="F22" s="1" t="s">
        <v>562</v>
      </c>
      <c r="G22" s="1">
        <v>1</v>
      </c>
      <c r="H22" s="1" t="s">
        <v>253</v>
      </c>
      <c r="I22" s="1" t="s">
        <v>254</v>
      </c>
      <c r="J22" s="1" t="s">
        <v>64</v>
      </c>
      <c r="K22" s="1" t="s">
        <v>255</v>
      </c>
      <c r="L22" s="1" t="s">
        <v>38</v>
      </c>
      <c r="M22" s="1" t="s">
        <v>39</v>
      </c>
      <c r="N22" s="2" t="s">
        <v>40</v>
      </c>
      <c r="O22" s="3">
        <v>320573</v>
      </c>
      <c r="P22" s="3" t="s">
        <v>41</v>
      </c>
      <c r="Q22" s="1" t="s">
        <v>256</v>
      </c>
      <c r="R22" s="1" t="s">
        <v>43</v>
      </c>
      <c r="S22" s="3" t="s">
        <v>44</v>
      </c>
      <c r="T22" s="3" t="s">
        <v>257</v>
      </c>
      <c r="U22" s="2">
        <v>36370</v>
      </c>
      <c r="V22" s="2">
        <v>36447</v>
      </c>
      <c r="W22" s="2">
        <v>36487</v>
      </c>
      <c r="X22" s="2">
        <v>36564</v>
      </c>
      <c r="Y22" s="2">
        <v>36640</v>
      </c>
      <c r="Z22" s="3" t="s">
        <v>258</v>
      </c>
      <c r="AA22" s="3" t="s">
        <v>259</v>
      </c>
      <c r="AB22" s="7" t="s">
        <v>260</v>
      </c>
      <c r="AC22" s="2">
        <v>36640</v>
      </c>
      <c r="AD22" s="2">
        <v>40260</v>
      </c>
      <c r="AE22" s="2" t="s">
        <v>49</v>
      </c>
      <c r="AF22" s="2" t="s">
        <v>50</v>
      </c>
      <c r="AG22" s="2">
        <v>37606</v>
      </c>
      <c r="AH22" s="2" t="s">
        <v>50</v>
      </c>
      <c r="AI22" s="5">
        <v>324423.18</v>
      </c>
      <c r="AJ22" s="6">
        <v>1</v>
      </c>
      <c r="AK22" s="71" t="str">
        <f t="shared" si="1"/>
        <v>ACIP1</v>
      </c>
    </row>
    <row r="23" spans="1:37" ht="118.95" customHeight="1" x14ac:dyDescent="0.3">
      <c r="B23" s="1">
        <f t="shared" si="0"/>
        <v>189</v>
      </c>
      <c r="C23" cm="1">
        <f t="array" ref="C23">IFERROR(MAX(--_xlfn.TEXTSPLIT(D23,";")),0)</f>
        <v>19</v>
      </c>
      <c r="D23" t="s">
        <v>1766</v>
      </c>
      <c r="E23" s="1" t="s">
        <v>561</v>
      </c>
      <c r="F23" s="1" t="s">
        <v>562</v>
      </c>
      <c r="G23" s="1">
        <v>2</v>
      </c>
      <c r="H23" s="1" t="s">
        <v>563</v>
      </c>
      <c r="I23" s="1" t="s">
        <v>564</v>
      </c>
      <c r="J23" s="1" t="s">
        <v>64</v>
      </c>
      <c r="K23" s="1" t="s">
        <v>255</v>
      </c>
      <c r="L23" s="1" t="s">
        <v>38</v>
      </c>
      <c r="M23" s="1" t="s">
        <v>39</v>
      </c>
      <c r="N23" s="2" t="s">
        <v>40</v>
      </c>
      <c r="O23" s="3">
        <v>314115</v>
      </c>
      <c r="P23" s="3" t="s">
        <v>41</v>
      </c>
      <c r="Q23" s="1" t="s">
        <v>565</v>
      </c>
      <c r="R23" s="1" t="s">
        <v>43</v>
      </c>
      <c r="S23" s="3" t="s">
        <v>123</v>
      </c>
      <c r="T23" s="3" t="s">
        <v>152</v>
      </c>
      <c r="U23" s="2">
        <v>39818</v>
      </c>
      <c r="V23" s="2">
        <v>40017</v>
      </c>
      <c r="W23" s="2">
        <v>40039</v>
      </c>
      <c r="X23" s="2">
        <v>40127</v>
      </c>
      <c r="Y23" s="2">
        <v>40191</v>
      </c>
      <c r="Z23" s="3" t="s">
        <v>566</v>
      </c>
      <c r="AA23" s="3" t="s">
        <v>567</v>
      </c>
      <c r="AB23" s="3" t="s">
        <v>568</v>
      </c>
      <c r="AC23" s="2">
        <v>40191</v>
      </c>
      <c r="AD23" s="2">
        <v>44286</v>
      </c>
      <c r="AE23" s="2" t="s">
        <v>49</v>
      </c>
      <c r="AF23" s="2" t="s">
        <v>50</v>
      </c>
      <c r="AG23" s="2">
        <v>40934</v>
      </c>
      <c r="AH23" s="2">
        <v>41155</v>
      </c>
      <c r="AI23" s="5">
        <v>339463.12000000005</v>
      </c>
      <c r="AJ23" s="6">
        <v>1</v>
      </c>
      <c r="AK23" s="71" t="str">
        <f t="shared" si="1"/>
        <v>ACIP2</v>
      </c>
    </row>
    <row r="24" spans="1:37" ht="118.95" customHeight="1" x14ac:dyDescent="0.3">
      <c r="B24" s="1">
        <f t="shared" si="0"/>
        <v>189</v>
      </c>
      <c r="C24" cm="1">
        <f t="array" ref="C24">IFERROR(MAX(--_xlfn.TEXTSPLIT(D24,";")),0)</f>
        <v>16</v>
      </c>
      <c r="D24" t="s">
        <v>1763</v>
      </c>
      <c r="E24" s="1" t="s">
        <v>983</v>
      </c>
      <c r="F24" s="1" t="s">
        <v>1847</v>
      </c>
      <c r="G24" s="1">
        <v>2</v>
      </c>
      <c r="H24" s="1" t="s">
        <v>984</v>
      </c>
      <c r="I24" s="1" t="s">
        <v>985</v>
      </c>
      <c r="J24" s="1" t="s">
        <v>36</v>
      </c>
      <c r="K24" s="1" t="s">
        <v>83</v>
      </c>
      <c r="L24" s="1" t="s">
        <v>38</v>
      </c>
      <c r="M24" s="1" t="s">
        <v>39</v>
      </c>
      <c r="N24" s="2" t="s">
        <v>40</v>
      </c>
      <c r="O24" s="3">
        <v>12527000</v>
      </c>
      <c r="P24" s="3" t="s">
        <v>41</v>
      </c>
      <c r="Q24" s="1" t="s">
        <v>986</v>
      </c>
      <c r="R24" s="1" t="s">
        <v>662</v>
      </c>
      <c r="S24" s="3" t="s">
        <v>44</v>
      </c>
      <c r="T24" s="3" t="s">
        <v>152</v>
      </c>
      <c r="U24" s="2">
        <v>45155</v>
      </c>
      <c r="V24" s="2">
        <v>45548</v>
      </c>
      <c r="W24" s="2">
        <v>45576</v>
      </c>
      <c r="X24" s="2">
        <v>45636</v>
      </c>
      <c r="Y24" s="2">
        <v>45730</v>
      </c>
      <c r="Z24" s="1" t="s">
        <v>987</v>
      </c>
      <c r="AA24" s="28" t="s">
        <v>988</v>
      </c>
      <c r="AB24" s="64" t="s">
        <v>989</v>
      </c>
      <c r="AC24" s="2">
        <v>45730</v>
      </c>
      <c r="AD24" s="2">
        <v>62166</v>
      </c>
      <c r="AE24" s="1" t="s">
        <v>106</v>
      </c>
      <c r="AF24" s="2" t="s">
        <v>855</v>
      </c>
      <c r="AG24" s="2" t="s">
        <v>697</v>
      </c>
      <c r="AH24" s="2" t="s">
        <v>697</v>
      </c>
      <c r="AI24" s="22">
        <v>12527000</v>
      </c>
      <c r="AJ24" s="6">
        <v>0</v>
      </c>
      <c r="AK24" s="71" t="str">
        <f t="shared" si="1"/>
        <v>ANCO2</v>
      </c>
    </row>
    <row r="25" spans="1:37" ht="118.95" customHeight="1" x14ac:dyDescent="0.3">
      <c r="B25" s="1">
        <f t="shared" si="0"/>
        <v>189</v>
      </c>
      <c r="C25" cm="1">
        <f t="array" ref="C25">IFERROR(MAX(--_xlfn.TEXTSPLIT(D25,";")),0)</f>
        <v>20</v>
      </c>
      <c r="D25" t="s">
        <v>1767</v>
      </c>
      <c r="E25" s="1" t="s">
        <v>237</v>
      </c>
      <c r="F25" s="1" t="s">
        <v>608</v>
      </c>
      <c r="G25" s="1">
        <v>1</v>
      </c>
      <c r="H25" s="1" t="s">
        <v>238</v>
      </c>
      <c r="I25" s="1" t="s">
        <v>239</v>
      </c>
      <c r="J25" s="1" t="s">
        <v>64</v>
      </c>
      <c r="K25" s="1" t="s">
        <v>190</v>
      </c>
      <c r="L25" s="1" t="s">
        <v>38</v>
      </c>
      <c r="M25" s="1" t="s">
        <v>66</v>
      </c>
      <c r="N25" s="2" t="s">
        <v>40</v>
      </c>
      <c r="O25" s="3">
        <v>250000</v>
      </c>
      <c r="P25" s="3" t="s">
        <v>41</v>
      </c>
      <c r="Q25" s="1" t="s">
        <v>240</v>
      </c>
      <c r="R25" s="1" t="s">
        <v>43</v>
      </c>
      <c r="S25" s="3" t="s">
        <v>44</v>
      </c>
      <c r="T25" s="3" t="s">
        <v>143</v>
      </c>
      <c r="U25" s="2">
        <v>36271</v>
      </c>
      <c r="V25" s="2">
        <v>36356</v>
      </c>
      <c r="W25" s="2">
        <v>36389</v>
      </c>
      <c r="X25" s="2">
        <v>36462</v>
      </c>
      <c r="Y25" s="2">
        <v>36545</v>
      </c>
      <c r="Z25" s="3" t="s">
        <v>241</v>
      </c>
      <c r="AA25" s="3" t="s">
        <v>242</v>
      </c>
      <c r="AB25" s="3" t="s">
        <v>243</v>
      </c>
      <c r="AC25" s="2">
        <v>36545</v>
      </c>
      <c r="AD25" s="2">
        <v>40890</v>
      </c>
      <c r="AE25" s="2" t="s">
        <v>49</v>
      </c>
      <c r="AF25" s="2" t="s">
        <v>50</v>
      </c>
      <c r="AG25" s="2">
        <v>36905</v>
      </c>
      <c r="AH25" s="2">
        <v>37377</v>
      </c>
      <c r="AI25" s="5">
        <v>268749.30999999994</v>
      </c>
      <c r="AJ25" s="6">
        <v>1</v>
      </c>
      <c r="AK25" s="71" t="str">
        <f t="shared" si="1"/>
        <v>ACMA1</v>
      </c>
    </row>
    <row r="26" spans="1:37" ht="118.95" customHeight="1" x14ac:dyDescent="0.3">
      <c r="B26" s="1">
        <f t="shared" si="0"/>
        <v>189</v>
      </c>
      <c r="C26" cm="1">
        <f t="array" ref="C26">IFERROR(MAX(--_xlfn.TEXTSPLIT(D26,";")),0)</f>
        <v>20</v>
      </c>
      <c r="D26" t="s">
        <v>1767</v>
      </c>
      <c r="E26" s="1" t="s">
        <v>607</v>
      </c>
      <c r="F26" s="1" t="s">
        <v>608</v>
      </c>
      <c r="G26" s="1">
        <v>2</v>
      </c>
      <c r="H26" s="1" t="s">
        <v>609</v>
      </c>
      <c r="I26" s="1" t="s">
        <v>610</v>
      </c>
      <c r="J26" s="1" t="s">
        <v>64</v>
      </c>
      <c r="K26" s="1" t="s">
        <v>190</v>
      </c>
      <c r="L26" s="1" t="s">
        <v>38</v>
      </c>
      <c r="M26" s="1" t="s">
        <v>39</v>
      </c>
      <c r="N26" s="2" t="s">
        <v>40</v>
      </c>
      <c r="O26" s="3">
        <v>665000</v>
      </c>
      <c r="P26" s="3" t="s">
        <v>41</v>
      </c>
      <c r="Q26" s="1" t="s">
        <v>611</v>
      </c>
      <c r="R26" s="1" t="s">
        <v>43</v>
      </c>
      <c r="S26" s="3" t="s">
        <v>123</v>
      </c>
      <c r="T26" s="3" t="s">
        <v>152</v>
      </c>
      <c r="U26" s="2">
        <v>40543</v>
      </c>
      <c r="V26" s="2">
        <v>40752</v>
      </c>
      <c r="W26" s="2">
        <v>40780</v>
      </c>
      <c r="X26" s="2">
        <v>40830</v>
      </c>
      <c r="Y26" s="2">
        <v>40865</v>
      </c>
      <c r="Z26" s="3" t="s">
        <v>612</v>
      </c>
      <c r="AA26" s="3" t="s">
        <v>613</v>
      </c>
      <c r="AB26" s="3" t="s">
        <v>614</v>
      </c>
      <c r="AC26" s="2">
        <v>40865</v>
      </c>
      <c r="AD26" s="2">
        <v>46081</v>
      </c>
      <c r="AE26" s="2" t="s">
        <v>49</v>
      </c>
      <c r="AF26" s="2" t="s">
        <v>50</v>
      </c>
      <c r="AG26" s="2">
        <v>40892</v>
      </c>
      <c r="AH26" s="2">
        <v>42175</v>
      </c>
      <c r="AI26" s="8">
        <v>824926.70000000007</v>
      </c>
      <c r="AJ26" s="6">
        <v>1</v>
      </c>
      <c r="AK26" s="71" t="str">
        <f t="shared" si="1"/>
        <v>ACMA2</v>
      </c>
    </row>
    <row r="27" spans="1:37" ht="118.95" customHeight="1" x14ac:dyDescent="0.3">
      <c r="B27" s="1">
        <f t="shared" si="0"/>
        <v>189</v>
      </c>
      <c r="C27" cm="1">
        <f t="array" ref="C27">IFERROR(MAX(--_xlfn.TEXTSPLIT(D27,";")),0)</f>
        <v>24</v>
      </c>
      <c r="D27" t="s">
        <v>1768</v>
      </c>
      <c r="E27" s="1" t="s">
        <v>577</v>
      </c>
      <c r="F27" s="1" t="s">
        <v>1852</v>
      </c>
      <c r="G27" s="1">
        <v>1</v>
      </c>
      <c r="H27" s="1" t="s">
        <v>578</v>
      </c>
      <c r="I27" s="1" t="s">
        <v>579</v>
      </c>
      <c r="J27" s="1" t="s">
        <v>36</v>
      </c>
      <c r="K27" s="1" t="s">
        <v>190</v>
      </c>
      <c r="L27" s="1" t="s">
        <v>38</v>
      </c>
      <c r="M27" s="1" t="s">
        <v>66</v>
      </c>
      <c r="N27" s="2">
        <v>38603</v>
      </c>
      <c r="O27" s="3">
        <v>7750000</v>
      </c>
      <c r="P27" s="3" t="s">
        <v>41</v>
      </c>
      <c r="Q27" s="1" t="s">
        <v>580</v>
      </c>
      <c r="R27" s="1" t="s">
        <v>133</v>
      </c>
      <c r="S27" s="3" t="s">
        <v>44</v>
      </c>
      <c r="T27" s="3" t="s">
        <v>265</v>
      </c>
      <c r="U27" s="2">
        <v>40018</v>
      </c>
      <c r="V27" s="2">
        <v>40178</v>
      </c>
      <c r="W27" s="2">
        <v>40204</v>
      </c>
      <c r="X27" s="2">
        <v>40224</v>
      </c>
      <c r="Y27" s="2">
        <v>40275</v>
      </c>
      <c r="Z27" s="3" t="s">
        <v>581</v>
      </c>
      <c r="AA27" s="3" t="s">
        <v>582</v>
      </c>
      <c r="AB27" s="3" t="s">
        <v>583</v>
      </c>
      <c r="AC27" s="2">
        <v>40275</v>
      </c>
      <c r="AD27" s="2">
        <v>47733</v>
      </c>
      <c r="AE27" s="2" t="s">
        <v>49</v>
      </c>
      <c r="AF27" s="2" t="s">
        <v>50</v>
      </c>
      <c r="AG27" s="2">
        <v>41730</v>
      </c>
      <c r="AH27" s="2">
        <v>42004</v>
      </c>
      <c r="AI27" s="8">
        <v>7635989.3900000006</v>
      </c>
      <c r="AJ27" s="6">
        <v>1</v>
      </c>
      <c r="AK27" s="71" t="str">
        <f t="shared" si="1"/>
        <v>AURA1</v>
      </c>
    </row>
    <row r="28" spans="1:37" ht="118.95" customHeight="1" x14ac:dyDescent="0.3">
      <c r="A28" t="s">
        <v>1901</v>
      </c>
      <c r="B28" s="1">
        <f t="shared" si="0"/>
        <v>189</v>
      </c>
      <c r="C28" cm="1">
        <f t="array" ref="C28">IFERROR(MAX(--_xlfn.TEXTSPLIT(D28,";")),0)</f>
        <v>25</v>
      </c>
      <c r="D28" t="s">
        <v>1769</v>
      </c>
      <c r="E28" s="1" t="s">
        <v>230</v>
      </c>
      <c r="F28" s="1" t="s">
        <v>738</v>
      </c>
      <c r="G28" s="1">
        <v>1</v>
      </c>
      <c r="H28" s="1" t="s">
        <v>231</v>
      </c>
      <c r="I28" s="1" t="s">
        <v>232</v>
      </c>
      <c r="J28" s="1" t="s">
        <v>64</v>
      </c>
      <c r="K28" s="1" t="s">
        <v>55</v>
      </c>
      <c r="L28" s="1" t="s">
        <v>38</v>
      </c>
      <c r="M28" s="1" t="s">
        <v>66</v>
      </c>
      <c r="N28" s="2" t="s">
        <v>40</v>
      </c>
      <c r="O28" s="3">
        <v>629300</v>
      </c>
      <c r="P28" s="3" t="s">
        <v>41</v>
      </c>
      <c r="Q28" s="1" t="s">
        <v>233</v>
      </c>
      <c r="R28" s="1" t="s">
        <v>43</v>
      </c>
      <c r="S28" s="3" t="s">
        <v>44</v>
      </c>
      <c r="T28" s="3" t="s">
        <v>143</v>
      </c>
      <c r="U28" s="2">
        <v>36012</v>
      </c>
      <c r="V28" s="2">
        <v>36083</v>
      </c>
      <c r="W28" s="2">
        <v>36109</v>
      </c>
      <c r="X28" s="2">
        <v>36180</v>
      </c>
      <c r="Y28" s="2">
        <v>36278</v>
      </c>
      <c r="Z28" s="3" t="s">
        <v>234</v>
      </c>
      <c r="AA28" s="3" t="s">
        <v>235</v>
      </c>
      <c r="AB28" s="3" t="s">
        <v>236</v>
      </c>
      <c r="AC28" s="2">
        <v>36184</v>
      </c>
      <c r="AD28" s="2">
        <v>42605</v>
      </c>
      <c r="AE28" s="2" t="s">
        <v>49</v>
      </c>
      <c r="AF28" s="2" t="s">
        <v>50</v>
      </c>
      <c r="AG28" s="2">
        <v>36875</v>
      </c>
      <c r="AH28" s="2">
        <v>37084</v>
      </c>
      <c r="AI28" s="5">
        <v>945229.47</v>
      </c>
      <c r="AJ28" s="6">
        <v>1</v>
      </c>
      <c r="AK28" s="71" t="str">
        <f t="shared" si="1"/>
        <v>ACSU1</v>
      </c>
    </row>
    <row r="29" spans="1:37" ht="118.95" customHeight="1" x14ac:dyDescent="0.3">
      <c r="A29" t="s">
        <v>1902</v>
      </c>
      <c r="B29" s="1">
        <f t="shared" si="0"/>
        <v>189</v>
      </c>
      <c r="C29" cm="1">
        <f t="array" ref="C29">IFERROR(MAX(--_xlfn.TEXTSPLIT(D29,";")),0)</f>
        <v>25</v>
      </c>
      <c r="D29" t="s">
        <v>1769</v>
      </c>
      <c r="E29" s="1" t="s">
        <v>737</v>
      </c>
      <c r="F29" s="1" t="s">
        <v>738</v>
      </c>
      <c r="G29" s="1">
        <v>2</v>
      </c>
      <c r="H29" s="1" t="s">
        <v>739</v>
      </c>
      <c r="I29" s="1" t="s">
        <v>740</v>
      </c>
      <c r="J29" s="1" t="s">
        <v>64</v>
      </c>
      <c r="K29" s="1" t="s">
        <v>55</v>
      </c>
      <c r="L29" s="1" t="s">
        <v>38</v>
      </c>
      <c r="M29" s="1" t="s">
        <v>39</v>
      </c>
      <c r="N29" s="2" t="s">
        <v>40</v>
      </c>
      <c r="O29" s="3">
        <v>770000</v>
      </c>
      <c r="P29" s="3" t="s">
        <v>41</v>
      </c>
      <c r="Q29" s="1" t="s">
        <v>741</v>
      </c>
      <c r="R29" s="1" t="s">
        <v>133</v>
      </c>
      <c r="S29" s="3" t="s">
        <v>123</v>
      </c>
      <c r="T29" s="3" t="s">
        <v>710</v>
      </c>
      <c r="U29" s="2">
        <v>42352</v>
      </c>
      <c r="V29" s="2">
        <v>42488</v>
      </c>
      <c r="W29" s="2">
        <v>42516</v>
      </c>
      <c r="X29" s="2">
        <v>42552</v>
      </c>
      <c r="Y29" s="2">
        <v>42601</v>
      </c>
      <c r="Z29" s="3" t="s">
        <v>742</v>
      </c>
      <c r="AA29" s="3" t="s">
        <v>743</v>
      </c>
      <c r="AB29" s="3" t="s">
        <v>744</v>
      </c>
      <c r="AC29" s="2">
        <v>42601</v>
      </c>
      <c r="AD29" s="2">
        <v>48084</v>
      </c>
      <c r="AE29" s="2" t="s">
        <v>49</v>
      </c>
      <c r="AF29" s="2" t="s">
        <v>50</v>
      </c>
      <c r="AG29" s="2">
        <v>44110</v>
      </c>
      <c r="AH29" s="2">
        <v>44921</v>
      </c>
      <c r="AI29" s="14">
        <v>1206656.6000000001</v>
      </c>
      <c r="AJ29" s="6">
        <v>1</v>
      </c>
      <c r="AK29" s="71" t="str">
        <f t="shared" si="1"/>
        <v>ACSU2</v>
      </c>
    </row>
    <row r="30" spans="1:37" ht="118.95" customHeight="1" x14ac:dyDescent="0.3">
      <c r="B30" s="1">
        <f t="shared" si="0"/>
        <v>189</v>
      </c>
      <c r="C30" cm="1">
        <f t="array" ref="C30">IFERROR(MAX(--_xlfn.TEXTSPLIT(D30,";")),0)</f>
        <v>26</v>
      </c>
      <c r="D30" t="s">
        <v>1770</v>
      </c>
      <c r="E30" s="59" t="s">
        <v>61</v>
      </c>
      <c r="F30" s="59" t="s">
        <v>746</v>
      </c>
      <c r="G30" s="1">
        <v>1</v>
      </c>
      <c r="H30" s="59" t="s">
        <v>62</v>
      </c>
      <c r="I30" s="1" t="s">
        <v>63</v>
      </c>
      <c r="J30" s="1" t="s">
        <v>64</v>
      </c>
      <c r="K30" s="1" t="s">
        <v>65</v>
      </c>
      <c r="L30" s="1" t="s">
        <v>38</v>
      </c>
      <c r="M30" s="1" t="s">
        <v>66</v>
      </c>
      <c r="N30" s="2" t="s">
        <v>40</v>
      </c>
      <c r="O30" s="3">
        <v>158980</v>
      </c>
      <c r="P30" s="3" t="s">
        <v>41</v>
      </c>
      <c r="Q30" s="4" t="s">
        <v>67</v>
      </c>
      <c r="R30" s="1" t="s">
        <v>43</v>
      </c>
      <c r="S30" s="3" t="s">
        <v>44</v>
      </c>
      <c r="T30" s="3" t="s">
        <v>68</v>
      </c>
      <c r="U30" s="2">
        <v>34639</v>
      </c>
      <c r="V30" s="2">
        <v>34870</v>
      </c>
      <c r="W30" s="2">
        <v>34900</v>
      </c>
      <c r="X30" s="2">
        <v>34929</v>
      </c>
      <c r="Y30" s="2">
        <v>35056</v>
      </c>
      <c r="Z30" s="3" t="s">
        <v>69</v>
      </c>
      <c r="AA30" s="3" t="s">
        <v>70</v>
      </c>
      <c r="AB30" s="7" t="s">
        <v>71</v>
      </c>
      <c r="AC30" s="2">
        <v>35056</v>
      </c>
      <c r="AD30" s="2">
        <v>39438</v>
      </c>
      <c r="AE30" s="2" t="s">
        <v>49</v>
      </c>
      <c r="AF30" s="2" t="s">
        <v>50</v>
      </c>
      <c r="AG30" s="2">
        <v>35541</v>
      </c>
      <c r="AH30" s="2" t="s">
        <v>50</v>
      </c>
      <c r="AI30" s="5">
        <v>177301.90000000002</v>
      </c>
      <c r="AJ30" s="6">
        <v>1</v>
      </c>
      <c r="AK30" s="71" t="str">
        <f t="shared" si="1"/>
        <v>ADAI1</v>
      </c>
    </row>
    <row r="31" spans="1:37" ht="118.95" customHeight="1" x14ac:dyDescent="0.3">
      <c r="A31" t="s">
        <v>1904</v>
      </c>
      <c r="B31" s="1">
        <f t="shared" si="0"/>
        <v>189</v>
      </c>
      <c r="C31" cm="1">
        <f t="array" ref="C31">IFERROR(MAX(--_xlfn.TEXTSPLIT(D31,";")),0)</f>
        <v>26</v>
      </c>
      <c r="D31" t="s">
        <v>1770</v>
      </c>
      <c r="E31" s="1" t="s">
        <v>488</v>
      </c>
      <c r="F31" s="59" t="s">
        <v>746</v>
      </c>
      <c r="G31" s="1">
        <v>2</v>
      </c>
      <c r="H31" s="1" t="s">
        <v>489</v>
      </c>
      <c r="I31" s="1" t="s">
        <v>490</v>
      </c>
      <c r="J31" s="1" t="s">
        <v>64</v>
      </c>
      <c r="K31" s="1" t="s">
        <v>65</v>
      </c>
      <c r="L31" s="1" t="s">
        <v>38</v>
      </c>
      <c r="M31" s="1" t="s">
        <v>39</v>
      </c>
      <c r="N31" s="2" t="s">
        <v>40</v>
      </c>
      <c r="O31" s="3">
        <v>371200</v>
      </c>
      <c r="P31" s="3" t="s">
        <v>41</v>
      </c>
      <c r="Q31" s="1" t="s">
        <v>491</v>
      </c>
      <c r="R31" s="1" t="s">
        <v>43</v>
      </c>
      <c r="S31" s="3" t="s">
        <v>123</v>
      </c>
      <c r="T31" s="3" t="s">
        <v>152</v>
      </c>
      <c r="U31" s="2">
        <v>39187</v>
      </c>
      <c r="V31" s="2">
        <v>39335</v>
      </c>
      <c r="W31" s="2">
        <v>39351</v>
      </c>
      <c r="X31" s="2">
        <v>39363</v>
      </c>
      <c r="Y31" s="2">
        <v>39413</v>
      </c>
      <c r="Z31" s="3" t="s">
        <v>492</v>
      </c>
      <c r="AA31" s="3" t="s">
        <v>493</v>
      </c>
      <c r="AB31" s="3" t="s">
        <v>494</v>
      </c>
      <c r="AC31" s="2">
        <v>39413</v>
      </c>
      <c r="AD31" s="2">
        <v>41274</v>
      </c>
      <c r="AE31" s="2" t="s">
        <v>106</v>
      </c>
      <c r="AF31" s="2" t="s">
        <v>50</v>
      </c>
      <c r="AG31" s="2">
        <v>40311</v>
      </c>
      <c r="AH31" s="2">
        <v>40874</v>
      </c>
      <c r="AI31" s="5">
        <v>389830.19999999995</v>
      </c>
      <c r="AJ31" s="6">
        <v>1</v>
      </c>
      <c r="AK31" s="71" t="str">
        <f t="shared" si="1"/>
        <v>ADAI2</v>
      </c>
    </row>
    <row r="32" spans="1:37" ht="118.95" customHeight="1" x14ac:dyDescent="0.3">
      <c r="B32" s="1">
        <f t="shared" si="0"/>
        <v>189</v>
      </c>
      <c r="C32" cm="1">
        <f t="array" ref="C32">IFERROR(MAX(--_xlfn.TEXTSPLIT(D32,";")),0)</f>
        <v>26</v>
      </c>
      <c r="D32" t="s">
        <v>1770</v>
      </c>
      <c r="E32" s="1" t="s">
        <v>635</v>
      </c>
      <c r="F32" s="59" t="s">
        <v>746</v>
      </c>
      <c r="G32" s="1">
        <v>3</v>
      </c>
      <c r="H32" s="1" t="s">
        <v>636</v>
      </c>
      <c r="I32" s="1" t="s">
        <v>637</v>
      </c>
      <c r="J32" s="1" t="s">
        <v>64</v>
      </c>
      <c r="K32" s="1" t="s">
        <v>65</v>
      </c>
      <c r="L32" s="1" t="s">
        <v>38</v>
      </c>
      <c r="M32" s="1" t="s">
        <v>39</v>
      </c>
      <c r="N32" s="2" t="s">
        <v>40</v>
      </c>
      <c r="O32" s="3">
        <v>109000</v>
      </c>
      <c r="P32" s="3" t="s">
        <v>41</v>
      </c>
      <c r="Q32" s="1" t="s">
        <v>638</v>
      </c>
      <c r="R32" s="1" t="s">
        <v>43</v>
      </c>
      <c r="S32" s="3" t="s">
        <v>123</v>
      </c>
      <c r="T32" s="3" t="s">
        <v>639</v>
      </c>
      <c r="U32" s="2">
        <v>40906</v>
      </c>
      <c r="V32" s="2">
        <v>41054</v>
      </c>
      <c r="W32" s="2">
        <v>41075</v>
      </c>
      <c r="X32" s="2">
        <v>41116</v>
      </c>
      <c r="Y32" s="2">
        <v>41204</v>
      </c>
      <c r="Z32" s="3" t="s">
        <v>640</v>
      </c>
      <c r="AA32" s="3" t="s">
        <v>641</v>
      </c>
      <c r="AB32" s="3" t="s">
        <v>642</v>
      </c>
      <c r="AC32" s="2">
        <v>41204</v>
      </c>
      <c r="AD32" s="2">
        <v>43190</v>
      </c>
      <c r="AE32" s="2" t="s">
        <v>49</v>
      </c>
      <c r="AF32" s="2" t="s">
        <v>50</v>
      </c>
      <c r="AG32" s="2">
        <v>41989</v>
      </c>
      <c r="AH32" s="2">
        <v>42319</v>
      </c>
      <c r="AI32" s="5">
        <v>203418.64000000004</v>
      </c>
      <c r="AJ32" s="6">
        <v>1</v>
      </c>
      <c r="AK32" s="71" t="str">
        <f t="shared" si="1"/>
        <v>ADAI3</v>
      </c>
    </row>
    <row r="33" spans="1:37" ht="118.95" customHeight="1" x14ac:dyDescent="0.3">
      <c r="A33" t="s">
        <v>1903</v>
      </c>
      <c r="B33" s="1">
        <f t="shared" si="0"/>
        <v>189</v>
      </c>
      <c r="C33" cm="1">
        <f t="array" ref="C33">IFERROR(MAX(--_xlfn.TEXTSPLIT(D33,";")),0)</f>
        <v>26</v>
      </c>
      <c r="D33" t="s">
        <v>1770</v>
      </c>
      <c r="E33" s="1" t="s">
        <v>745</v>
      </c>
      <c r="F33" s="59" t="s">
        <v>746</v>
      </c>
      <c r="G33" s="1">
        <v>4</v>
      </c>
      <c r="H33" s="1" t="s">
        <v>747</v>
      </c>
      <c r="I33" s="1" t="s">
        <v>748</v>
      </c>
      <c r="J33" s="1" t="s">
        <v>64</v>
      </c>
      <c r="K33" s="1" t="s">
        <v>65</v>
      </c>
      <c r="L33" s="1" t="s">
        <v>38</v>
      </c>
      <c r="M33" s="1" t="s">
        <v>39</v>
      </c>
      <c r="N33" s="2" t="s">
        <v>40</v>
      </c>
      <c r="O33" s="3">
        <v>1420000</v>
      </c>
      <c r="P33" s="3" t="s">
        <v>41</v>
      </c>
      <c r="Q33" s="1" t="s">
        <v>749</v>
      </c>
      <c r="R33" s="1" t="s">
        <v>133</v>
      </c>
      <c r="S33" s="3" t="s">
        <v>123</v>
      </c>
      <c r="T33" s="3" t="s">
        <v>152</v>
      </c>
      <c r="U33" s="2">
        <v>42452</v>
      </c>
      <c r="V33" s="2">
        <v>42843</v>
      </c>
      <c r="W33" s="2">
        <v>42873</v>
      </c>
      <c r="X33" s="2">
        <v>42940</v>
      </c>
      <c r="Y33" s="2">
        <v>43020</v>
      </c>
      <c r="Z33" s="3" t="s">
        <v>750</v>
      </c>
      <c r="AA33" s="3" t="s">
        <v>751</v>
      </c>
      <c r="AB33" s="3" t="s">
        <v>752</v>
      </c>
      <c r="AC33" s="2">
        <v>43020</v>
      </c>
      <c r="AD33" s="2">
        <v>52150</v>
      </c>
      <c r="AE33" s="2" t="s">
        <v>106</v>
      </c>
      <c r="AF33" s="2">
        <v>43686</v>
      </c>
      <c r="AG33" s="2">
        <v>45530</v>
      </c>
      <c r="AH33" s="2" t="s">
        <v>531</v>
      </c>
      <c r="AI33" s="8">
        <v>2122435.1</v>
      </c>
      <c r="AJ33" s="6">
        <v>1</v>
      </c>
      <c r="AK33" s="71" t="str">
        <f t="shared" si="1"/>
        <v>ADAI4</v>
      </c>
    </row>
    <row r="34" spans="1:37" ht="147.6" customHeight="1" x14ac:dyDescent="0.3">
      <c r="B34" s="1">
        <f t="shared" ref="B34:B65" si="2">MAX($C$2:$C$128)</f>
        <v>189</v>
      </c>
      <c r="C34" cm="1">
        <f t="array" ref="C34">IFERROR(MAX(--_xlfn.TEXTSPLIT(D34,";")),0)</f>
        <v>27</v>
      </c>
      <c r="D34" t="s">
        <v>1771</v>
      </c>
      <c r="E34" s="1" t="s">
        <v>180</v>
      </c>
      <c r="F34" s="1" t="s">
        <v>1853</v>
      </c>
      <c r="G34" s="1">
        <v>1</v>
      </c>
      <c r="H34" s="1" t="s">
        <v>181</v>
      </c>
      <c r="I34" s="1" t="s">
        <v>182</v>
      </c>
      <c r="J34" s="1" t="s">
        <v>64</v>
      </c>
      <c r="K34" s="1" t="s">
        <v>175</v>
      </c>
      <c r="L34" s="1" t="s">
        <v>38</v>
      </c>
      <c r="M34" s="1" t="s">
        <v>39</v>
      </c>
      <c r="N34" s="2" t="s">
        <v>40</v>
      </c>
      <c r="O34" s="3">
        <v>74294</v>
      </c>
      <c r="P34" s="3" t="s">
        <v>41</v>
      </c>
      <c r="Q34" s="1" t="s">
        <v>183</v>
      </c>
      <c r="R34" s="1" t="s">
        <v>43</v>
      </c>
      <c r="S34" s="3" t="s">
        <v>44</v>
      </c>
      <c r="T34" s="3" t="s">
        <v>124</v>
      </c>
      <c r="U34" s="2">
        <v>35416</v>
      </c>
      <c r="V34" s="2">
        <v>35578</v>
      </c>
      <c r="W34" s="2">
        <v>35608</v>
      </c>
      <c r="X34" s="2">
        <v>35661</v>
      </c>
      <c r="Y34" s="2">
        <v>35746</v>
      </c>
      <c r="Z34" s="3" t="s">
        <v>184</v>
      </c>
      <c r="AA34" s="3" t="s">
        <v>185</v>
      </c>
      <c r="AB34" s="3" t="s">
        <v>186</v>
      </c>
      <c r="AC34" s="2">
        <v>35813</v>
      </c>
      <c r="AD34" s="2">
        <v>41282</v>
      </c>
      <c r="AE34" s="2" t="s">
        <v>49</v>
      </c>
      <c r="AF34" s="2" t="s">
        <v>50</v>
      </c>
      <c r="AG34" s="2">
        <v>36144</v>
      </c>
      <c r="AH34" s="2">
        <v>36392</v>
      </c>
      <c r="AI34" s="5">
        <v>123739.53</v>
      </c>
      <c r="AJ34" s="6">
        <v>1</v>
      </c>
      <c r="AK34" s="71" t="str">
        <f t="shared" ref="AK34:AK65" si="3">MID(E34,5,LEN(E34)-4)</f>
        <v>ALFS1</v>
      </c>
    </row>
    <row r="35" spans="1:37" ht="118.95" customHeight="1" x14ac:dyDescent="0.3">
      <c r="B35" s="1">
        <f t="shared" si="2"/>
        <v>189</v>
      </c>
      <c r="C35" cm="1">
        <f t="array" ref="C35">IFERROR(MAX(--_xlfn.TEXTSPLIT(D35,";")),0)</f>
        <v>27</v>
      </c>
      <c r="D35" t="s">
        <v>1771</v>
      </c>
      <c r="E35" s="1" t="s">
        <v>643</v>
      </c>
      <c r="F35" s="1" t="s">
        <v>1853</v>
      </c>
      <c r="G35" s="1">
        <v>2</v>
      </c>
      <c r="H35" s="1" t="s">
        <v>644</v>
      </c>
      <c r="I35" s="1" t="s">
        <v>645</v>
      </c>
      <c r="J35" s="1" t="s">
        <v>64</v>
      </c>
      <c r="K35" s="1" t="s">
        <v>175</v>
      </c>
      <c r="L35" s="1" t="s">
        <v>38</v>
      </c>
      <c r="M35" s="1" t="s">
        <v>39</v>
      </c>
      <c r="N35" s="2" t="s">
        <v>40</v>
      </c>
      <c r="O35" s="3">
        <v>174000</v>
      </c>
      <c r="P35" s="3" t="s">
        <v>41</v>
      </c>
      <c r="Q35" s="1" t="s">
        <v>646</v>
      </c>
      <c r="R35" s="1" t="s">
        <v>43</v>
      </c>
      <c r="S35" s="3" t="s">
        <v>123</v>
      </c>
      <c r="T35" s="3" t="s">
        <v>152</v>
      </c>
      <c r="U35" s="2">
        <v>40906</v>
      </c>
      <c r="V35" s="2">
        <v>41088</v>
      </c>
      <c r="W35" s="2">
        <v>41109</v>
      </c>
      <c r="X35" s="2">
        <v>41173</v>
      </c>
      <c r="Y35" s="2">
        <v>41255</v>
      </c>
      <c r="Z35" s="3" t="s">
        <v>647</v>
      </c>
      <c r="AA35" s="3" t="s">
        <v>648</v>
      </c>
      <c r="AB35" s="3" t="s">
        <v>649</v>
      </c>
      <c r="AC35" s="2">
        <v>41255</v>
      </c>
      <c r="AD35" s="2">
        <v>44500</v>
      </c>
      <c r="AE35" s="2" t="s">
        <v>49</v>
      </c>
      <c r="AF35" s="2" t="s">
        <v>50</v>
      </c>
      <c r="AG35" s="2">
        <v>42136</v>
      </c>
      <c r="AH35" s="2">
        <v>42423</v>
      </c>
      <c r="AI35" s="5">
        <v>411624.01999999996</v>
      </c>
      <c r="AJ35" s="6">
        <v>1</v>
      </c>
      <c r="AK35" s="71" t="str">
        <f t="shared" si="3"/>
        <v>ALFS2</v>
      </c>
    </row>
    <row r="36" spans="1:37" ht="118.95" customHeight="1" x14ac:dyDescent="0.3">
      <c r="B36" s="1">
        <f t="shared" si="2"/>
        <v>189</v>
      </c>
      <c r="C36" cm="1">
        <f t="array" ref="C36">IFERROR(MAX(--_xlfn.TEXTSPLIT(D36,";")),0)</f>
        <v>27</v>
      </c>
      <c r="D36" t="s">
        <v>1771</v>
      </c>
      <c r="E36" s="1" t="s">
        <v>856</v>
      </c>
      <c r="F36" s="1" t="s">
        <v>1853</v>
      </c>
      <c r="G36" s="1">
        <v>3</v>
      </c>
      <c r="H36" s="1" t="s">
        <v>857</v>
      </c>
      <c r="I36" s="1" t="s">
        <v>858</v>
      </c>
      <c r="J36" s="1" t="s">
        <v>64</v>
      </c>
      <c r="K36" s="1" t="s">
        <v>175</v>
      </c>
      <c r="L36" s="1" t="s">
        <v>38</v>
      </c>
      <c r="M36" s="1" t="s">
        <v>39</v>
      </c>
      <c r="N36" s="2" t="s">
        <v>40</v>
      </c>
      <c r="O36" s="3">
        <v>1415000</v>
      </c>
      <c r="P36" s="3" t="s">
        <v>41</v>
      </c>
      <c r="Q36" s="1" t="s">
        <v>859</v>
      </c>
      <c r="R36" s="1" t="s">
        <v>662</v>
      </c>
      <c r="S36" s="3" t="s">
        <v>44</v>
      </c>
      <c r="T36" s="3" t="s">
        <v>152</v>
      </c>
      <c r="U36" s="2">
        <v>43796</v>
      </c>
      <c r="V36" s="2">
        <v>44225</v>
      </c>
      <c r="W36" s="2">
        <v>44260</v>
      </c>
      <c r="X36" s="2">
        <v>44316</v>
      </c>
      <c r="Y36" s="2">
        <v>44419</v>
      </c>
      <c r="Z36" s="3" t="s">
        <v>860</v>
      </c>
      <c r="AA36" s="3" t="s">
        <v>861</v>
      </c>
      <c r="AB36" s="3" t="s">
        <v>862</v>
      </c>
      <c r="AC36" s="2">
        <v>44419</v>
      </c>
      <c r="AD36" s="2">
        <v>48679</v>
      </c>
      <c r="AE36" s="2" t="s">
        <v>106</v>
      </c>
      <c r="AF36" s="2">
        <v>45533</v>
      </c>
      <c r="AG36" s="2" t="s">
        <v>697</v>
      </c>
      <c r="AH36" s="2" t="s">
        <v>697</v>
      </c>
      <c r="AI36" s="5">
        <v>1415000</v>
      </c>
      <c r="AJ36" s="15">
        <v>0.13500000000000001</v>
      </c>
      <c r="AK36" s="71" t="str">
        <f t="shared" si="3"/>
        <v>ALFS3</v>
      </c>
    </row>
    <row r="37" spans="1:37" ht="118.95" customHeight="1" x14ac:dyDescent="0.3">
      <c r="A37" t="s">
        <v>1905</v>
      </c>
      <c r="B37" s="1">
        <f t="shared" si="2"/>
        <v>189</v>
      </c>
      <c r="C37" cm="1">
        <f t="array" ref="C37">IFERROR(MAX(--_xlfn.TEXTSPLIT(D37,";")),0)</f>
        <v>28</v>
      </c>
      <c r="D37" t="s">
        <v>1772</v>
      </c>
      <c r="E37" s="1" t="s">
        <v>187</v>
      </c>
      <c r="F37" s="1" t="s">
        <v>585</v>
      </c>
      <c r="G37" s="1">
        <v>1</v>
      </c>
      <c r="H37" s="1" t="s">
        <v>188</v>
      </c>
      <c r="I37" s="1" t="s">
        <v>189</v>
      </c>
      <c r="J37" s="1" t="s">
        <v>64</v>
      </c>
      <c r="K37" s="1" t="s">
        <v>190</v>
      </c>
      <c r="L37" s="1" t="s">
        <v>38</v>
      </c>
      <c r="M37" s="1" t="s">
        <v>66</v>
      </c>
      <c r="N37" s="2" t="s">
        <v>40</v>
      </c>
      <c r="O37" s="3">
        <v>70800</v>
      </c>
      <c r="P37" s="3" t="s">
        <v>41</v>
      </c>
      <c r="Q37" s="1" t="s">
        <v>191</v>
      </c>
      <c r="R37" s="1" t="s">
        <v>43</v>
      </c>
      <c r="S37" s="3" t="s">
        <v>44</v>
      </c>
      <c r="T37" s="3" t="s">
        <v>143</v>
      </c>
      <c r="U37" s="2">
        <v>35485</v>
      </c>
      <c r="V37" s="2">
        <v>35635</v>
      </c>
      <c r="W37" s="2">
        <v>35664</v>
      </c>
      <c r="X37" s="2">
        <v>35717</v>
      </c>
      <c r="Y37" s="2">
        <v>35900</v>
      </c>
      <c r="Z37" s="3" t="s">
        <v>192</v>
      </c>
      <c r="AA37" s="3" t="s">
        <v>193</v>
      </c>
      <c r="AB37" s="3" t="s">
        <v>194</v>
      </c>
      <c r="AC37" s="2">
        <v>35958</v>
      </c>
      <c r="AD37" s="2">
        <v>40644</v>
      </c>
      <c r="AE37" s="2" t="s">
        <v>49</v>
      </c>
      <c r="AF37" s="2" t="s">
        <v>50</v>
      </c>
      <c r="AG37" s="2">
        <v>36454</v>
      </c>
      <c r="AH37" s="2">
        <v>36648</v>
      </c>
      <c r="AI37" s="5">
        <v>127418.93</v>
      </c>
      <c r="AJ37" s="6">
        <v>1</v>
      </c>
      <c r="AK37" s="71" t="str">
        <f t="shared" si="3"/>
        <v>ALOA1</v>
      </c>
    </row>
    <row r="38" spans="1:37" ht="118.95" customHeight="1" x14ac:dyDescent="0.3">
      <c r="A38" t="s">
        <v>1906</v>
      </c>
      <c r="B38" s="1">
        <f t="shared" si="2"/>
        <v>189</v>
      </c>
      <c r="C38" cm="1">
        <f t="array" ref="C38">IFERROR(MAX(--_xlfn.TEXTSPLIT(D38,";")),0)</f>
        <v>28</v>
      </c>
      <c r="D38" t="s">
        <v>1772</v>
      </c>
      <c r="E38" s="1" t="s">
        <v>584</v>
      </c>
      <c r="F38" s="1" t="s">
        <v>585</v>
      </c>
      <c r="G38" s="1">
        <v>2</v>
      </c>
      <c r="H38" s="1" t="s">
        <v>586</v>
      </c>
      <c r="I38" s="1" t="s">
        <v>587</v>
      </c>
      <c r="J38" s="1" t="s">
        <v>64</v>
      </c>
      <c r="K38" s="1" t="s">
        <v>190</v>
      </c>
      <c r="L38" s="1" t="s">
        <v>38</v>
      </c>
      <c r="M38" s="1" t="s">
        <v>39</v>
      </c>
      <c r="N38" s="2" t="s">
        <v>40</v>
      </c>
      <c r="O38" s="3">
        <v>880000</v>
      </c>
      <c r="P38" s="3" t="s">
        <v>41</v>
      </c>
      <c r="Q38" s="1" t="s">
        <v>588</v>
      </c>
      <c r="R38" s="1" t="s">
        <v>43</v>
      </c>
      <c r="S38" s="3" t="s">
        <v>123</v>
      </c>
      <c r="T38" s="3" t="s">
        <v>484</v>
      </c>
      <c r="U38" s="2">
        <v>40186</v>
      </c>
      <c r="V38" s="2">
        <v>40465</v>
      </c>
      <c r="W38" s="2">
        <v>40493</v>
      </c>
      <c r="X38" s="2">
        <v>40564</v>
      </c>
      <c r="Y38" s="2">
        <v>40619</v>
      </c>
      <c r="Z38" s="3" t="s">
        <v>589</v>
      </c>
      <c r="AA38" s="3" t="s">
        <v>590</v>
      </c>
      <c r="AB38" s="3" t="s">
        <v>591</v>
      </c>
      <c r="AC38" s="2">
        <v>40619</v>
      </c>
      <c r="AD38" s="2">
        <v>45199</v>
      </c>
      <c r="AE38" s="2" t="s">
        <v>49</v>
      </c>
      <c r="AF38" s="2">
        <v>41210</v>
      </c>
      <c r="AG38" s="2">
        <v>41897</v>
      </c>
      <c r="AH38" s="2">
        <v>42129</v>
      </c>
      <c r="AI38" s="5">
        <v>1214481.3400000001</v>
      </c>
      <c r="AJ38" s="6">
        <v>1</v>
      </c>
      <c r="AK38" s="71" t="str">
        <f t="shared" si="3"/>
        <v>ALOA2</v>
      </c>
    </row>
    <row r="39" spans="1:37" ht="118.95" customHeight="1" x14ac:dyDescent="0.3">
      <c r="B39" s="1">
        <f t="shared" si="2"/>
        <v>189</v>
      </c>
      <c r="C39" cm="1">
        <f t="array" ref="C39">IFERROR(MAX(--_xlfn.TEXTSPLIT(D39,";")),0)</f>
        <v>28</v>
      </c>
      <c r="D39" t="s">
        <v>1772</v>
      </c>
      <c r="E39" s="1" t="s">
        <v>924</v>
      </c>
      <c r="F39" s="1" t="s">
        <v>585</v>
      </c>
      <c r="G39" s="1">
        <v>3</v>
      </c>
      <c r="H39" s="1" t="s">
        <v>925</v>
      </c>
      <c r="I39" s="1" t="s">
        <v>926</v>
      </c>
      <c r="J39" s="1" t="s">
        <v>64</v>
      </c>
      <c r="K39" s="1" t="s">
        <v>190</v>
      </c>
      <c r="L39" s="1" t="s">
        <v>38</v>
      </c>
      <c r="M39" s="1" t="s">
        <v>39</v>
      </c>
      <c r="N39" s="2" t="s">
        <v>40</v>
      </c>
      <c r="O39" s="3">
        <v>2650000</v>
      </c>
      <c r="P39" s="3" t="s">
        <v>41</v>
      </c>
      <c r="Q39" s="1" t="s">
        <v>927</v>
      </c>
      <c r="R39" s="1" t="s">
        <v>133</v>
      </c>
      <c r="S39" s="3" t="s">
        <v>44</v>
      </c>
      <c r="T39" s="3" t="s">
        <v>152</v>
      </c>
      <c r="U39" s="2">
        <v>44431</v>
      </c>
      <c r="V39" s="2">
        <v>45030</v>
      </c>
      <c r="W39" s="2">
        <v>45058</v>
      </c>
      <c r="X39" s="2">
        <v>45139</v>
      </c>
      <c r="Y39" s="2">
        <v>45197</v>
      </c>
      <c r="Z39" s="3" t="s">
        <v>928</v>
      </c>
      <c r="AA39" s="19" t="s">
        <v>929</v>
      </c>
      <c r="AB39" s="3" t="s">
        <v>930</v>
      </c>
      <c r="AC39" s="2">
        <v>45227</v>
      </c>
      <c r="AD39" s="2">
        <v>54694</v>
      </c>
      <c r="AE39" s="2" t="s">
        <v>106</v>
      </c>
      <c r="AF39" s="2" t="s">
        <v>855</v>
      </c>
      <c r="AG39" s="2" t="s">
        <v>931</v>
      </c>
      <c r="AH39" s="2" t="s">
        <v>531</v>
      </c>
      <c r="AI39" s="8">
        <v>2650000</v>
      </c>
      <c r="AJ39" s="6">
        <v>0</v>
      </c>
      <c r="AK39" s="71" t="str">
        <f t="shared" si="3"/>
        <v>ALOA3</v>
      </c>
    </row>
    <row r="40" spans="1:37" ht="118.95" customHeight="1" x14ac:dyDescent="0.3">
      <c r="B40" s="1">
        <f t="shared" si="2"/>
        <v>189</v>
      </c>
      <c r="C40" cm="1">
        <f t="array" ref="C40">IFERROR(MAX(--_xlfn.TEXTSPLIT(D40,";")),0)</f>
        <v>31</v>
      </c>
      <c r="D40" t="s">
        <v>1773</v>
      </c>
      <c r="E40" s="1" t="s">
        <v>107</v>
      </c>
      <c r="F40" s="1" t="s">
        <v>108</v>
      </c>
      <c r="G40" s="1">
        <v>1</v>
      </c>
      <c r="H40" s="1" t="s">
        <v>109</v>
      </c>
      <c r="I40" s="1" t="s">
        <v>110</v>
      </c>
      <c r="J40" s="1" t="s">
        <v>111</v>
      </c>
      <c r="K40" s="1" t="s">
        <v>112</v>
      </c>
      <c r="L40" s="1" t="s">
        <v>38</v>
      </c>
      <c r="M40" s="1" t="s">
        <v>66</v>
      </c>
      <c r="N40" s="2" t="s">
        <v>40</v>
      </c>
      <c r="O40" s="3">
        <v>279990</v>
      </c>
      <c r="P40" s="3" t="s">
        <v>41</v>
      </c>
      <c r="Q40" s="4" t="s">
        <v>113</v>
      </c>
      <c r="R40" s="1" t="s">
        <v>43</v>
      </c>
      <c r="S40" s="3" t="s">
        <v>44</v>
      </c>
      <c r="T40" s="3" t="s">
        <v>114</v>
      </c>
      <c r="U40" s="2">
        <v>34881</v>
      </c>
      <c r="V40" s="2">
        <v>34954</v>
      </c>
      <c r="W40" s="2">
        <v>34999</v>
      </c>
      <c r="X40" s="2">
        <v>35076</v>
      </c>
      <c r="Y40" s="2">
        <v>35132</v>
      </c>
      <c r="Z40" s="3" t="s">
        <v>115</v>
      </c>
      <c r="AA40" s="3" t="s">
        <v>116</v>
      </c>
      <c r="AB40" s="3" t="s">
        <v>117</v>
      </c>
      <c r="AC40" s="2">
        <v>35159</v>
      </c>
      <c r="AD40" s="2">
        <v>39742</v>
      </c>
      <c r="AE40" s="2" t="s">
        <v>49</v>
      </c>
      <c r="AF40" s="2" t="s">
        <v>50</v>
      </c>
      <c r="AG40" s="2" t="s">
        <v>50</v>
      </c>
      <c r="AH40" s="2" t="s">
        <v>50</v>
      </c>
      <c r="AI40" s="5">
        <v>349331.12000000005</v>
      </c>
      <c r="AJ40" s="6">
        <v>1</v>
      </c>
      <c r="AK40" s="71" t="str">
        <f t="shared" si="3"/>
        <v>AVAM1</v>
      </c>
    </row>
    <row r="41" spans="1:37" ht="180" customHeight="1" x14ac:dyDescent="0.3">
      <c r="B41" s="1">
        <f t="shared" si="2"/>
        <v>189</v>
      </c>
      <c r="C41" cm="1">
        <f t="array" ref="C41">IFERROR(MAX(--_xlfn.TEXTSPLIT(D41,";")),0)</f>
        <v>31</v>
      </c>
      <c r="D41" t="s">
        <v>1773</v>
      </c>
      <c r="E41" s="1" t="s">
        <v>524</v>
      </c>
      <c r="F41" s="1" t="s">
        <v>108</v>
      </c>
      <c r="G41" s="1">
        <v>2</v>
      </c>
      <c r="H41" s="1" t="s">
        <v>525</v>
      </c>
      <c r="I41" s="1" t="s">
        <v>526</v>
      </c>
      <c r="J41" s="1" t="s">
        <v>111</v>
      </c>
      <c r="K41" s="1" t="s">
        <v>112</v>
      </c>
      <c r="L41" s="1" t="s">
        <v>38</v>
      </c>
      <c r="M41" s="1" t="s">
        <v>39</v>
      </c>
      <c r="N41" s="2" t="s">
        <v>40</v>
      </c>
      <c r="O41" s="3">
        <v>1500000</v>
      </c>
      <c r="P41" s="3" t="s">
        <v>41</v>
      </c>
      <c r="Q41" s="1" t="s">
        <v>527</v>
      </c>
      <c r="R41" s="1" t="s">
        <v>133</v>
      </c>
      <c r="S41" s="3" t="s">
        <v>123</v>
      </c>
      <c r="T41" s="3" t="s">
        <v>152</v>
      </c>
      <c r="U41" s="2">
        <v>39452</v>
      </c>
      <c r="V41" s="2">
        <v>39609</v>
      </c>
      <c r="W41" s="2">
        <v>39633</v>
      </c>
      <c r="X41" s="2">
        <v>39650</v>
      </c>
      <c r="Y41" s="2">
        <v>39703</v>
      </c>
      <c r="Z41" s="3" t="s">
        <v>528</v>
      </c>
      <c r="AA41" s="3" t="s">
        <v>529</v>
      </c>
      <c r="AB41" s="3" t="s">
        <v>530</v>
      </c>
      <c r="AC41" s="2">
        <v>39703</v>
      </c>
      <c r="AD41" s="2">
        <v>54312</v>
      </c>
      <c r="AE41" s="2" t="s">
        <v>106</v>
      </c>
      <c r="AF41" s="2">
        <v>44364</v>
      </c>
      <c r="AG41" s="2">
        <v>45121</v>
      </c>
      <c r="AH41" s="2" t="s">
        <v>531</v>
      </c>
      <c r="AI41" s="8">
        <v>1795538.8</v>
      </c>
      <c r="AJ41" s="6">
        <v>1</v>
      </c>
      <c r="AK41" s="71" t="str">
        <f t="shared" si="3"/>
        <v>AVAM2</v>
      </c>
    </row>
    <row r="42" spans="1:37" ht="118.95" customHeight="1" x14ac:dyDescent="0.3">
      <c r="B42" s="1">
        <f t="shared" si="2"/>
        <v>189</v>
      </c>
      <c r="C42" cm="1">
        <f t="array" ref="C42">IFERROR(MAX(--_xlfn.TEXTSPLIT(D42,";")),0)</f>
        <v>32</v>
      </c>
      <c r="D42" t="s">
        <v>1774</v>
      </c>
      <c r="E42" s="1" t="s">
        <v>341</v>
      </c>
      <c r="F42" s="1" t="s">
        <v>1854</v>
      </c>
      <c r="G42" s="1">
        <v>1</v>
      </c>
      <c r="H42" s="1" t="s">
        <v>342</v>
      </c>
      <c r="I42" s="1" t="s">
        <v>343</v>
      </c>
      <c r="J42" s="1" t="s">
        <v>64</v>
      </c>
      <c r="K42" s="1" t="s">
        <v>344</v>
      </c>
      <c r="L42" s="1" t="s">
        <v>38</v>
      </c>
      <c r="M42" s="1" t="s">
        <v>39</v>
      </c>
      <c r="N42" s="2" t="s">
        <v>40</v>
      </c>
      <c r="O42" s="3">
        <v>1000574</v>
      </c>
      <c r="P42" s="3" t="s">
        <v>41</v>
      </c>
      <c r="Q42" s="1" t="s">
        <v>345</v>
      </c>
      <c r="R42" s="1" t="s">
        <v>43</v>
      </c>
      <c r="S42" s="3" t="s">
        <v>123</v>
      </c>
      <c r="T42" s="3" t="s">
        <v>301</v>
      </c>
      <c r="U42" s="2">
        <v>37173</v>
      </c>
      <c r="V42" s="2">
        <v>37376</v>
      </c>
      <c r="W42" s="2">
        <v>37407</v>
      </c>
      <c r="X42" s="2">
        <v>37460</v>
      </c>
      <c r="Y42" s="2">
        <v>37532</v>
      </c>
      <c r="Z42" s="3" t="s">
        <v>346</v>
      </c>
      <c r="AA42" s="3" t="s">
        <v>347</v>
      </c>
      <c r="AB42" s="3" t="s">
        <v>348</v>
      </c>
      <c r="AC42" s="2">
        <v>37532</v>
      </c>
      <c r="AD42" s="2">
        <v>45680</v>
      </c>
      <c r="AE42" s="2" t="s">
        <v>49</v>
      </c>
      <c r="AF42" s="2" t="s">
        <v>50</v>
      </c>
      <c r="AG42" s="2">
        <v>38380</v>
      </c>
      <c r="AH42" s="2">
        <v>38622</v>
      </c>
      <c r="AI42" s="5">
        <v>919407.34</v>
      </c>
      <c r="AJ42" s="6">
        <v>1</v>
      </c>
      <c r="AK42" s="71" t="str">
        <f t="shared" si="3"/>
        <v>ARAT1</v>
      </c>
    </row>
    <row r="43" spans="1:37" ht="118.95" customHeight="1" x14ac:dyDescent="0.3">
      <c r="B43" s="1">
        <f t="shared" si="2"/>
        <v>189</v>
      </c>
      <c r="C43" cm="1">
        <f t="array" ref="C43">IFERROR(MAX(--_xlfn.TEXTSPLIT(D43,";")),0)</f>
        <v>32</v>
      </c>
      <c r="D43" t="s">
        <v>1775</v>
      </c>
      <c r="E43" s="1" t="s">
        <v>990</v>
      </c>
      <c r="F43" s="1" t="s">
        <v>991</v>
      </c>
      <c r="G43" s="1">
        <v>1</v>
      </c>
      <c r="H43" s="1" t="s">
        <v>992</v>
      </c>
      <c r="I43" s="1" t="s">
        <v>993</v>
      </c>
      <c r="J43" s="1" t="s">
        <v>64</v>
      </c>
      <c r="K43" s="1" t="s">
        <v>994</v>
      </c>
      <c r="L43" s="1" t="s">
        <v>38</v>
      </c>
      <c r="M43" s="1" t="s">
        <v>39</v>
      </c>
      <c r="N43" s="2"/>
      <c r="O43" s="26">
        <v>7012000</v>
      </c>
      <c r="P43" s="1" t="s">
        <v>41</v>
      </c>
      <c r="Q43" s="4" t="s">
        <v>995</v>
      </c>
      <c r="R43" s="1" t="s">
        <v>662</v>
      </c>
      <c r="S43" s="3" t="s">
        <v>44</v>
      </c>
      <c r="T43" s="3" t="s">
        <v>152</v>
      </c>
      <c r="U43" s="2">
        <v>45289</v>
      </c>
      <c r="V43" s="2">
        <v>45483</v>
      </c>
      <c r="W43" s="2">
        <v>45506</v>
      </c>
      <c r="X43" s="2">
        <v>45569</v>
      </c>
      <c r="Y43" s="2">
        <v>45609</v>
      </c>
      <c r="Z43" s="1" t="s">
        <v>996</v>
      </c>
      <c r="AA43" s="1" t="s">
        <v>997</v>
      </c>
      <c r="AB43" s="7" t="s">
        <v>998</v>
      </c>
      <c r="AC43" s="2">
        <v>45609</v>
      </c>
      <c r="AD43" s="2">
        <v>55105</v>
      </c>
      <c r="AE43" s="2" t="s">
        <v>106</v>
      </c>
      <c r="AF43" s="1" t="s">
        <v>855</v>
      </c>
      <c r="AG43" s="1" t="s">
        <v>697</v>
      </c>
      <c r="AH43" s="1" t="s">
        <v>697</v>
      </c>
      <c r="AI43" s="22">
        <v>7012000</v>
      </c>
      <c r="AJ43" s="23">
        <v>0</v>
      </c>
      <c r="AK43" s="71" t="str">
        <f t="shared" si="3"/>
        <v>ARNO1</v>
      </c>
    </row>
    <row r="44" spans="1:37" ht="118.95" customHeight="1" x14ac:dyDescent="0.3">
      <c r="B44" s="1">
        <f t="shared" si="2"/>
        <v>189</v>
      </c>
      <c r="C44" cm="1">
        <f t="array" ref="C44">IFERROR(MAX(--_xlfn.TEXTSPLIT(D44,";")),0)</f>
        <v>33</v>
      </c>
      <c r="D44" t="s">
        <v>1776</v>
      </c>
      <c r="E44" s="1" t="s">
        <v>72</v>
      </c>
      <c r="F44" s="1" t="s">
        <v>809</v>
      </c>
      <c r="G44" s="1">
        <v>1</v>
      </c>
      <c r="H44" s="1" t="s">
        <v>73</v>
      </c>
      <c r="I44" s="1" t="s">
        <v>74</v>
      </c>
      <c r="J44" s="1" t="s">
        <v>64</v>
      </c>
      <c r="K44" s="1" t="s">
        <v>75</v>
      </c>
      <c r="L44" s="1" t="s">
        <v>38</v>
      </c>
      <c r="M44" s="1" t="s">
        <v>66</v>
      </c>
      <c r="N44" s="2" t="s">
        <v>40</v>
      </c>
      <c r="O44" s="3">
        <v>164021</v>
      </c>
      <c r="P44" s="3" t="s">
        <v>41</v>
      </c>
      <c r="Q44" s="4" t="s">
        <v>76</v>
      </c>
      <c r="R44" s="1" t="s">
        <v>43</v>
      </c>
      <c r="S44" s="3" t="s">
        <v>44</v>
      </c>
      <c r="T44" s="3" t="s">
        <v>68</v>
      </c>
      <c r="U44" s="2">
        <v>34639</v>
      </c>
      <c r="V44" s="2">
        <v>34762</v>
      </c>
      <c r="W44" s="2">
        <v>34838</v>
      </c>
      <c r="X44" s="2">
        <v>34880</v>
      </c>
      <c r="Y44" s="2">
        <v>35003</v>
      </c>
      <c r="Z44" s="3" t="s">
        <v>77</v>
      </c>
      <c r="AA44" s="3" t="s">
        <v>78</v>
      </c>
      <c r="AB44" s="3" t="s">
        <v>79</v>
      </c>
      <c r="AC44" s="2">
        <v>35114</v>
      </c>
      <c r="AD44" s="2">
        <v>39496</v>
      </c>
      <c r="AE44" s="2" t="s">
        <v>49</v>
      </c>
      <c r="AF44" s="2" t="s">
        <v>50</v>
      </c>
      <c r="AG44" s="2" t="s">
        <v>50</v>
      </c>
      <c r="AH44" s="2" t="s">
        <v>50</v>
      </c>
      <c r="AI44" s="5">
        <v>205506.48</v>
      </c>
      <c r="AJ44" s="6">
        <v>1</v>
      </c>
      <c r="AK44" s="71" t="str">
        <f t="shared" si="3"/>
        <v>ATEP1</v>
      </c>
    </row>
    <row r="45" spans="1:37" ht="118.95" customHeight="1" x14ac:dyDescent="0.3">
      <c r="B45" s="1">
        <f t="shared" si="2"/>
        <v>189</v>
      </c>
      <c r="C45" cm="1">
        <f t="array" ref="C45">IFERROR(MAX(--_xlfn.TEXTSPLIT(D45,";")),0)</f>
        <v>33</v>
      </c>
      <c r="D45" t="s">
        <v>1776</v>
      </c>
      <c r="E45" s="1" t="s">
        <v>495</v>
      </c>
      <c r="F45" s="1" t="s">
        <v>809</v>
      </c>
      <c r="G45" s="1">
        <v>2</v>
      </c>
      <c r="H45" s="1" t="s">
        <v>496</v>
      </c>
      <c r="I45" s="1" t="s">
        <v>497</v>
      </c>
      <c r="J45" s="1" t="s">
        <v>64</v>
      </c>
      <c r="K45" s="1" t="s">
        <v>75</v>
      </c>
      <c r="L45" s="1" t="s">
        <v>38</v>
      </c>
      <c r="M45" s="1" t="s">
        <v>39</v>
      </c>
      <c r="N45" s="2" t="s">
        <v>40</v>
      </c>
      <c r="O45" s="3">
        <v>441300</v>
      </c>
      <c r="P45" s="3" t="s">
        <v>41</v>
      </c>
      <c r="Q45" s="1" t="s">
        <v>498</v>
      </c>
      <c r="R45" s="1" t="s">
        <v>43</v>
      </c>
      <c r="S45" s="3" t="s">
        <v>123</v>
      </c>
      <c r="T45" s="3" t="s">
        <v>152</v>
      </c>
      <c r="U45" s="2">
        <v>39208</v>
      </c>
      <c r="V45" s="2">
        <v>39350</v>
      </c>
      <c r="W45" s="2">
        <v>39373</v>
      </c>
      <c r="X45" s="2">
        <v>39393</v>
      </c>
      <c r="Y45" s="2">
        <v>39475</v>
      </c>
      <c r="Z45" s="3" t="s">
        <v>499</v>
      </c>
      <c r="AA45" s="3" t="s">
        <v>500</v>
      </c>
      <c r="AB45" s="3" t="s">
        <v>501</v>
      </c>
      <c r="AC45" s="2">
        <v>39475</v>
      </c>
      <c r="AD45" s="2">
        <v>41759</v>
      </c>
      <c r="AE45" s="2" t="s">
        <v>106</v>
      </c>
      <c r="AF45" s="2" t="s">
        <v>50</v>
      </c>
      <c r="AG45" s="2">
        <v>40260</v>
      </c>
      <c r="AH45" s="2">
        <v>40492</v>
      </c>
      <c r="AI45" s="5">
        <v>594173.75</v>
      </c>
      <c r="AJ45" s="6">
        <v>1</v>
      </c>
      <c r="AK45" s="71" t="str">
        <f t="shared" si="3"/>
        <v>ATEP2</v>
      </c>
    </row>
    <row r="46" spans="1:37" ht="168.6" customHeight="1" x14ac:dyDescent="0.3">
      <c r="B46" s="1">
        <f t="shared" si="2"/>
        <v>189</v>
      </c>
      <c r="C46" cm="1">
        <f t="array" ref="C46">IFERROR(MAX(--_xlfn.TEXTSPLIT(D46,";")),0)</f>
        <v>33</v>
      </c>
      <c r="D46" t="s">
        <v>1776</v>
      </c>
      <c r="E46" s="1" t="s">
        <v>681</v>
      </c>
      <c r="F46" s="1" t="s">
        <v>809</v>
      </c>
      <c r="G46" s="1">
        <v>3</v>
      </c>
      <c r="H46" s="1" t="s">
        <v>682</v>
      </c>
      <c r="I46" s="1" t="s">
        <v>683</v>
      </c>
      <c r="J46" s="1" t="s">
        <v>64</v>
      </c>
      <c r="K46" s="1" t="s">
        <v>75</v>
      </c>
      <c r="L46" s="1" t="s">
        <v>38</v>
      </c>
      <c r="M46" s="1" t="s">
        <v>39</v>
      </c>
      <c r="N46" s="2" t="s">
        <v>40</v>
      </c>
      <c r="O46" s="3">
        <v>92000</v>
      </c>
      <c r="P46" s="3" t="s">
        <v>41</v>
      </c>
      <c r="Q46" s="1" t="s">
        <v>684</v>
      </c>
      <c r="R46" s="1" t="s">
        <v>43</v>
      </c>
      <c r="S46" s="3" t="s">
        <v>123</v>
      </c>
      <c r="T46" s="3" t="s">
        <v>639</v>
      </c>
      <c r="U46" s="2">
        <v>41516</v>
      </c>
      <c r="V46" s="2">
        <v>41613</v>
      </c>
      <c r="W46" s="2">
        <v>41635</v>
      </c>
      <c r="X46" s="2">
        <v>41681</v>
      </c>
      <c r="Y46" s="2">
        <v>41726</v>
      </c>
      <c r="Z46" s="3" t="s">
        <v>685</v>
      </c>
      <c r="AA46" s="3" t="s">
        <v>686</v>
      </c>
      <c r="AB46" s="3" t="s">
        <v>687</v>
      </c>
      <c r="AC46" s="2">
        <v>41726</v>
      </c>
      <c r="AD46" s="2">
        <v>43220</v>
      </c>
      <c r="AE46" s="2" t="s">
        <v>49</v>
      </c>
      <c r="AF46" s="2">
        <v>41928</v>
      </c>
      <c r="AG46" s="2">
        <v>42415</v>
      </c>
      <c r="AH46" s="2">
        <v>41942</v>
      </c>
      <c r="AI46" s="5">
        <v>99685.88</v>
      </c>
      <c r="AJ46" s="6">
        <v>1</v>
      </c>
      <c r="AK46" s="71" t="str">
        <f t="shared" si="3"/>
        <v>ATEP3</v>
      </c>
    </row>
    <row r="47" spans="1:37" ht="118.95" customHeight="1" x14ac:dyDescent="0.3">
      <c r="B47" s="1">
        <f t="shared" si="2"/>
        <v>189</v>
      </c>
      <c r="C47" cm="1">
        <f t="array" ref="C47">IFERROR(MAX(--_xlfn.TEXTSPLIT(D47,";")),0)</f>
        <v>33</v>
      </c>
      <c r="D47" t="s">
        <v>1776</v>
      </c>
      <c r="E47" s="1" t="s">
        <v>808</v>
      </c>
      <c r="F47" s="1" t="s">
        <v>809</v>
      </c>
      <c r="G47" s="1">
        <v>4</v>
      </c>
      <c r="H47" s="1" t="s">
        <v>810</v>
      </c>
      <c r="I47" s="1" t="s">
        <v>811</v>
      </c>
      <c r="J47" s="1" t="s">
        <v>64</v>
      </c>
      <c r="K47" s="1" t="s">
        <v>75</v>
      </c>
      <c r="L47" s="1" t="s">
        <v>38</v>
      </c>
      <c r="M47" s="1" t="s">
        <v>39</v>
      </c>
      <c r="N47" s="2" t="s">
        <v>40</v>
      </c>
      <c r="O47" s="3">
        <v>810000</v>
      </c>
      <c r="P47" s="3" t="s">
        <v>41</v>
      </c>
      <c r="Q47" s="1" t="s">
        <v>812</v>
      </c>
      <c r="R47" s="1" t="s">
        <v>133</v>
      </c>
      <c r="S47" s="3" t="s">
        <v>44</v>
      </c>
      <c r="T47" s="3" t="s">
        <v>114</v>
      </c>
      <c r="U47" s="2">
        <v>43033</v>
      </c>
      <c r="V47" s="2">
        <v>43126</v>
      </c>
      <c r="W47" s="2">
        <v>43146</v>
      </c>
      <c r="X47" s="2">
        <v>43160</v>
      </c>
      <c r="Y47" s="2">
        <v>43193</v>
      </c>
      <c r="Z47" s="3" t="s">
        <v>813</v>
      </c>
      <c r="AA47" s="3" t="s">
        <v>814</v>
      </c>
      <c r="AB47" s="3" t="s">
        <v>815</v>
      </c>
      <c r="AC47" s="2">
        <v>43221</v>
      </c>
      <c r="AD47" s="2">
        <v>46327</v>
      </c>
      <c r="AE47" s="2" t="s">
        <v>49</v>
      </c>
      <c r="AF47" s="2">
        <v>44421</v>
      </c>
      <c r="AG47" s="2">
        <v>44848</v>
      </c>
      <c r="AH47" s="2">
        <v>45521</v>
      </c>
      <c r="AI47" s="8">
        <v>1306596.7</v>
      </c>
      <c r="AJ47" s="6">
        <v>1</v>
      </c>
      <c r="AK47" s="71" t="str">
        <f t="shared" si="3"/>
        <v>ATEP4</v>
      </c>
    </row>
    <row r="48" spans="1:37" ht="118.95" customHeight="1" x14ac:dyDescent="0.3">
      <c r="B48" s="1">
        <f t="shared" si="2"/>
        <v>189</v>
      </c>
      <c r="C48" cm="1">
        <f t="array" ref="C48">IFERROR(MAX(--_xlfn.TEXTSPLIT(D48,";")),0)</f>
        <v>31</v>
      </c>
      <c r="D48" t="s">
        <v>1777</v>
      </c>
      <c r="E48" s="1" t="s">
        <v>909</v>
      </c>
      <c r="F48" s="1" t="s">
        <v>108</v>
      </c>
      <c r="G48" s="1">
        <v>3</v>
      </c>
      <c r="H48" s="1" t="s">
        <v>910</v>
      </c>
      <c r="I48" s="1" t="s">
        <v>911</v>
      </c>
      <c r="J48" s="1" t="s">
        <v>111</v>
      </c>
      <c r="K48" s="18" t="s">
        <v>912</v>
      </c>
      <c r="L48" s="1" t="s">
        <v>38</v>
      </c>
      <c r="M48" s="1" t="s">
        <v>39</v>
      </c>
      <c r="N48" s="2" t="s">
        <v>40</v>
      </c>
      <c r="O48" s="3">
        <v>843000</v>
      </c>
      <c r="P48" s="3" t="s">
        <v>41</v>
      </c>
      <c r="Q48" s="1" t="s">
        <v>913</v>
      </c>
      <c r="R48" s="1" t="s">
        <v>693</v>
      </c>
      <c r="S48" s="3" t="s">
        <v>44</v>
      </c>
      <c r="T48" s="3" t="s">
        <v>152</v>
      </c>
      <c r="U48" s="2">
        <v>44335</v>
      </c>
      <c r="V48" s="2">
        <v>44904</v>
      </c>
      <c r="W48" s="2">
        <v>44932</v>
      </c>
      <c r="X48" s="2">
        <v>45085</v>
      </c>
      <c r="Y48" s="2">
        <v>45185</v>
      </c>
      <c r="Z48" s="3" t="s">
        <v>914</v>
      </c>
      <c r="AA48" s="19" t="s">
        <v>915</v>
      </c>
      <c r="AB48" s="3" t="s">
        <v>916</v>
      </c>
      <c r="AC48" s="2">
        <v>45185</v>
      </c>
      <c r="AD48" s="2">
        <v>49810</v>
      </c>
      <c r="AE48" s="2" t="s">
        <v>106</v>
      </c>
      <c r="AF48" s="2">
        <v>45548</v>
      </c>
      <c r="AG48" s="2" t="s">
        <v>697</v>
      </c>
      <c r="AH48" s="2" t="s">
        <v>697</v>
      </c>
      <c r="AI48" s="5">
        <v>843000</v>
      </c>
      <c r="AJ48" s="13">
        <v>0.55930000000000002</v>
      </c>
      <c r="AK48" s="71" t="str">
        <f t="shared" si="3"/>
        <v>AVAM3</v>
      </c>
    </row>
    <row r="49" spans="2:37" ht="118.95" customHeight="1" x14ac:dyDescent="0.3">
      <c r="B49" s="1">
        <f t="shared" si="2"/>
        <v>189</v>
      </c>
      <c r="C49" cm="1">
        <f t="array" ref="C49">IFERROR(MAX(--_xlfn.TEXTSPLIT(D49,";")),0)</f>
        <v>34</v>
      </c>
      <c r="D49" t="s">
        <v>1778</v>
      </c>
      <c r="E49" s="1" t="s">
        <v>287</v>
      </c>
      <c r="F49" s="1" t="s">
        <v>288</v>
      </c>
      <c r="G49" s="1">
        <v>1</v>
      </c>
      <c r="H49" s="1" t="s">
        <v>289</v>
      </c>
      <c r="I49" s="1" t="s">
        <v>290</v>
      </c>
      <c r="J49" s="1" t="s">
        <v>111</v>
      </c>
      <c r="K49" s="1" t="s">
        <v>112</v>
      </c>
      <c r="L49" s="1" t="s">
        <v>38</v>
      </c>
      <c r="M49" s="1" t="s">
        <v>66</v>
      </c>
      <c r="N49" s="2" t="s">
        <v>40</v>
      </c>
      <c r="O49" s="3">
        <v>10350000</v>
      </c>
      <c r="P49" s="3" t="s">
        <v>41</v>
      </c>
      <c r="Q49" s="10" t="s">
        <v>291</v>
      </c>
      <c r="R49" s="1" t="s">
        <v>133</v>
      </c>
      <c r="S49" s="3" t="s">
        <v>123</v>
      </c>
      <c r="T49" s="3" t="s">
        <v>292</v>
      </c>
      <c r="U49" s="2">
        <v>36781</v>
      </c>
      <c r="V49" s="2">
        <v>37070</v>
      </c>
      <c r="W49" s="2">
        <v>37096</v>
      </c>
      <c r="X49" s="2">
        <v>37123</v>
      </c>
      <c r="Y49" s="2">
        <v>37170</v>
      </c>
      <c r="Z49" s="3" t="s">
        <v>293</v>
      </c>
      <c r="AA49" s="3" t="s">
        <v>294</v>
      </c>
      <c r="AB49" s="3" t="s">
        <v>295</v>
      </c>
      <c r="AC49" s="2">
        <v>37596</v>
      </c>
      <c r="AD49" s="2">
        <v>48553</v>
      </c>
      <c r="AE49" s="2" t="s">
        <v>106</v>
      </c>
      <c r="AF49" s="2" t="s">
        <v>50</v>
      </c>
      <c r="AG49" s="2">
        <v>38834</v>
      </c>
      <c r="AH49" s="2">
        <v>38959</v>
      </c>
      <c r="AI49" s="8">
        <v>21176669.43</v>
      </c>
      <c r="AJ49" s="6">
        <v>1</v>
      </c>
      <c r="AK49" s="71" t="str">
        <f t="shared" si="3"/>
        <v>AVES1</v>
      </c>
    </row>
    <row r="50" spans="2:37" ht="118.95" customHeight="1" x14ac:dyDescent="0.3">
      <c r="B50" s="1">
        <f t="shared" si="2"/>
        <v>189</v>
      </c>
      <c r="C50" cm="1">
        <f t="array" ref="C50">IFERROR(MAX(--_xlfn.TEXTSPLIT(D50,";")),0)</f>
        <v>35</v>
      </c>
      <c r="D50" t="s">
        <v>1779</v>
      </c>
      <c r="E50" s="1" t="s">
        <v>316</v>
      </c>
      <c r="F50" s="1" t="s">
        <v>317</v>
      </c>
      <c r="G50" s="1">
        <v>1</v>
      </c>
      <c r="H50" s="1" t="s">
        <v>318</v>
      </c>
      <c r="I50" s="1" t="s">
        <v>319</v>
      </c>
      <c r="J50" s="1" t="s">
        <v>111</v>
      </c>
      <c r="K50" s="1" t="s">
        <v>112</v>
      </c>
      <c r="L50" s="1" t="s">
        <v>38</v>
      </c>
      <c r="M50" s="1" t="s">
        <v>66</v>
      </c>
      <c r="N50" s="2" t="s">
        <v>40</v>
      </c>
      <c r="O50" s="3">
        <v>10100000</v>
      </c>
      <c r="P50" s="3" t="s">
        <v>41</v>
      </c>
      <c r="Q50" s="1" t="s">
        <v>320</v>
      </c>
      <c r="R50" s="1" t="s">
        <v>133</v>
      </c>
      <c r="S50" s="3" t="s">
        <v>123</v>
      </c>
      <c r="T50" s="3" t="s">
        <v>275</v>
      </c>
      <c r="U50" s="2">
        <v>37077</v>
      </c>
      <c r="V50" s="2">
        <v>37224</v>
      </c>
      <c r="W50" s="2">
        <v>37246</v>
      </c>
      <c r="X50" s="2">
        <v>37320</v>
      </c>
      <c r="Y50" s="2">
        <v>37399</v>
      </c>
      <c r="Z50" s="3" t="s">
        <v>321</v>
      </c>
      <c r="AA50" s="3" t="s">
        <v>322</v>
      </c>
      <c r="AB50" s="3" t="s">
        <v>323</v>
      </c>
      <c r="AC50" s="2">
        <v>37734</v>
      </c>
      <c r="AD50" s="2">
        <v>48692</v>
      </c>
      <c r="AE50" s="2" t="s">
        <v>106</v>
      </c>
      <c r="AF50" s="2" t="s">
        <v>50</v>
      </c>
      <c r="AG50" s="2">
        <v>38721</v>
      </c>
      <c r="AH50" s="2">
        <v>42604</v>
      </c>
      <c r="AI50" s="8">
        <v>21794859.77</v>
      </c>
      <c r="AJ50" s="6">
        <v>1</v>
      </c>
      <c r="AK50" s="71" t="str">
        <f t="shared" si="3"/>
        <v>AVNP1</v>
      </c>
    </row>
    <row r="51" spans="2:37" ht="118.95" customHeight="1" x14ac:dyDescent="0.3">
      <c r="B51" s="1">
        <f t="shared" si="2"/>
        <v>189</v>
      </c>
      <c r="C51" cm="1">
        <f t="array" ref="C51">IFERROR(MAX(--_xlfn.TEXTSPLIT(D51,";")),0)</f>
        <v>36</v>
      </c>
      <c r="D51" t="s">
        <v>1780</v>
      </c>
      <c r="E51" s="1" t="s">
        <v>51</v>
      </c>
      <c r="F51" s="59" t="s">
        <v>52</v>
      </c>
      <c r="G51" s="1">
        <v>1</v>
      </c>
      <c r="H51" s="1" t="s">
        <v>53</v>
      </c>
      <c r="I51" s="1" t="s">
        <v>54</v>
      </c>
      <c r="J51" s="1" t="s">
        <v>36</v>
      </c>
      <c r="K51" s="1" t="s">
        <v>55</v>
      </c>
      <c r="L51" s="1" t="s">
        <v>38</v>
      </c>
      <c r="M51" s="1" t="s">
        <v>39</v>
      </c>
      <c r="N51" s="2" t="s">
        <v>40</v>
      </c>
      <c r="O51" s="3">
        <v>600000</v>
      </c>
      <c r="P51" s="3" t="s">
        <v>41</v>
      </c>
      <c r="Q51" s="4" t="s">
        <v>56</v>
      </c>
      <c r="R51" s="1" t="s">
        <v>43</v>
      </c>
      <c r="S51" s="3" t="s">
        <v>44</v>
      </c>
      <c r="T51" s="3" t="s">
        <v>57</v>
      </c>
      <c r="U51" s="2">
        <v>34122</v>
      </c>
      <c r="V51" s="2">
        <v>34415</v>
      </c>
      <c r="W51" s="2">
        <v>34445</v>
      </c>
      <c r="X51" s="2">
        <v>34453</v>
      </c>
      <c r="Y51" s="2">
        <v>34519</v>
      </c>
      <c r="Z51" s="3" t="s">
        <v>58</v>
      </c>
      <c r="AA51" s="3" t="s">
        <v>59</v>
      </c>
      <c r="AB51" s="3" t="s">
        <v>60</v>
      </c>
      <c r="AC51" s="2">
        <v>34509</v>
      </c>
      <c r="AD51" s="2">
        <v>41274</v>
      </c>
      <c r="AE51" s="2" t="s">
        <v>49</v>
      </c>
      <c r="AF51" s="2" t="s">
        <v>50</v>
      </c>
      <c r="AG51" s="2">
        <v>35391</v>
      </c>
      <c r="AH51" s="2">
        <v>35248</v>
      </c>
      <c r="AI51" s="5">
        <v>1090333.0000000002</v>
      </c>
      <c r="AJ51" s="6">
        <v>1</v>
      </c>
      <c r="AK51" s="71" t="str">
        <f t="shared" si="3"/>
        <v>CDMA1</v>
      </c>
    </row>
    <row r="52" spans="2:37" ht="118.95" customHeight="1" x14ac:dyDescent="0.3">
      <c r="B52" s="1">
        <f t="shared" si="2"/>
        <v>189</v>
      </c>
      <c r="C52" cm="1">
        <f t="array" ref="C52">IFERROR(MAX(--_xlfn.TEXTSPLIT(D52,";")),0)</f>
        <v>37</v>
      </c>
      <c r="D52" t="s">
        <v>1781</v>
      </c>
      <c r="E52" s="1" t="s">
        <v>156</v>
      </c>
      <c r="F52" s="1" t="s">
        <v>1855</v>
      </c>
      <c r="G52" s="1">
        <v>1</v>
      </c>
      <c r="H52" s="1" t="s">
        <v>157</v>
      </c>
      <c r="I52" s="1" t="s">
        <v>158</v>
      </c>
      <c r="J52" s="1" t="s">
        <v>36</v>
      </c>
      <c r="K52" s="1" t="s">
        <v>159</v>
      </c>
      <c r="L52" s="1" t="s">
        <v>38</v>
      </c>
      <c r="M52" s="1" t="s">
        <v>39</v>
      </c>
      <c r="N52" s="2" t="s">
        <v>40</v>
      </c>
      <c r="O52" s="3">
        <v>6640000</v>
      </c>
      <c r="P52" s="3" t="s">
        <v>41</v>
      </c>
      <c r="Q52" s="1" t="s">
        <v>160</v>
      </c>
      <c r="R52" s="1" t="s">
        <v>43</v>
      </c>
      <c r="S52" s="3" t="s">
        <v>123</v>
      </c>
      <c r="T52" s="3" t="s">
        <v>124</v>
      </c>
      <c r="U52" s="2">
        <v>35370</v>
      </c>
      <c r="V52" s="2">
        <v>35493</v>
      </c>
      <c r="W52" s="2">
        <v>35506</v>
      </c>
      <c r="X52" s="2">
        <v>35611</v>
      </c>
      <c r="Y52" s="2">
        <v>35717</v>
      </c>
      <c r="Z52" s="3" t="s">
        <v>161</v>
      </c>
      <c r="AA52" s="3" t="s">
        <v>162</v>
      </c>
      <c r="AB52" s="3" t="s">
        <v>163</v>
      </c>
      <c r="AC52" s="2">
        <v>35956</v>
      </c>
      <c r="AD52" s="2">
        <v>44971</v>
      </c>
      <c r="AE52" s="2" t="s">
        <v>49</v>
      </c>
      <c r="AF52" s="2" t="s">
        <v>50</v>
      </c>
      <c r="AG52" s="2">
        <v>37452</v>
      </c>
      <c r="AH52" s="2">
        <v>37812</v>
      </c>
      <c r="AI52" s="5">
        <v>9603667.0933703333</v>
      </c>
      <c r="AJ52" s="6">
        <v>1</v>
      </c>
      <c r="AK52" s="71" t="str">
        <f t="shared" si="3"/>
        <v>CHCO1</v>
      </c>
    </row>
    <row r="53" spans="2:37" ht="242.4" customHeight="1" x14ac:dyDescent="0.3">
      <c r="B53" s="1">
        <f t="shared" si="2"/>
        <v>189</v>
      </c>
      <c r="C53" cm="1">
        <f t="array" ref="C53">IFERROR(MAX(--_xlfn.TEXTSPLIT(D53,";")),0)</f>
        <v>37</v>
      </c>
      <c r="D53" t="s">
        <v>1781</v>
      </c>
      <c r="E53" s="1" t="s">
        <v>946</v>
      </c>
      <c r="F53" s="1" t="s">
        <v>1855</v>
      </c>
      <c r="G53" s="1">
        <v>2</v>
      </c>
      <c r="H53" s="1" t="s">
        <v>947</v>
      </c>
      <c r="I53" s="1" t="s">
        <v>948</v>
      </c>
      <c r="J53" s="1" t="s">
        <v>36</v>
      </c>
      <c r="K53" s="1" t="s">
        <v>949</v>
      </c>
      <c r="L53" s="1" t="s">
        <v>38</v>
      </c>
      <c r="M53" s="1" t="s">
        <v>39</v>
      </c>
      <c r="N53" s="2" t="s">
        <v>40</v>
      </c>
      <c r="O53" s="3">
        <v>14215000</v>
      </c>
      <c r="P53" s="3" t="s">
        <v>41</v>
      </c>
      <c r="Q53" s="1" t="s">
        <v>950</v>
      </c>
      <c r="R53" s="1" t="s">
        <v>662</v>
      </c>
      <c r="S53" s="3" t="s">
        <v>44</v>
      </c>
      <c r="T53" s="3" t="s">
        <v>152</v>
      </c>
      <c r="U53" s="2">
        <v>44498</v>
      </c>
      <c r="V53" s="2">
        <v>44827</v>
      </c>
      <c r="W53" s="2">
        <v>44855</v>
      </c>
      <c r="X53" s="2">
        <v>44909</v>
      </c>
      <c r="Y53" s="2">
        <v>44968</v>
      </c>
      <c r="Z53" s="3" t="s">
        <v>951</v>
      </c>
      <c r="AA53" s="61" t="s">
        <v>952</v>
      </c>
      <c r="AB53" s="3" t="s">
        <v>953</v>
      </c>
      <c r="AC53" s="2">
        <v>44968</v>
      </c>
      <c r="AD53" s="2">
        <v>55926</v>
      </c>
      <c r="AE53" s="2" t="s">
        <v>106</v>
      </c>
      <c r="AF53" s="2" t="s">
        <v>855</v>
      </c>
      <c r="AG53" s="2" t="s">
        <v>697</v>
      </c>
      <c r="AH53" s="2" t="s">
        <v>697</v>
      </c>
      <c r="AI53" s="5">
        <v>14215000</v>
      </c>
      <c r="AJ53" s="6">
        <v>0</v>
      </c>
      <c r="AK53" s="71" t="str">
        <f t="shared" si="3"/>
        <v>CHCO2</v>
      </c>
    </row>
    <row r="54" spans="2:37" ht="118.95" customHeight="1" x14ac:dyDescent="0.3">
      <c r="B54" s="1">
        <f t="shared" si="2"/>
        <v>189</v>
      </c>
      <c r="C54" cm="1">
        <f t="array" ref="C54">IFERROR(MAX(--_xlfn.TEXTSPLIT(D54,";")),0)</f>
        <v>38</v>
      </c>
      <c r="D54" t="s">
        <v>1782</v>
      </c>
      <c r="E54" s="1" t="s">
        <v>98</v>
      </c>
      <c r="F54" s="1" t="s">
        <v>99</v>
      </c>
      <c r="G54" s="1">
        <v>1</v>
      </c>
      <c r="H54" s="1" t="s">
        <v>100</v>
      </c>
      <c r="I54" s="1" t="s">
        <v>101</v>
      </c>
      <c r="J54" s="1" t="s">
        <v>36</v>
      </c>
      <c r="K54" s="1" t="s">
        <v>37</v>
      </c>
      <c r="L54" s="1" t="s">
        <v>38</v>
      </c>
      <c r="M54" s="1" t="s">
        <v>39</v>
      </c>
      <c r="N54" s="2" t="s">
        <v>40</v>
      </c>
      <c r="O54" s="3">
        <v>298000</v>
      </c>
      <c r="P54" s="3" t="s">
        <v>41</v>
      </c>
      <c r="Q54" s="4" t="s">
        <v>102</v>
      </c>
      <c r="R54" s="1" t="s">
        <v>43</v>
      </c>
      <c r="S54" s="3" t="s">
        <v>44</v>
      </c>
      <c r="T54" s="3" t="s">
        <v>85</v>
      </c>
      <c r="U54" s="2">
        <v>34758</v>
      </c>
      <c r="V54" s="2">
        <v>34851</v>
      </c>
      <c r="W54" s="2">
        <v>34884</v>
      </c>
      <c r="X54" s="2">
        <v>34908</v>
      </c>
      <c r="Y54" s="2">
        <v>35006</v>
      </c>
      <c r="Z54" s="3" t="s">
        <v>103</v>
      </c>
      <c r="AA54" s="3" t="s">
        <v>104</v>
      </c>
      <c r="AB54" s="61" t="s">
        <v>105</v>
      </c>
      <c r="AC54" s="2">
        <v>35011</v>
      </c>
      <c r="AD54" s="2">
        <v>42613</v>
      </c>
      <c r="AE54" s="2" t="s">
        <v>106</v>
      </c>
      <c r="AF54" s="2" t="s">
        <v>50</v>
      </c>
      <c r="AG54" s="2">
        <v>35504</v>
      </c>
      <c r="AH54" s="2">
        <v>35732</v>
      </c>
      <c r="AI54" s="5">
        <v>430872.77</v>
      </c>
      <c r="AJ54" s="6">
        <v>1</v>
      </c>
      <c r="AK54" s="71" t="str">
        <f t="shared" si="3"/>
        <v>CNPU1</v>
      </c>
    </row>
    <row r="55" spans="2:37" ht="118.95" customHeight="1" x14ac:dyDescent="0.3">
      <c r="B55" s="1">
        <f t="shared" si="2"/>
        <v>189</v>
      </c>
      <c r="C55" cm="1">
        <f t="array" ref="C55">IFERROR(MAX(--_xlfn.TEXTSPLIT(D55,";")),0)</f>
        <v>42</v>
      </c>
      <c r="D55" t="s">
        <v>1783</v>
      </c>
      <c r="E55" s="1" t="s">
        <v>666</v>
      </c>
      <c r="F55" s="1" t="s">
        <v>667</v>
      </c>
      <c r="G55" s="1">
        <v>1</v>
      </c>
      <c r="H55" s="1" t="s">
        <v>668</v>
      </c>
      <c r="I55" s="1" t="s">
        <v>669</v>
      </c>
      <c r="J55" s="1" t="s">
        <v>385</v>
      </c>
      <c r="K55" s="1" t="s">
        <v>37</v>
      </c>
      <c r="L55" s="1" t="s">
        <v>38</v>
      </c>
      <c r="M55" s="1" t="s">
        <v>39</v>
      </c>
      <c r="N55" s="2" t="s">
        <v>40</v>
      </c>
      <c r="O55" s="3">
        <v>1924500</v>
      </c>
      <c r="P55" s="3" t="s">
        <v>41</v>
      </c>
      <c r="Q55" s="1" t="s">
        <v>670</v>
      </c>
      <c r="R55" s="1" t="s">
        <v>133</v>
      </c>
      <c r="S55" s="3" t="s">
        <v>44</v>
      </c>
      <c r="T55" s="3" t="s">
        <v>301</v>
      </c>
      <c r="U55" s="2">
        <v>41274</v>
      </c>
      <c r="V55" s="2">
        <v>41969</v>
      </c>
      <c r="W55" s="2">
        <v>41992</v>
      </c>
      <c r="X55" s="2">
        <v>42082</v>
      </c>
      <c r="Y55" s="2">
        <v>42142</v>
      </c>
      <c r="Z55" s="3" t="s">
        <v>671</v>
      </c>
      <c r="AA55" s="3" t="s">
        <v>672</v>
      </c>
      <c r="AB55" s="3" t="s">
        <v>673</v>
      </c>
      <c r="AC55" s="2">
        <v>42142</v>
      </c>
      <c r="AD55" s="2">
        <v>47804</v>
      </c>
      <c r="AE55" s="2" t="s">
        <v>49</v>
      </c>
      <c r="AF55" s="2">
        <v>42748</v>
      </c>
      <c r="AG55" s="2">
        <v>43669</v>
      </c>
      <c r="AH55" s="2">
        <v>43793</v>
      </c>
      <c r="AI55" s="8">
        <v>2032422.63</v>
      </c>
      <c r="AJ55" s="6">
        <v>1</v>
      </c>
      <c r="AK55" s="71" t="str">
        <f t="shared" si="3"/>
        <v>CFLL1</v>
      </c>
    </row>
    <row r="56" spans="2:37" ht="118.95" customHeight="1" x14ac:dyDescent="0.3">
      <c r="B56" s="1">
        <f t="shared" si="2"/>
        <v>189</v>
      </c>
      <c r="C56" cm="1">
        <f t="array" ref="C56">IFERROR(MAX(--_xlfn.TEXTSPLIT(D56,";")),0)</f>
        <v>41</v>
      </c>
      <c r="D56" t="s">
        <v>1784</v>
      </c>
      <c r="E56" s="1" t="s">
        <v>729</v>
      </c>
      <c r="F56" s="1" t="s">
        <v>99</v>
      </c>
      <c r="G56" s="1">
        <v>2</v>
      </c>
      <c r="H56" s="1" t="s">
        <v>730</v>
      </c>
      <c r="I56" s="1" t="s">
        <v>731</v>
      </c>
      <c r="J56" s="1" t="s">
        <v>36</v>
      </c>
      <c r="K56" s="1" t="s">
        <v>37</v>
      </c>
      <c r="L56" s="1" t="s">
        <v>38</v>
      </c>
      <c r="M56" s="1" t="s">
        <v>39</v>
      </c>
      <c r="N56" s="2" t="s">
        <v>40</v>
      </c>
      <c r="O56" s="3">
        <v>5250000</v>
      </c>
      <c r="P56" s="3" t="s">
        <v>41</v>
      </c>
      <c r="Q56" s="1" t="s">
        <v>732</v>
      </c>
      <c r="R56" s="1" t="s">
        <v>662</v>
      </c>
      <c r="S56" s="3" t="s">
        <v>44</v>
      </c>
      <c r="T56" s="3" t="s">
        <v>484</v>
      </c>
      <c r="U56" s="2">
        <v>42335</v>
      </c>
      <c r="V56" s="2">
        <v>42458</v>
      </c>
      <c r="W56" s="2">
        <v>42482</v>
      </c>
      <c r="X56" s="2">
        <v>42528</v>
      </c>
      <c r="Y56" s="2">
        <v>42605</v>
      </c>
      <c r="Z56" s="3" t="s">
        <v>733</v>
      </c>
      <c r="AA56" s="3" t="s">
        <v>734</v>
      </c>
      <c r="AB56" s="3" t="s">
        <v>735</v>
      </c>
      <c r="AC56" s="2">
        <v>42605</v>
      </c>
      <c r="AD56" s="2">
        <v>53197</v>
      </c>
      <c r="AE56" s="2" t="s">
        <v>106</v>
      </c>
      <c r="AF56" s="2">
        <v>44006</v>
      </c>
      <c r="AG56" s="2" t="s">
        <v>697</v>
      </c>
      <c r="AH56" s="2" t="s">
        <v>697</v>
      </c>
      <c r="AI56" s="5">
        <v>5250000</v>
      </c>
      <c r="AJ56" s="6" t="s">
        <v>736</v>
      </c>
      <c r="AK56" s="71" t="str">
        <f t="shared" si="3"/>
        <v>CNPU2</v>
      </c>
    </row>
    <row r="57" spans="2:37" ht="118.95" customHeight="1" x14ac:dyDescent="0.3">
      <c r="B57" s="1">
        <f t="shared" si="2"/>
        <v>189</v>
      </c>
      <c r="C57" cm="1">
        <f t="array" ref="C57">IFERROR(MAX(--_xlfn.TEXTSPLIT(D57,";")),0)</f>
        <v>43</v>
      </c>
      <c r="D57" t="s">
        <v>1785</v>
      </c>
      <c r="E57" s="1" t="s">
        <v>600</v>
      </c>
      <c r="F57" s="1" t="s">
        <v>1856</v>
      </c>
      <c r="G57" s="1">
        <v>1</v>
      </c>
      <c r="H57" s="1" t="s">
        <v>601</v>
      </c>
      <c r="I57" s="1" t="s">
        <v>602</v>
      </c>
      <c r="J57" s="1" t="s">
        <v>36</v>
      </c>
      <c r="K57" s="1" t="s">
        <v>83</v>
      </c>
      <c r="L57" s="1" t="s">
        <v>38</v>
      </c>
      <c r="M57" s="1" t="s">
        <v>66</v>
      </c>
      <c r="N57" s="2">
        <v>38646</v>
      </c>
      <c r="O57" s="3">
        <v>8400000</v>
      </c>
      <c r="P57" s="3" t="s">
        <v>41</v>
      </c>
      <c r="Q57" s="1" t="s">
        <v>603</v>
      </c>
      <c r="R57" s="1" t="s">
        <v>133</v>
      </c>
      <c r="S57" s="3" t="s">
        <v>44</v>
      </c>
      <c r="T57" s="3" t="s">
        <v>484</v>
      </c>
      <c r="U57" s="2">
        <v>40186</v>
      </c>
      <c r="V57" s="2">
        <v>40539</v>
      </c>
      <c r="W57" s="2">
        <v>40560</v>
      </c>
      <c r="X57" s="2">
        <v>40701</v>
      </c>
      <c r="Y57" s="2">
        <v>40789</v>
      </c>
      <c r="Z57" s="3" t="s">
        <v>604</v>
      </c>
      <c r="AA57" s="3" t="s">
        <v>605</v>
      </c>
      <c r="AB57" s="3" t="s">
        <v>606</v>
      </c>
      <c r="AC57" s="2">
        <v>40789</v>
      </c>
      <c r="AD57" s="2">
        <v>54241</v>
      </c>
      <c r="AE57" s="2" t="s">
        <v>106</v>
      </c>
      <c r="AF57" s="2">
        <v>41086</v>
      </c>
      <c r="AG57" s="2">
        <v>42600</v>
      </c>
      <c r="AH57" s="2">
        <v>43320</v>
      </c>
      <c r="AI57" s="68">
        <v>9125338.2400000002</v>
      </c>
      <c r="AJ57" s="6">
        <v>1</v>
      </c>
      <c r="AK57" s="72" t="str">
        <f t="shared" si="3"/>
        <v>COCA1</v>
      </c>
    </row>
    <row r="58" spans="2:37" ht="118.95" customHeight="1" x14ac:dyDescent="0.3">
      <c r="B58" s="1">
        <f t="shared" si="2"/>
        <v>189</v>
      </c>
      <c r="C58" cm="1">
        <f t="array" ref="C58">IFERROR(MAX(--_xlfn.TEXTSPLIT(D58,";")),0)</f>
        <v>44</v>
      </c>
      <c r="D58" t="s">
        <v>1786</v>
      </c>
      <c r="E58" s="1" t="s">
        <v>516</v>
      </c>
      <c r="F58" s="1" t="s">
        <v>517</v>
      </c>
      <c r="G58" s="1">
        <v>1</v>
      </c>
      <c r="H58" s="1" t="s">
        <v>518</v>
      </c>
      <c r="I58" s="1" t="s">
        <v>519</v>
      </c>
      <c r="J58" s="1" t="s">
        <v>385</v>
      </c>
      <c r="K58" s="1" t="s">
        <v>112</v>
      </c>
      <c r="L58" s="1" t="s">
        <v>38</v>
      </c>
      <c r="M58" s="1" t="s">
        <v>66</v>
      </c>
      <c r="N58" s="2">
        <v>37337</v>
      </c>
      <c r="O58" s="3">
        <v>482000</v>
      </c>
      <c r="P58" s="3" t="s">
        <v>41</v>
      </c>
      <c r="Q58" s="4" t="s">
        <v>520</v>
      </c>
      <c r="R58" s="1" t="s">
        <v>133</v>
      </c>
      <c r="S58" s="3" t="s">
        <v>44</v>
      </c>
      <c r="T58" s="3" t="s">
        <v>114</v>
      </c>
      <c r="U58" s="2">
        <v>39451</v>
      </c>
      <c r="V58" s="2">
        <v>40121</v>
      </c>
      <c r="W58" s="2">
        <v>40149</v>
      </c>
      <c r="X58" s="2">
        <v>40224</v>
      </c>
      <c r="Y58" s="2">
        <v>40303</v>
      </c>
      <c r="Z58" s="3" t="s">
        <v>521</v>
      </c>
      <c r="AA58" s="3" t="s">
        <v>522</v>
      </c>
      <c r="AB58" s="3" t="s">
        <v>523</v>
      </c>
      <c r="AC58" s="2">
        <v>40303</v>
      </c>
      <c r="AD58" s="2">
        <v>50987</v>
      </c>
      <c r="AE58" s="2" t="s">
        <v>49</v>
      </c>
      <c r="AF58" s="2">
        <v>41281</v>
      </c>
      <c r="AG58" s="2">
        <v>41856</v>
      </c>
      <c r="AH58" s="2">
        <v>42034</v>
      </c>
      <c r="AI58" s="8">
        <v>449094</v>
      </c>
      <c r="AJ58" s="6">
        <v>1</v>
      </c>
      <c r="AK58" s="71" t="str">
        <f t="shared" si="3"/>
        <v>CMVR1</v>
      </c>
    </row>
    <row r="59" spans="2:37" ht="118.95" customHeight="1" x14ac:dyDescent="0.3">
      <c r="B59" s="1">
        <f t="shared" si="2"/>
        <v>189</v>
      </c>
      <c r="C59" cm="1">
        <f t="array" ref="C59">IFERROR(MAX(--_xlfn.TEXTSPLIT(D59,";")),0)</f>
        <v>45</v>
      </c>
      <c r="D59" t="s">
        <v>1787</v>
      </c>
      <c r="E59" s="1" t="s">
        <v>213</v>
      </c>
      <c r="F59" s="1" t="s">
        <v>1857</v>
      </c>
      <c r="G59" s="1">
        <v>1</v>
      </c>
      <c r="H59" s="1" t="s">
        <v>214</v>
      </c>
      <c r="I59" s="1" t="s">
        <v>215</v>
      </c>
      <c r="J59" s="1" t="s">
        <v>36</v>
      </c>
      <c r="K59" s="1" t="s">
        <v>216</v>
      </c>
      <c r="L59" s="1" t="s">
        <v>38</v>
      </c>
      <c r="M59" s="1" t="s">
        <v>39</v>
      </c>
      <c r="N59" s="2" t="s">
        <v>40</v>
      </c>
      <c r="O59" s="3">
        <v>7131000</v>
      </c>
      <c r="P59" s="3" t="s">
        <v>41</v>
      </c>
      <c r="Q59" s="1" t="s">
        <v>217</v>
      </c>
      <c r="R59" s="1" t="s">
        <v>133</v>
      </c>
      <c r="S59" s="3" t="s">
        <v>123</v>
      </c>
      <c r="T59" s="3" t="s">
        <v>200</v>
      </c>
      <c r="U59" s="2">
        <v>35707</v>
      </c>
      <c r="V59" s="2">
        <v>35748</v>
      </c>
      <c r="W59" s="2">
        <v>35769</v>
      </c>
      <c r="X59" s="2">
        <v>35905</v>
      </c>
      <c r="Y59" s="2">
        <v>35984</v>
      </c>
      <c r="Z59" s="3" t="s">
        <v>218</v>
      </c>
      <c r="AA59" s="3" t="s">
        <v>219</v>
      </c>
      <c r="AB59" s="3" t="s">
        <v>220</v>
      </c>
      <c r="AC59" s="2">
        <v>36236</v>
      </c>
      <c r="AD59" s="2">
        <v>46326</v>
      </c>
      <c r="AE59" s="2" t="s">
        <v>49</v>
      </c>
      <c r="AF59" s="2" t="s">
        <v>50</v>
      </c>
      <c r="AG59" s="2">
        <v>37620</v>
      </c>
      <c r="AH59" s="2">
        <v>37914</v>
      </c>
      <c r="AI59" s="9">
        <v>13949740.699999999</v>
      </c>
      <c r="AJ59" s="6">
        <v>1</v>
      </c>
      <c r="AK59" s="71" t="str">
        <f t="shared" si="3"/>
        <v>COTE1</v>
      </c>
    </row>
    <row r="60" spans="2:37" ht="118.95" customHeight="1" x14ac:dyDescent="0.3">
      <c r="B60" s="1">
        <f t="shared" si="2"/>
        <v>189</v>
      </c>
      <c r="C60" cm="1">
        <f t="array" ref="C60">IFERROR(MAX(--_xlfn.TEXTSPLIT(D60,";")),0)</f>
        <v>48</v>
      </c>
      <c r="D60" t="s">
        <v>1788</v>
      </c>
      <c r="E60" s="1" t="s">
        <v>147</v>
      </c>
      <c r="F60" s="1" t="s">
        <v>148</v>
      </c>
      <c r="G60" s="1">
        <v>1</v>
      </c>
      <c r="H60" s="1" t="s">
        <v>149</v>
      </c>
      <c r="I60" s="1" t="s">
        <v>150</v>
      </c>
      <c r="J60" s="1" t="s">
        <v>36</v>
      </c>
      <c r="K60" s="1" t="s">
        <v>92</v>
      </c>
      <c r="L60" s="1" t="s">
        <v>38</v>
      </c>
      <c r="M60" s="1" t="s">
        <v>39</v>
      </c>
      <c r="N60" s="2" t="s">
        <v>40</v>
      </c>
      <c r="O60" s="3">
        <v>12090000</v>
      </c>
      <c r="P60" s="3" t="s">
        <v>41</v>
      </c>
      <c r="Q60" s="1" t="s">
        <v>151</v>
      </c>
      <c r="R60" s="1" t="s">
        <v>43</v>
      </c>
      <c r="S60" s="3" t="s">
        <v>123</v>
      </c>
      <c r="T60" s="3" t="s">
        <v>152</v>
      </c>
      <c r="U60" s="2">
        <v>35219</v>
      </c>
      <c r="V60" s="2">
        <v>35828</v>
      </c>
      <c r="W60" s="2">
        <v>35845</v>
      </c>
      <c r="X60" s="2">
        <v>35944</v>
      </c>
      <c r="Y60" s="2">
        <v>36038</v>
      </c>
      <c r="Z60" s="3" t="s">
        <v>153</v>
      </c>
      <c r="AA60" s="3" t="s">
        <v>154</v>
      </c>
      <c r="AB60" s="3" t="s">
        <v>155</v>
      </c>
      <c r="AC60" s="2">
        <v>36382</v>
      </c>
      <c r="AD60" s="2">
        <v>45838</v>
      </c>
      <c r="AE60" s="2" t="s">
        <v>49</v>
      </c>
      <c r="AF60" s="2" t="s">
        <v>50</v>
      </c>
      <c r="AG60" s="2">
        <v>37819</v>
      </c>
      <c r="AH60" s="2">
        <v>38090</v>
      </c>
      <c r="AI60" s="5">
        <v>15427175.559999999</v>
      </c>
      <c r="AJ60" s="6">
        <v>1</v>
      </c>
      <c r="AK60" s="71" t="str">
        <f t="shared" si="3"/>
        <v>ISVV1</v>
      </c>
    </row>
    <row r="61" spans="2:37" ht="118.95" customHeight="1" x14ac:dyDescent="0.3">
      <c r="B61" s="1">
        <f t="shared" si="2"/>
        <v>189</v>
      </c>
      <c r="C61" cm="1">
        <f t="array" ref="C61">IFERROR(MAX(--_xlfn.TEXTSPLIT(D61,";")),0)</f>
        <v>48</v>
      </c>
      <c r="D61" t="s">
        <v>1788</v>
      </c>
      <c r="E61" s="59" t="s">
        <v>962</v>
      </c>
      <c r="F61" s="1" t="s">
        <v>148</v>
      </c>
      <c r="G61" s="1">
        <v>2</v>
      </c>
      <c r="H61" s="1" t="s">
        <v>963</v>
      </c>
      <c r="I61" s="1" t="s">
        <v>964</v>
      </c>
      <c r="J61" s="1" t="s">
        <v>36</v>
      </c>
      <c r="K61" s="1" t="s">
        <v>92</v>
      </c>
      <c r="L61" s="1" t="s">
        <v>38</v>
      </c>
      <c r="M61" s="1" t="s">
        <v>39</v>
      </c>
      <c r="N61" s="2"/>
      <c r="O61" s="3">
        <v>35970000</v>
      </c>
      <c r="P61" s="24" t="s">
        <v>41</v>
      </c>
      <c r="Q61" s="1" t="s">
        <v>965</v>
      </c>
      <c r="R61" s="1" t="s">
        <v>662</v>
      </c>
      <c r="S61" s="3" t="s">
        <v>44</v>
      </c>
      <c r="T61" s="3" t="s">
        <v>152</v>
      </c>
      <c r="U61" s="2">
        <v>44561</v>
      </c>
      <c r="V61" s="2">
        <v>45580</v>
      </c>
      <c r="W61" s="2">
        <v>45608</v>
      </c>
      <c r="X61" s="2">
        <v>45674</v>
      </c>
      <c r="Y61" s="2">
        <v>45786</v>
      </c>
      <c r="Z61" s="1" t="s">
        <v>966</v>
      </c>
      <c r="AA61" s="1" t="s">
        <v>967</v>
      </c>
      <c r="AB61" s="65" t="s">
        <v>968</v>
      </c>
      <c r="AC61" s="2">
        <v>45786</v>
      </c>
      <c r="AD61" s="2">
        <v>56743</v>
      </c>
      <c r="AE61" s="2" t="s">
        <v>106</v>
      </c>
      <c r="AF61" s="2" t="s">
        <v>855</v>
      </c>
      <c r="AG61" s="2" t="s">
        <v>697</v>
      </c>
      <c r="AH61" s="2" t="s">
        <v>697</v>
      </c>
      <c r="AI61" s="22">
        <v>35970000</v>
      </c>
      <c r="AJ61" s="6">
        <v>0</v>
      </c>
      <c r="AK61" s="71" t="str">
        <f t="shared" si="3"/>
        <v>ISVV2</v>
      </c>
    </row>
    <row r="62" spans="2:37" ht="118.95" customHeight="1" x14ac:dyDescent="0.3">
      <c r="B62" s="1">
        <f t="shared" si="2"/>
        <v>189</v>
      </c>
      <c r="C62" cm="1">
        <f t="array" ref="C62">IFERROR(MAX(--_xlfn.TEXTSPLIT(D62,";")),0)</f>
        <v>49</v>
      </c>
      <c r="D62" t="s">
        <v>1789</v>
      </c>
      <c r="E62" s="1" t="s">
        <v>172</v>
      </c>
      <c r="F62" s="1" t="s">
        <v>1858</v>
      </c>
      <c r="G62" s="1">
        <v>1</v>
      </c>
      <c r="H62" s="1" t="s">
        <v>173</v>
      </c>
      <c r="I62" s="1" t="s">
        <v>174</v>
      </c>
      <c r="J62" s="1" t="s">
        <v>36</v>
      </c>
      <c r="K62" s="1" t="s">
        <v>175</v>
      </c>
      <c r="L62" s="1" t="s">
        <v>38</v>
      </c>
      <c r="M62" s="1" t="s">
        <v>39</v>
      </c>
      <c r="N62" s="2" t="s">
        <v>40</v>
      </c>
      <c r="O62" s="3">
        <v>7986345</v>
      </c>
      <c r="P62" s="3" t="s">
        <v>41</v>
      </c>
      <c r="Q62" s="1" t="s">
        <v>176</v>
      </c>
      <c r="R62" s="1" t="s">
        <v>43</v>
      </c>
      <c r="S62" s="3" t="s">
        <v>123</v>
      </c>
      <c r="T62" s="3" t="s">
        <v>124</v>
      </c>
      <c r="U62" s="2">
        <v>35379</v>
      </c>
      <c r="V62" s="2">
        <v>35422</v>
      </c>
      <c r="W62" s="2">
        <v>35430</v>
      </c>
      <c r="X62" s="2">
        <v>35481</v>
      </c>
      <c r="Y62" s="2">
        <v>35543</v>
      </c>
      <c r="Z62" s="3" t="s">
        <v>177</v>
      </c>
      <c r="AA62" s="3" t="s">
        <v>178</v>
      </c>
      <c r="AB62" s="3" t="s">
        <v>179</v>
      </c>
      <c r="AC62" s="2">
        <v>35780</v>
      </c>
      <c r="AD62" s="2">
        <v>44910</v>
      </c>
      <c r="AE62" s="2" t="s">
        <v>49</v>
      </c>
      <c r="AF62" s="2" t="s">
        <v>50</v>
      </c>
      <c r="AG62" s="2">
        <v>36818</v>
      </c>
      <c r="AH62" s="2">
        <v>37326</v>
      </c>
      <c r="AI62" s="5">
        <v>8862210.7300000004</v>
      </c>
      <c r="AJ62" s="6">
        <v>1</v>
      </c>
      <c r="AK62" s="71" t="str">
        <f t="shared" si="3"/>
        <v>LVLS1</v>
      </c>
    </row>
    <row r="63" spans="2:37" ht="118.95" customHeight="1" x14ac:dyDescent="0.3">
      <c r="B63" s="1">
        <f t="shared" si="2"/>
        <v>189</v>
      </c>
      <c r="C63" cm="1">
        <f t="array" ref="C63">IFERROR(MAX(--_xlfn.TEXTSPLIT(D63,";")),0)</f>
        <v>50</v>
      </c>
      <c r="D63" t="s">
        <v>1790</v>
      </c>
      <c r="E63" s="1" t="s">
        <v>406</v>
      </c>
      <c r="F63" s="1" t="s">
        <v>407</v>
      </c>
      <c r="G63" s="1">
        <v>1</v>
      </c>
      <c r="H63" s="1" t="s">
        <v>408</v>
      </c>
      <c r="I63" s="1" t="s">
        <v>409</v>
      </c>
      <c r="J63" s="1" t="s">
        <v>385</v>
      </c>
      <c r="K63" s="1" t="s">
        <v>112</v>
      </c>
      <c r="L63" s="1" t="s">
        <v>38</v>
      </c>
      <c r="M63" s="1" t="s">
        <v>39</v>
      </c>
      <c r="N63" s="2" t="s">
        <v>40</v>
      </c>
      <c r="O63" s="3">
        <v>2354000</v>
      </c>
      <c r="P63" s="3" t="s">
        <v>41</v>
      </c>
      <c r="Q63" s="1" t="s">
        <v>410</v>
      </c>
      <c r="R63" s="1" t="s">
        <v>133</v>
      </c>
      <c r="S63" s="3" t="s">
        <v>123</v>
      </c>
      <c r="T63" s="3" t="s">
        <v>301</v>
      </c>
      <c r="U63" s="2">
        <v>37831</v>
      </c>
      <c r="V63" s="2">
        <v>38050</v>
      </c>
      <c r="W63" s="2">
        <v>38065</v>
      </c>
      <c r="X63" s="2">
        <v>38072</v>
      </c>
      <c r="Y63" s="2">
        <v>38111</v>
      </c>
      <c r="Z63" s="3" t="s">
        <v>411</v>
      </c>
      <c r="AA63" s="3" t="s">
        <v>412</v>
      </c>
      <c r="AB63" s="3" t="s">
        <v>413</v>
      </c>
      <c r="AC63" s="2">
        <v>38111</v>
      </c>
      <c r="AD63" s="2">
        <v>46934</v>
      </c>
      <c r="AE63" s="2" t="s">
        <v>49</v>
      </c>
      <c r="AF63" s="2" t="s">
        <v>50</v>
      </c>
      <c r="AG63" s="2">
        <v>39254</v>
      </c>
      <c r="AH63" s="2">
        <v>39458</v>
      </c>
      <c r="AI63" s="8">
        <v>4551832.1300000008</v>
      </c>
      <c r="AJ63" s="6">
        <v>1</v>
      </c>
      <c r="AK63" s="71" t="str">
        <f t="shared" si="3"/>
        <v>CSJS1</v>
      </c>
    </row>
    <row r="64" spans="2:37" ht="118.95" customHeight="1" x14ac:dyDescent="0.3">
      <c r="B64" s="1">
        <f t="shared" si="2"/>
        <v>189</v>
      </c>
      <c r="C64" cm="1">
        <f t="array" ref="C64">IFERROR(MAX(--_xlfn.TEXTSPLIT(D64,";")),0)</f>
        <v>52</v>
      </c>
      <c r="D64" t="s">
        <v>1791</v>
      </c>
      <c r="E64" s="1" t="s">
        <v>471</v>
      </c>
      <c r="F64" s="1" t="s">
        <v>472</v>
      </c>
      <c r="G64" s="1">
        <v>1</v>
      </c>
      <c r="H64" s="1" t="s">
        <v>473</v>
      </c>
      <c r="I64" s="1" t="s">
        <v>474</v>
      </c>
      <c r="J64" s="1" t="s">
        <v>385</v>
      </c>
      <c r="K64" s="1" t="s">
        <v>112</v>
      </c>
      <c r="L64" s="1" t="s">
        <v>38</v>
      </c>
      <c r="M64" s="1" t="s">
        <v>39</v>
      </c>
      <c r="N64" s="2" t="s">
        <v>40</v>
      </c>
      <c r="O64" s="3">
        <v>2261000</v>
      </c>
      <c r="P64" s="3" t="s">
        <v>41</v>
      </c>
      <c r="Q64" s="1" t="s">
        <v>475</v>
      </c>
      <c r="R64" s="1" t="s">
        <v>43</v>
      </c>
      <c r="S64" s="3" t="s">
        <v>123</v>
      </c>
      <c r="T64" s="3" t="s">
        <v>152</v>
      </c>
      <c r="U64" s="2">
        <v>38528</v>
      </c>
      <c r="V64" s="2">
        <v>38686</v>
      </c>
      <c r="W64" s="2">
        <v>38708</v>
      </c>
      <c r="X64" s="2">
        <v>38734</v>
      </c>
      <c r="Y64" s="2">
        <v>38820</v>
      </c>
      <c r="Z64" s="3" t="s">
        <v>476</v>
      </c>
      <c r="AA64" s="3" t="s">
        <v>477</v>
      </c>
      <c r="AB64" s="3" t="s">
        <v>478</v>
      </c>
      <c r="AC64" s="2">
        <v>38820</v>
      </c>
      <c r="AD64" s="2">
        <v>44621</v>
      </c>
      <c r="AE64" s="2" t="s">
        <v>106</v>
      </c>
      <c r="AF64" s="2" t="s">
        <v>50</v>
      </c>
      <c r="AG64" s="2">
        <v>39520</v>
      </c>
      <c r="AH64" s="2">
        <v>39723</v>
      </c>
      <c r="AI64" s="5">
        <v>3111969.2500000005</v>
      </c>
      <c r="AJ64" s="6">
        <v>1</v>
      </c>
      <c r="AK64" s="71" t="str">
        <f t="shared" si="3"/>
        <v>CTSR1</v>
      </c>
    </row>
    <row r="65" spans="2:37" ht="118.95" customHeight="1" x14ac:dyDescent="0.3">
      <c r="B65" s="1">
        <f t="shared" si="2"/>
        <v>189</v>
      </c>
      <c r="C65" cm="1">
        <f t="array" ref="C65">IFERROR(MAX(--_xlfn.TEXTSPLIT(D65,";")),0)</f>
        <v>53</v>
      </c>
      <c r="D65" t="s">
        <v>1792</v>
      </c>
      <c r="E65" s="1" t="s">
        <v>455</v>
      </c>
      <c r="F65" s="1" t="s">
        <v>456</v>
      </c>
      <c r="G65" s="1">
        <v>1</v>
      </c>
      <c r="H65" s="1" t="s">
        <v>457</v>
      </c>
      <c r="I65" s="1" t="s">
        <v>458</v>
      </c>
      <c r="J65" s="1" t="s">
        <v>385</v>
      </c>
      <c r="K65" s="1" t="s">
        <v>112</v>
      </c>
      <c r="L65" s="1" t="s">
        <v>38</v>
      </c>
      <c r="M65" s="1" t="s">
        <v>39</v>
      </c>
      <c r="N65" s="2" t="s">
        <v>40</v>
      </c>
      <c r="O65" s="3">
        <v>770000</v>
      </c>
      <c r="P65" s="3" t="s">
        <v>41</v>
      </c>
      <c r="Q65" s="1" t="s">
        <v>459</v>
      </c>
      <c r="R65" s="1" t="s">
        <v>43</v>
      </c>
      <c r="S65" s="3" t="s">
        <v>123</v>
      </c>
      <c r="T65" s="3" t="s">
        <v>152</v>
      </c>
      <c r="U65" s="2">
        <v>38255</v>
      </c>
      <c r="V65" s="2">
        <v>38380</v>
      </c>
      <c r="W65" s="2">
        <v>38405</v>
      </c>
      <c r="X65" s="2">
        <v>38433</v>
      </c>
      <c r="Y65" s="2">
        <v>38505</v>
      </c>
      <c r="Z65" s="3" t="s">
        <v>460</v>
      </c>
      <c r="AA65" s="3" t="s">
        <v>461</v>
      </c>
      <c r="AB65" s="3" t="s">
        <v>462</v>
      </c>
      <c r="AC65" s="2">
        <v>38505</v>
      </c>
      <c r="AD65" s="2">
        <v>44165</v>
      </c>
      <c r="AE65" s="2" t="s">
        <v>106</v>
      </c>
      <c r="AF65" s="2" t="s">
        <v>50</v>
      </c>
      <c r="AG65" s="2">
        <v>39052</v>
      </c>
      <c r="AH65" s="2">
        <v>39430</v>
      </c>
      <c r="AI65" s="5">
        <v>846695.53999999992</v>
      </c>
      <c r="AJ65" s="6">
        <v>1</v>
      </c>
      <c r="AK65" s="71" t="str">
        <f t="shared" si="3"/>
        <v>CVSR1</v>
      </c>
    </row>
    <row r="66" spans="2:37" ht="118.95" customHeight="1" x14ac:dyDescent="0.3">
      <c r="B66" s="1">
        <f t="shared" ref="B66:B97" si="4">MAX($C$2:$C$128)</f>
        <v>189</v>
      </c>
      <c r="C66" cm="1">
        <f t="array" ref="C66">IFERROR(MAX(--_xlfn.TEXTSPLIT(D66,";")),0)</f>
        <v>54</v>
      </c>
      <c r="D66" t="s">
        <v>1793</v>
      </c>
      <c r="E66" s="1" t="s">
        <v>431</v>
      </c>
      <c r="F66" s="1" t="s">
        <v>1859</v>
      </c>
      <c r="G66" s="1">
        <v>1</v>
      </c>
      <c r="H66" s="1" t="s">
        <v>432</v>
      </c>
      <c r="I66" s="1" t="s">
        <v>433</v>
      </c>
      <c r="J66" s="1" t="s">
        <v>263</v>
      </c>
      <c r="K66" s="1" t="s">
        <v>434</v>
      </c>
      <c r="L66" s="1" t="s">
        <v>38</v>
      </c>
      <c r="M66" s="1" t="s">
        <v>39</v>
      </c>
      <c r="N66" s="2" t="s">
        <v>40</v>
      </c>
      <c r="O66" s="3">
        <v>4200000</v>
      </c>
      <c r="P66" s="3" t="s">
        <v>41</v>
      </c>
      <c r="Q66" s="1" t="s">
        <v>435</v>
      </c>
      <c r="R66" s="1" t="s">
        <v>133</v>
      </c>
      <c r="S66" s="3" t="s">
        <v>44</v>
      </c>
      <c r="T66" s="3" t="s">
        <v>301</v>
      </c>
      <c r="U66" s="2">
        <v>38014</v>
      </c>
      <c r="V66" s="2">
        <v>38303</v>
      </c>
      <c r="W66" s="2">
        <v>38331</v>
      </c>
      <c r="X66" s="2">
        <v>38469</v>
      </c>
      <c r="Y66" s="2">
        <v>38537</v>
      </c>
      <c r="Z66" s="3" t="s">
        <v>436</v>
      </c>
      <c r="AA66" s="3" t="s">
        <v>437</v>
      </c>
      <c r="AB66" s="3" t="s">
        <v>438</v>
      </c>
      <c r="AC66" s="2">
        <v>38537</v>
      </c>
      <c r="AD66" s="2">
        <v>50348</v>
      </c>
      <c r="AE66" s="2" t="s">
        <v>49</v>
      </c>
      <c r="AF66" s="2" t="s">
        <v>50</v>
      </c>
      <c r="AG66" s="2">
        <v>43780</v>
      </c>
      <c r="AH66" s="2">
        <v>44081</v>
      </c>
      <c r="AI66" s="8">
        <v>5931101.8199999994</v>
      </c>
      <c r="AJ66" s="6">
        <v>1</v>
      </c>
      <c r="AK66" s="71" t="str">
        <f t="shared" ref="AK66:AK97" si="5">MID(E66,5,LEN(E66)-4)</f>
        <v>ECVI1</v>
      </c>
    </row>
    <row r="67" spans="2:37" ht="118.95" customHeight="1" x14ac:dyDescent="0.3">
      <c r="B67" s="1">
        <f t="shared" si="4"/>
        <v>189</v>
      </c>
      <c r="C67" cm="1">
        <f t="array" ref="C67">IFERROR(MAX(--_xlfn.TEXTSPLIT(D67,";")),0)</f>
        <v>55</v>
      </c>
      <c r="D67" t="s">
        <v>1794</v>
      </c>
      <c r="E67" s="1" t="s">
        <v>261</v>
      </c>
      <c r="F67" s="1" t="s">
        <v>1860</v>
      </c>
      <c r="G67" s="1">
        <v>1</v>
      </c>
      <c r="H67" s="1" t="s">
        <v>262</v>
      </c>
      <c r="I67" s="1">
        <v>0</v>
      </c>
      <c r="J67" s="1" t="s">
        <v>263</v>
      </c>
      <c r="K67" s="1" t="s">
        <v>175</v>
      </c>
      <c r="L67" s="1" t="s">
        <v>38</v>
      </c>
      <c r="M67" s="1" t="s">
        <v>39</v>
      </c>
      <c r="N67" s="2" t="s">
        <v>40</v>
      </c>
      <c r="O67" s="3">
        <v>1319600</v>
      </c>
      <c r="P67" s="3" t="s">
        <v>41</v>
      </c>
      <c r="Q67" s="1" t="s">
        <v>264</v>
      </c>
      <c r="R67" s="1" t="s">
        <v>43</v>
      </c>
      <c r="S67" s="3" t="s">
        <v>123</v>
      </c>
      <c r="T67" s="3" t="s">
        <v>265</v>
      </c>
      <c r="U67" s="2">
        <v>36401</v>
      </c>
      <c r="V67" s="2">
        <v>36979</v>
      </c>
      <c r="W67" s="2">
        <v>37008</v>
      </c>
      <c r="X67" s="2">
        <v>37081</v>
      </c>
      <c r="Y67" s="2">
        <v>37172</v>
      </c>
      <c r="Z67" s="3" t="s">
        <v>266</v>
      </c>
      <c r="AA67" s="3" t="s">
        <v>267</v>
      </c>
      <c r="AB67" s="50" t="s">
        <v>268</v>
      </c>
      <c r="AC67" s="2">
        <v>37164</v>
      </c>
      <c r="AD67" s="2">
        <v>38699</v>
      </c>
      <c r="AE67" s="2" t="s">
        <v>49</v>
      </c>
      <c r="AF67" s="2" t="s">
        <v>269</v>
      </c>
      <c r="AG67" s="2" t="s">
        <v>269</v>
      </c>
      <c r="AH67" s="2" t="s">
        <v>269</v>
      </c>
      <c r="AI67" s="5">
        <v>232211.22</v>
      </c>
      <c r="AJ67" s="6">
        <v>0</v>
      </c>
      <c r="AK67" s="71" t="str">
        <f t="shared" si="5"/>
        <v>EEBA1</v>
      </c>
    </row>
    <row r="68" spans="2:37" ht="118.95" customHeight="1" x14ac:dyDescent="0.3">
      <c r="B68" s="1">
        <f t="shared" si="4"/>
        <v>189</v>
      </c>
      <c r="C68" cm="1">
        <f t="array" ref="C68">IFERROR(MAX(--_xlfn.TEXTSPLIT(D68,";")),0)</f>
        <v>56</v>
      </c>
      <c r="D68" t="s">
        <v>1795</v>
      </c>
      <c r="E68" s="1" t="s">
        <v>390</v>
      </c>
      <c r="F68" s="1" t="s">
        <v>391</v>
      </c>
      <c r="G68" s="1">
        <v>1</v>
      </c>
      <c r="H68" s="1" t="s">
        <v>392</v>
      </c>
      <c r="I68" s="1" t="s">
        <v>393</v>
      </c>
      <c r="J68" s="1" t="s">
        <v>385</v>
      </c>
      <c r="K68" s="1" t="s">
        <v>112</v>
      </c>
      <c r="L68" s="1" t="s">
        <v>38</v>
      </c>
      <c r="M68" s="1" t="s">
        <v>39</v>
      </c>
      <c r="N68" s="2" t="s">
        <v>40</v>
      </c>
      <c r="O68" s="3">
        <v>1150000</v>
      </c>
      <c r="P68" s="3" t="s">
        <v>41</v>
      </c>
      <c r="Q68" s="1" t="s">
        <v>394</v>
      </c>
      <c r="R68" s="1" t="s">
        <v>133</v>
      </c>
      <c r="S68" s="3" t="s">
        <v>123</v>
      </c>
      <c r="T68" s="3" t="s">
        <v>200</v>
      </c>
      <c r="U68" s="2">
        <v>37773</v>
      </c>
      <c r="V68" s="2">
        <v>37986</v>
      </c>
      <c r="W68" s="2">
        <v>38015</v>
      </c>
      <c r="X68" s="2">
        <v>38072</v>
      </c>
      <c r="Y68" s="2">
        <v>38138</v>
      </c>
      <c r="Z68" s="3" t="s">
        <v>395</v>
      </c>
      <c r="AA68" s="3" t="s">
        <v>396</v>
      </c>
      <c r="AB68" s="3" t="s">
        <v>397</v>
      </c>
      <c r="AC68" s="2">
        <v>38138</v>
      </c>
      <c r="AD68" s="2">
        <v>46532</v>
      </c>
      <c r="AE68" s="2" t="s">
        <v>49</v>
      </c>
      <c r="AF68" s="2" t="s">
        <v>50</v>
      </c>
      <c r="AG68" s="2">
        <v>39227</v>
      </c>
      <c r="AH68" s="2">
        <v>39470</v>
      </c>
      <c r="AI68" s="8">
        <v>2009130.69</v>
      </c>
      <c r="AJ68" s="6">
        <v>1</v>
      </c>
      <c r="AK68" s="71" t="str">
        <f t="shared" si="5"/>
        <v>EIMC1</v>
      </c>
    </row>
    <row r="69" spans="2:37" ht="118.95" customHeight="1" x14ac:dyDescent="0.3">
      <c r="B69" s="1">
        <f t="shared" si="4"/>
        <v>189</v>
      </c>
      <c r="C69" cm="1">
        <f t="array" ref="C69">IFERROR(MAX(--_xlfn.TEXTSPLIT(D69,";")),0)</f>
        <v>57</v>
      </c>
      <c r="D69" t="s">
        <v>1796</v>
      </c>
      <c r="E69" s="1" t="s">
        <v>785</v>
      </c>
      <c r="F69" s="1" t="s">
        <v>1861</v>
      </c>
      <c r="G69" s="1">
        <v>1</v>
      </c>
      <c r="H69" s="1" t="s">
        <v>786</v>
      </c>
      <c r="I69" s="1" t="s">
        <v>787</v>
      </c>
      <c r="J69" s="1" t="s">
        <v>263</v>
      </c>
      <c r="K69" s="1" t="s">
        <v>37</v>
      </c>
      <c r="L69" s="1" t="s">
        <v>38</v>
      </c>
      <c r="M69" s="1" t="s">
        <v>39</v>
      </c>
      <c r="N69" s="2" t="s">
        <v>40</v>
      </c>
      <c r="O69" s="3">
        <v>3880000</v>
      </c>
      <c r="P69" s="3" t="s">
        <v>41</v>
      </c>
      <c r="Q69" s="1" t="s">
        <v>788</v>
      </c>
      <c r="R69" s="1" t="s">
        <v>693</v>
      </c>
      <c r="S69" s="3" t="s">
        <v>44</v>
      </c>
      <c r="T69" s="3" t="s">
        <v>301</v>
      </c>
      <c r="U69" s="2">
        <v>42944</v>
      </c>
      <c r="V69" s="2">
        <v>43089</v>
      </c>
      <c r="W69" s="2">
        <v>43118</v>
      </c>
      <c r="X69" s="2">
        <v>43165</v>
      </c>
      <c r="Y69" s="2">
        <v>43224</v>
      </c>
      <c r="Z69" s="3" t="s">
        <v>789</v>
      </c>
      <c r="AA69" s="3" t="s">
        <v>790</v>
      </c>
      <c r="AB69" s="3" t="s">
        <v>791</v>
      </c>
      <c r="AC69" s="2">
        <v>43224</v>
      </c>
      <c r="AD69" s="2">
        <v>50256</v>
      </c>
      <c r="AE69" s="2" t="s">
        <v>49</v>
      </c>
      <c r="AF69" s="2">
        <v>43731</v>
      </c>
      <c r="AG69" s="2" t="s">
        <v>697</v>
      </c>
      <c r="AH69" s="2" t="s">
        <v>697</v>
      </c>
      <c r="AI69" s="48">
        <v>3880000</v>
      </c>
      <c r="AJ69" s="13">
        <v>0.21240000000000001</v>
      </c>
      <c r="AK69" s="71" t="str">
        <f t="shared" si="5"/>
        <v>ELPA1</v>
      </c>
    </row>
    <row r="70" spans="2:37" ht="118.95" customHeight="1" x14ac:dyDescent="0.3">
      <c r="B70" s="1">
        <f t="shared" si="4"/>
        <v>189</v>
      </c>
      <c r="C70" cm="1">
        <f t="array" ref="C70">IFERROR(MAX(--_xlfn.TEXTSPLIT(D70,";")),0)</f>
        <v>58</v>
      </c>
      <c r="D70" t="s">
        <v>1797</v>
      </c>
      <c r="E70" s="47" t="s">
        <v>1026</v>
      </c>
      <c r="F70" s="47" t="s">
        <v>1862</v>
      </c>
      <c r="G70" s="1">
        <v>1</v>
      </c>
      <c r="H70" s="47" t="s">
        <v>1027</v>
      </c>
      <c r="I70" s="1" t="s">
        <v>1028</v>
      </c>
      <c r="J70" s="1" t="s">
        <v>309</v>
      </c>
      <c r="K70" s="1" t="s">
        <v>344</v>
      </c>
      <c r="L70" s="1" t="s">
        <v>38</v>
      </c>
      <c r="M70" s="1" t="s">
        <v>39</v>
      </c>
      <c r="N70" s="2"/>
      <c r="O70" s="3">
        <v>7120300</v>
      </c>
      <c r="P70" s="1" t="s">
        <v>41</v>
      </c>
      <c r="Q70" s="1" t="s">
        <v>1029</v>
      </c>
      <c r="R70" s="1" t="s">
        <v>693</v>
      </c>
      <c r="S70" s="1" t="s">
        <v>44</v>
      </c>
      <c r="T70" s="1" t="s">
        <v>1030</v>
      </c>
      <c r="U70" s="2">
        <v>45617</v>
      </c>
      <c r="V70" s="2">
        <v>45867</v>
      </c>
      <c r="W70" s="2">
        <v>45889</v>
      </c>
      <c r="X70" s="2">
        <v>45953</v>
      </c>
      <c r="Y70" s="2">
        <v>46178</v>
      </c>
      <c r="Z70" s="1" t="s">
        <v>1031</v>
      </c>
      <c r="AA70" s="1" t="s">
        <v>1032</v>
      </c>
      <c r="AB70" s="1" t="s">
        <v>1033</v>
      </c>
      <c r="AC70" s="2">
        <v>46027</v>
      </c>
      <c r="AD70" s="2">
        <v>55217</v>
      </c>
      <c r="AE70" s="1" t="s">
        <v>106</v>
      </c>
      <c r="AF70" s="1" t="s">
        <v>855</v>
      </c>
      <c r="AG70" s="1" t="s">
        <v>697</v>
      </c>
      <c r="AH70" s="1" t="s">
        <v>697</v>
      </c>
      <c r="AI70" s="22">
        <v>7120300</v>
      </c>
      <c r="AJ70" s="23">
        <v>0</v>
      </c>
      <c r="AK70" s="71" t="str">
        <f t="shared" si="5"/>
        <v>EPCO1</v>
      </c>
    </row>
    <row r="71" spans="2:37" ht="118.95" customHeight="1" x14ac:dyDescent="0.3">
      <c r="B71" s="1">
        <f t="shared" si="4"/>
        <v>189</v>
      </c>
      <c r="C71" cm="1">
        <f t="array" ref="C71">IFERROR(MAX(--_xlfn.TEXTSPLIT(D71,";")),0)</f>
        <v>59</v>
      </c>
      <c r="D71" t="s">
        <v>1798</v>
      </c>
      <c r="E71" s="1" t="s">
        <v>714</v>
      </c>
      <c r="F71" s="1" t="s">
        <v>1863</v>
      </c>
      <c r="G71" s="1">
        <v>1</v>
      </c>
      <c r="H71" s="1" t="s">
        <v>715</v>
      </c>
      <c r="I71" s="1" t="s">
        <v>716</v>
      </c>
      <c r="J71" s="1" t="s">
        <v>263</v>
      </c>
      <c r="K71" s="1" t="s">
        <v>717</v>
      </c>
      <c r="L71" s="1" t="s">
        <v>38</v>
      </c>
      <c r="M71" s="1" t="s">
        <v>39</v>
      </c>
      <c r="N71" s="2" t="s">
        <v>40</v>
      </c>
      <c r="O71" s="3">
        <v>9410000</v>
      </c>
      <c r="P71" s="3" t="s">
        <v>41</v>
      </c>
      <c r="Q71" s="1" t="s">
        <v>718</v>
      </c>
      <c r="R71" s="1" t="s">
        <v>43</v>
      </c>
      <c r="S71" s="3" t="s">
        <v>123</v>
      </c>
      <c r="T71" s="3" t="s">
        <v>265</v>
      </c>
      <c r="U71" s="2">
        <v>42093</v>
      </c>
      <c r="V71" s="2">
        <v>42355</v>
      </c>
      <c r="W71" s="2">
        <v>42383</v>
      </c>
      <c r="X71" s="2">
        <v>42450</v>
      </c>
      <c r="Y71" s="2">
        <v>42543</v>
      </c>
      <c r="Z71" s="3" t="s">
        <v>719</v>
      </c>
      <c r="AA71" s="3" t="s">
        <v>720</v>
      </c>
      <c r="AB71" s="3" t="s">
        <v>721</v>
      </c>
      <c r="AC71" s="2">
        <v>42543</v>
      </c>
      <c r="AD71" s="2">
        <v>44478</v>
      </c>
      <c r="AE71" s="2" t="s">
        <v>49</v>
      </c>
      <c r="AF71" s="2" t="s">
        <v>269</v>
      </c>
      <c r="AG71" s="2" t="s">
        <v>269</v>
      </c>
      <c r="AH71" s="2" t="s">
        <v>269</v>
      </c>
      <c r="AI71" s="5">
        <v>512516</v>
      </c>
      <c r="AJ71" s="6">
        <v>0</v>
      </c>
      <c r="AK71" s="71" t="str">
        <f t="shared" si="5"/>
        <v>EPUN1</v>
      </c>
    </row>
    <row r="72" spans="2:37" ht="150" customHeight="1" x14ac:dyDescent="0.3">
      <c r="B72" s="1">
        <f t="shared" si="4"/>
        <v>189</v>
      </c>
      <c r="C72" cm="1">
        <f t="array" ref="C72">IFERROR(MAX(--_xlfn.TEXTSPLIT(D72,";")),0)</f>
        <v>60</v>
      </c>
      <c r="D72" t="s">
        <v>1799</v>
      </c>
      <c r="E72" s="1" t="s">
        <v>422</v>
      </c>
      <c r="F72" s="1" t="s">
        <v>423</v>
      </c>
      <c r="G72" s="1">
        <v>1</v>
      </c>
      <c r="H72" s="1" t="s">
        <v>424</v>
      </c>
      <c r="I72" s="1" t="s">
        <v>425</v>
      </c>
      <c r="J72" s="1" t="s">
        <v>385</v>
      </c>
      <c r="K72" s="1" t="s">
        <v>112</v>
      </c>
      <c r="L72" s="1" t="s">
        <v>38</v>
      </c>
      <c r="M72" s="1" t="s">
        <v>39</v>
      </c>
      <c r="N72" s="2" t="s">
        <v>40</v>
      </c>
      <c r="O72" s="3">
        <v>245000</v>
      </c>
      <c r="P72" s="3" t="s">
        <v>41</v>
      </c>
      <c r="Q72" s="1" t="s">
        <v>426</v>
      </c>
      <c r="R72" s="1" t="s">
        <v>133</v>
      </c>
      <c r="S72" s="3" t="s">
        <v>44</v>
      </c>
      <c r="T72" s="3" t="s">
        <v>427</v>
      </c>
      <c r="U72" s="2">
        <v>37994</v>
      </c>
      <c r="V72" s="2">
        <v>38126</v>
      </c>
      <c r="W72" s="2">
        <v>38147</v>
      </c>
      <c r="X72" s="2">
        <v>38177</v>
      </c>
      <c r="Y72" s="2">
        <v>38234</v>
      </c>
      <c r="Z72" s="3" t="s">
        <v>428</v>
      </c>
      <c r="AA72" s="3" t="s">
        <v>429</v>
      </c>
      <c r="AB72" s="3" t="s">
        <v>430</v>
      </c>
      <c r="AC72" s="2">
        <v>38234</v>
      </c>
      <c r="AD72" s="2">
        <v>46269</v>
      </c>
      <c r="AE72" s="2" t="s">
        <v>49</v>
      </c>
      <c r="AF72" s="2" t="s">
        <v>50</v>
      </c>
      <c r="AG72" s="2">
        <v>38782</v>
      </c>
      <c r="AH72" s="2">
        <v>38908</v>
      </c>
      <c r="AI72" s="8">
        <v>447674.44000000006</v>
      </c>
      <c r="AJ72" s="6">
        <v>1</v>
      </c>
      <c r="AK72" s="71" t="str">
        <f t="shared" si="5"/>
        <v>ETPO1</v>
      </c>
    </row>
    <row r="73" spans="2:37" ht="118.95" customHeight="1" x14ac:dyDescent="0.3">
      <c r="B73" s="1">
        <f t="shared" si="4"/>
        <v>189</v>
      </c>
      <c r="C73" cm="1">
        <f t="array" ref="C73">IFERROR(MAX(--_xlfn.TEXTSPLIT(D73,";")),0)</f>
        <v>98</v>
      </c>
      <c r="D73" t="s">
        <v>1800</v>
      </c>
      <c r="E73" s="1" t="s">
        <v>463</v>
      </c>
      <c r="F73" s="1" t="s">
        <v>464</v>
      </c>
      <c r="G73" s="1">
        <v>1</v>
      </c>
      <c r="H73" s="1" t="s">
        <v>465</v>
      </c>
      <c r="I73" s="1" t="s">
        <v>466</v>
      </c>
      <c r="J73" s="1" t="s">
        <v>385</v>
      </c>
      <c r="K73" s="1" t="s">
        <v>112</v>
      </c>
      <c r="L73" s="1" t="s">
        <v>38</v>
      </c>
      <c r="M73" s="1" t="s">
        <v>39</v>
      </c>
      <c r="N73" s="2" t="s">
        <v>40</v>
      </c>
      <c r="O73" s="3">
        <v>989500</v>
      </c>
      <c r="P73" s="3" t="s">
        <v>41</v>
      </c>
      <c r="Q73" s="1" t="s">
        <v>467</v>
      </c>
      <c r="R73" s="1" t="s">
        <v>43</v>
      </c>
      <c r="S73" s="3" t="s">
        <v>123</v>
      </c>
      <c r="T73" s="3" t="s">
        <v>152</v>
      </c>
      <c r="U73" s="2">
        <v>38521</v>
      </c>
      <c r="V73" s="2">
        <v>38695</v>
      </c>
      <c r="W73" s="2">
        <v>38720</v>
      </c>
      <c r="X73" s="2">
        <v>38743</v>
      </c>
      <c r="Y73" s="2">
        <v>38820</v>
      </c>
      <c r="Z73" s="3" t="s">
        <v>468</v>
      </c>
      <c r="AA73" s="3" t="s">
        <v>469</v>
      </c>
      <c r="AB73" s="3" t="s">
        <v>470</v>
      </c>
      <c r="AC73" s="2">
        <v>38820</v>
      </c>
      <c r="AD73" s="2">
        <v>44298</v>
      </c>
      <c r="AE73" s="2" t="s">
        <v>49</v>
      </c>
      <c r="AF73" s="2" t="s">
        <v>50</v>
      </c>
      <c r="AG73" s="2">
        <v>39232</v>
      </c>
      <c r="AH73" s="2">
        <v>39483</v>
      </c>
      <c r="AI73" s="5">
        <v>1584805.25</v>
      </c>
      <c r="AJ73" s="6">
        <v>1</v>
      </c>
      <c r="AK73" s="71" t="str">
        <f t="shared" si="5"/>
        <v>ETTT1</v>
      </c>
    </row>
    <row r="74" spans="2:37" ht="118.95" customHeight="1" x14ac:dyDescent="0.3">
      <c r="B74" s="1">
        <f t="shared" si="4"/>
        <v>189</v>
      </c>
      <c r="C74" cm="1">
        <f t="array" ref="C74">IFERROR(MAX(--_xlfn.TEXTSPLIT(D74,";")),0)</f>
        <v>99</v>
      </c>
      <c r="D74" t="s">
        <v>1801</v>
      </c>
      <c r="E74" s="1" t="s">
        <v>872</v>
      </c>
      <c r="F74" s="1" t="s">
        <v>1864</v>
      </c>
      <c r="G74" s="1">
        <v>1</v>
      </c>
      <c r="H74" s="1" t="s">
        <v>873</v>
      </c>
      <c r="I74" s="1" t="s">
        <v>874</v>
      </c>
      <c r="J74" s="1" t="s">
        <v>535</v>
      </c>
      <c r="K74" s="1" t="s">
        <v>112</v>
      </c>
      <c r="L74" s="1" t="s">
        <v>38</v>
      </c>
      <c r="M74" s="1" t="s">
        <v>39</v>
      </c>
      <c r="N74" s="2" t="s">
        <v>40</v>
      </c>
      <c r="O74" s="3">
        <v>2944034</v>
      </c>
      <c r="P74" s="3" t="s">
        <v>41</v>
      </c>
      <c r="Q74" s="1" t="s">
        <v>875</v>
      </c>
      <c r="R74" s="1" t="s">
        <v>693</v>
      </c>
      <c r="S74" s="3" t="s">
        <v>123</v>
      </c>
      <c r="T74" s="3" t="s">
        <v>301</v>
      </c>
      <c r="U74" s="2">
        <v>43951</v>
      </c>
      <c r="V74" s="2">
        <v>44123</v>
      </c>
      <c r="W74" s="2">
        <v>44145</v>
      </c>
      <c r="X74" s="2">
        <v>44194</v>
      </c>
      <c r="Y74" s="2">
        <v>44282</v>
      </c>
      <c r="Z74" s="3" t="s">
        <v>876</v>
      </c>
      <c r="AA74" s="3" t="s">
        <v>877</v>
      </c>
      <c r="AB74" s="3" t="s">
        <v>878</v>
      </c>
      <c r="AC74" s="2">
        <v>44282</v>
      </c>
      <c r="AD74" s="2">
        <v>51634</v>
      </c>
      <c r="AE74" s="2" t="s">
        <v>106</v>
      </c>
      <c r="AF74" s="2">
        <v>44986</v>
      </c>
      <c r="AG74" s="2" t="s">
        <v>697</v>
      </c>
      <c r="AH74" s="2" t="s">
        <v>697</v>
      </c>
      <c r="AI74" s="5">
        <v>2944034</v>
      </c>
      <c r="AJ74" s="13">
        <v>0.82579999999999998</v>
      </c>
      <c r="AK74" s="71" t="str">
        <f t="shared" si="5"/>
        <v>HBUP1</v>
      </c>
    </row>
    <row r="75" spans="2:37" ht="118.95" customHeight="1" x14ac:dyDescent="0.3">
      <c r="B75" s="1">
        <f t="shared" si="4"/>
        <v>189</v>
      </c>
      <c r="C75" cm="1">
        <f t="array" ref="C75">IFERROR(MAX(--_xlfn.TEXTSPLIT(D75,";")),0)</f>
        <v>100</v>
      </c>
      <c r="D75" t="s">
        <v>1802</v>
      </c>
      <c r="E75" s="1" t="s">
        <v>954</v>
      </c>
      <c r="F75" s="1" t="s">
        <v>955</v>
      </c>
      <c r="G75" s="1">
        <v>1</v>
      </c>
      <c r="H75" s="1" t="s">
        <v>956</v>
      </c>
      <c r="I75" s="1" t="s">
        <v>957</v>
      </c>
      <c r="J75" s="1" t="s">
        <v>535</v>
      </c>
      <c r="K75" s="1" t="s">
        <v>112</v>
      </c>
      <c r="L75" s="1" t="s">
        <v>38</v>
      </c>
      <c r="M75" s="1" t="s">
        <v>39</v>
      </c>
      <c r="N75" s="2" t="s">
        <v>40</v>
      </c>
      <c r="O75" s="3">
        <v>3509321</v>
      </c>
      <c r="P75" s="3" t="s">
        <v>41</v>
      </c>
      <c r="Q75" s="1" t="s">
        <v>958</v>
      </c>
      <c r="R75" s="1" t="s">
        <v>693</v>
      </c>
      <c r="S75" s="3" t="s">
        <v>123</v>
      </c>
      <c r="T75" s="3" t="s">
        <v>301</v>
      </c>
      <c r="U75" s="2">
        <v>44559</v>
      </c>
      <c r="V75" s="2">
        <v>44831</v>
      </c>
      <c r="W75" s="2">
        <v>44852</v>
      </c>
      <c r="X75" s="2">
        <v>44949</v>
      </c>
      <c r="Y75" s="2">
        <v>45070</v>
      </c>
      <c r="Z75" s="3" t="s">
        <v>959</v>
      </c>
      <c r="AA75" s="3" t="s">
        <v>960</v>
      </c>
      <c r="AB75" s="3" t="s">
        <v>961</v>
      </c>
      <c r="AC75" s="2">
        <v>45070</v>
      </c>
      <c r="AD75" s="2">
        <v>53330</v>
      </c>
      <c r="AE75" s="2" t="s">
        <v>106</v>
      </c>
      <c r="AF75" s="2" t="s">
        <v>855</v>
      </c>
      <c r="AG75" s="2" t="s">
        <v>697</v>
      </c>
      <c r="AH75" s="2" t="s">
        <v>697</v>
      </c>
      <c r="AI75" s="5">
        <v>3509321</v>
      </c>
      <c r="AJ75" s="6">
        <v>0</v>
      </c>
      <c r="AK75" s="71" t="str">
        <f t="shared" si="5"/>
        <v>HINN1</v>
      </c>
    </row>
    <row r="76" spans="2:37" ht="118.95" customHeight="1" x14ac:dyDescent="0.3">
      <c r="B76" s="1">
        <f t="shared" si="4"/>
        <v>189</v>
      </c>
      <c r="C76" cm="1">
        <f t="array" ref="C76">IFERROR(MAX(--_xlfn.TEXTSPLIT(D76,";")),0)</f>
        <v>104</v>
      </c>
      <c r="D76" t="s">
        <v>1803</v>
      </c>
      <c r="E76" s="1" t="s">
        <v>879</v>
      </c>
      <c r="F76" s="1" t="s">
        <v>1865</v>
      </c>
      <c r="G76" s="1">
        <v>1</v>
      </c>
      <c r="H76" s="1" t="s">
        <v>880</v>
      </c>
      <c r="I76" s="1" t="s">
        <v>881</v>
      </c>
      <c r="J76" s="1" t="s">
        <v>535</v>
      </c>
      <c r="K76" s="1" t="s">
        <v>55</v>
      </c>
      <c r="L76" s="1" t="s">
        <v>38</v>
      </c>
      <c r="M76" s="1" t="s">
        <v>39</v>
      </c>
      <c r="N76" s="2" t="s">
        <v>40</v>
      </c>
      <c r="O76" s="3">
        <v>7754848</v>
      </c>
      <c r="P76" s="3" t="s">
        <v>41</v>
      </c>
      <c r="Q76" s="1" t="s">
        <v>882</v>
      </c>
      <c r="R76" s="1" t="s">
        <v>693</v>
      </c>
      <c r="S76" s="3" t="s">
        <v>123</v>
      </c>
      <c r="T76" s="3" t="s">
        <v>301</v>
      </c>
      <c r="U76" s="2">
        <v>44064</v>
      </c>
      <c r="V76" s="2">
        <v>44330</v>
      </c>
      <c r="W76" s="2">
        <v>44350</v>
      </c>
      <c r="X76" s="2">
        <v>44454</v>
      </c>
      <c r="Y76" s="2">
        <v>44537</v>
      </c>
      <c r="Z76" s="3" t="s">
        <v>883</v>
      </c>
      <c r="AA76" s="3" t="s">
        <v>884</v>
      </c>
      <c r="AB76" s="3" t="s">
        <v>885</v>
      </c>
      <c r="AC76" s="2">
        <v>44537</v>
      </c>
      <c r="AD76" s="2">
        <v>59147</v>
      </c>
      <c r="AE76" s="2" t="s">
        <v>106</v>
      </c>
      <c r="AF76" s="2">
        <v>45010</v>
      </c>
      <c r="AG76" s="2" t="s">
        <v>697</v>
      </c>
      <c r="AH76" s="2" t="s">
        <v>697</v>
      </c>
      <c r="AI76" s="5">
        <v>7754848</v>
      </c>
      <c r="AJ76" s="6" t="s">
        <v>886</v>
      </c>
      <c r="AK76" s="71" t="str">
        <f t="shared" si="5"/>
        <v>HRBB1</v>
      </c>
    </row>
    <row r="77" spans="2:37" ht="118.95" customHeight="1" x14ac:dyDescent="0.3">
      <c r="B77" s="1">
        <f t="shared" si="4"/>
        <v>189</v>
      </c>
      <c r="C77" cm="1">
        <f t="array" ref="C77">IFERROR(MAX(--_xlfn.TEXTSPLIT(D77,";")),0)</f>
        <v>107</v>
      </c>
      <c r="D77" t="s">
        <v>1804</v>
      </c>
      <c r="E77" s="1" t="s">
        <v>863</v>
      </c>
      <c r="F77" s="1" t="s">
        <v>1866</v>
      </c>
      <c r="G77" s="1">
        <v>1</v>
      </c>
      <c r="H77" s="1" t="s">
        <v>864</v>
      </c>
      <c r="I77" s="1" t="s">
        <v>865</v>
      </c>
      <c r="J77" s="1" t="s">
        <v>535</v>
      </c>
      <c r="K77" s="1" t="s">
        <v>866</v>
      </c>
      <c r="L77" s="1" t="s">
        <v>38</v>
      </c>
      <c r="M77" s="1" t="s">
        <v>39</v>
      </c>
      <c r="N77" s="2" t="s">
        <v>40</v>
      </c>
      <c r="O77" s="3">
        <v>6634394</v>
      </c>
      <c r="P77" s="3" t="s">
        <v>41</v>
      </c>
      <c r="Q77" s="1" t="s">
        <v>867</v>
      </c>
      <c r="R77" s="1" t="s">
        <v>693</v>
      </c>
      <c r="S77" s="3" t="s">
        <v>123</v>
      </c>
      <c r="T77" s="3" t="s">
        <v>301</v>
      </c>
      <c r="U77" s="2">
        <v>43818</v>
      </c>
      <c r="V77" s="2">
        <v>44050</v>
      </c>
      <c r="W77" s="2">
        <v>44070</v>
      </c>
      <c r="X77" s="2">
        <v>44166</v>
      </c>
      <c r="Y77" s="2">
        <v>44282</v>
      </c>
      <c r="Z77" s="3" t="s">
        <v>868</v>
      </c>
      <c r="AA77" s="3" t="s">
        <v>869</v>
      </c>
      <c r="AB77" s="3" t="s">
        <v>870</v>
      </c>
      <c r="AC77" s="2">
        <v>44282</v>
      </c>
      <c r="AD77" s="2">
        <v>51460</v>
      </c>
      <c r="AE77" s="2" t="s">
        <v>106</v>
      </c>
      <c r="AF77" s="2">
        <v>44960</v>
      </c>
      <c r="AG77" s="2" t="s">
        <v>697</v>
      </c>
      <c r="AH77" s="2" t="s">
        <v>697</v>
      </c>
      <c r="AI77" s="5">
        <v>6634394</v>
      </c>
      <c r="AJ77" s="6" t="s">
        <v>871</v>
      </c>
      <c r="AK77" s="71" t="str">
        <f t="shared" si="5"/>
        <v>HRMA1</v>
      </c>
    </row>
    <row r="78" spans="2:37" ht="118.95" customHeight="1" x14ac:dyDescent="0.3">
      <c r="B78" s="1">
        <f t="shared" si="4"/>
        <v>189</v>
      </c>
      <c r="C78" cm="1">
        <f t="array" ref="C78">IFERROR(MAX(--_xlfn.TEXTSPLIT(D78,";")),0)</f>
        <v>109</v>
      </c>
      <c r="D78" t="s">
        <v>1805</v>
      </c>
      <c r="E78" s="1" t="s">
        <v>939</v>
      </c>
      <c r="F78" s="59" t="s">
        <v>1867</v>
      </c>
      <c r="G78" s="1">
        <v>1</v>
      </c>
      <c r="H78" s="1" t="s">
        <v>940</v>
      </c>
      <c r="I78" s="1" t="s">
        <v>941</v>
      </c>
      <c r="J78" s="1" t="s">
        <v>535</v>
      </c>
      <c r="K78" s="1" t="s">
        <v>434</v>
      </c>
      <c r="L78" s="1" t="s">
        <v>38</v>
      </c>
      <c r="M78" s="1" t="s">
        <v>39</v>
      </c>
      <c r="N78" s="2"/>
      <c r="O78" s="3">
        <v>4538569</v>
      </c>
      <c r="P78" s="3" t="s">
        <v>41</v>
      </c>
      <c r="Q78" s="1" t="s">
        <v>942</v>
      </c>
      <c r="R78" s="1" t="s">
        <v>693</v>
      </c>
      <c r="S78" s="3" t="s">
        <v>123</v>
      </c>
      <c r="T78" s="3" t="s">
        <v>301</v>
      </c>
      <c r="U78" s="2">
        <v>44497</v>
      </c>
      <c r="V78" s="2">
        <v>45163</v>
      </c>
      <c r="W78" s="2">
        <v>45184</v>
      </c>
      <c r="X78" s="2">
        <v>45237</v>
      </c>
      <c r="Y78" s="2">
        <v>45373</v>
      </c>
      <c r="Z78" s="3" t="s">
        <v>943</v>
      </c>
      <c r="AA78" s="61" t="s">
        <v>944</v>
      </c>
      <c r="AB78" s="3" t="s">
        <v>945</v>
      </c>
      <c r="AC78" s="2">
        <v>45373</v>
      </c>
      <c r="AD78" s="2">
        <v>52511</v>
      </c>
      <c r="AE78" s="2" t="s">
        <v>106</v>
      </c>
      <c r="AF78" s="2" t="s">
        <v>855</v>
      </c>
      <c r="AG78" s="2" t="s">
        <v>697</v>
      </c>
      <c r="AH78" s="2" t="s">
        <v>697</v>
      </c>
      <c r="AI78" s="5">
        <v>4538569</v>
      </c>
      <c r="AJ78" s="23">
        <v>0</v>
      </c>
      <c r="AK78" s="71" t="str">
        <f t="shared" si="5"/>
        <v>HROG1</v>
      </c>
    </row>
    <row r="79" spans="2:37" ht="118.95" customHeight="1" x14ac:dyDescent="0.3">
      <c r="B79" s="1">
        <f t="shared" si="4"/>
        <v>189</v>
      </c>
      <c r="C79" cm="1">
        <f t="array" ref="C79">IFERROR(MAX(--_xlfn.TEXTSPLIT(D79,";")),0)</f>
        <v>110</v>
      </c>
      <c r="D79" t="s">
        <v>1806</v>
      </c>
      <c r="E79" s="1" t="s">
        <v>917</v>
      </c>
      <c r="F79" s="1" t="s">
        <v>1868</v>
      </c>
      <c r="G79" s="1">
        <v>1</v>
      </c>
      <c r="H79" s="1" t="s">
        <v>918</v>
      </c>
      <c r="I79" s="1" t="s">
        <v>919</v>
      </c>
      <c r="J79" s="1" t="s">
        <v>535</v>
      </c>
      <c r="K79" s="1" t="s">
        <v>175</v>
      </c>
      <c r="L79" s="1" t="s">
        <v>38</v>
      </c>
      <c r="M79" s="1" t="s">
        <v>39</v>
      </c>
      <c r="N79" s="2" t="s">
        <v>40</v>
      </c>
      <c r="O79" s="3">
        <v>6528211</v>
      </c>
      <c r="P79" s="3" t="s">
        <v>41</v>
      </c>
      <c r="Q79" s="1" t="s">
        <v>920</v>
      </c>
      <c r="R79" s="1" t="s">
        <v>693</v>
      </c>
      <c r="S79" s="3" t="s">
        <v>123</v>
      </c>
      <c r="T79" s="3" t="s">
        <v>301</v>
      </c>
      <c r="U79" s="2">
        <v>44338</v>
      </c>
      <c r="V79" s="2">
        <v>44571</v>
      </c>
      <c r="W79" s="2">
        <v>44592</v>
      </c>
      <c r="X79" s="2">
        <v>44683</v>
      </c>
      <c r="Y79" s="2">
        <v>44813</v>
      </c>
      <c r="Z79" s="3" t="s">
        <v>921</v>
      </c>
      <c r="AA79" s="3" t="s">
        <v>922</v>
      </c>
      <c r="AB79" s="3" t="s">
        <v>923</v>
      </c>
      <c r="AC79" s="2">
        <v>44813</v>
      </c>
      <c r="AD79" s="2">
        <v>52417</v>
      </c>
      <c r="AE79" s="2" t="s">
        <v>106</v>
      </c>
      <c r="AF79" s="2">
        <v>45246</v>
      </c>
      <c r="AG79" s="2" t="s">
        <v>697</v>
      </c>
      <c r="AH79" s="2" t="s">
        <v>697</v>
      </c>
      <c r="AI79" s="5">
        <v>6528211</v>
      </c>
      <c r="AJ79" s="13">
        <v>0.2389</v>
      </c>
      <c r="AK79" s="71" t="str">
        <f t="shared" si="5"/>
        <v>HRQQ1</v>
      </c>
    </row>
    <row r="80" spans="2:37" ht="118.95" customHeight="1" x14ac:dyDescent="0.3">
      <c r="B80" s="1">
        <f t="shared" si="4"/>
        <v>189</v>
      </c>
      <c r="C80" cm="1">
        <f t="array" ref="C80">IFERROR(MAX(--_xlfn.TEXTSPLIT(D80,";")),0)</f>
        <v>111</v>
      </c>
      <c r="D80" t="s">
        <v>1807</v>
      </c>
      <c r="E80" s="1" t="s">
        <v>902</v>
      </c>
      <c r="F80" s="1" t="s">
        <v>1869</v>
      </c>
      <c r="G80" s="1">
        <v>1</v>
      </c>
      <c r="H80" s="1" t="s">
        <v>903</v>
      </c>
      <c r="I80" s="1" t="s">
        <v>904</v>
      </c>
      <c r="J80" s="1" t="s">
        <v>535</v>
      </c>
      <c r="K80" s="1" t="s">
        <v>175</v>
      </c>
      <c r="L80" s="1" t="s">
        <v>38</v>
      </c>
      <c r="M80" s="1" t="s">
        <v>39</v>
      </c>
      <c r="N80" s="2" t="s">
        <v>40</v>
      </c>
      <c r="O80" s="3">
        <v>6146350</v>
      </c>
      <c r="P80" s="3" t="s">
        <v>41</v>
      </c>
      <c r="Q80" s="1" t="s">
        <v>905</v>
      </c>
      <c r="R80" s="1" t="s">
        <v>693</v>
      </c>
      <c r="S80" s="3" t="s">
        <v>123</v>
      </c>
      <c r="T80" s="3" t="s">
        <v>301</v>
      </c>
      <c r="U80" s="2">
        <v>44282</v>
      </c>
      <c r="V80" s="2">
        <v>44484</v>
      </c>
      <c r="W80" s="2">
        <v>44505</v>
      </c>
      <c r="X80" s="2">
        <v>44566</v>
      </c>
      <c r="Y80" s="2">
        <v>44609</v>
      </c>
      <c r="Z80" s="3" t="s">
        <v>906</v>
      </c>
      <c r="AA80" s="3" t="s">
        <v>907</v>
      </c>
      <c r="AB80" s="3" t="s">
        <v>908</v>
      </c>
      <c r="AC80" s="2">
        <v>44609</v>
      </c>
      <c r="AD80" s="2">
        <v>52035</v>
      </c>
      <c r="AE80" s="2" t="s">
        <v>106</v>
      </c>
      <c r="AF80" s="2">
        <v>45709</v>
      </c>
      <c r="AG80" s="2" t="s">
        <v>697</v>
      </c>
      <c r="AH80" s="2" t="s">
        <v>697</v>
      </c>
      <c r="AI80" s="5">
        <v>6146350</v>
      </c>
      <c r="AJ80" s="15">
        <v>0.14749999999999999</v>
      </c>
      <c r="AK80" s="71" t="str">
        <f t="shared" si="5"/>
        <v>HRQS1</v>
      </c>
    </row>
    <row r="81" spans="1:37" ht="118.95" customHeight="1" x14ac:dyDescent="0.3">
      <c r="B81" s="1">
        <f t="shared" si="4"/>
        <v>189</v>
      </c>
      <c r="C81" cm="1">
        <f t="array" ref="C81">IFERROR(MAX(--_xlfn.TEXTSPLIT(D81,";")),0)</f>
        <v>115</v>
      </c>
      <c r="D81" t="s">
        <v>1808</v>
      </c>
      <c r="E81" s="1" t="s">
        <v>887</v>
      </c>
      <c r="F81" s="1" t="s">
        <v>1870</v>
      </c>
      <c r="G81" s="1">
        <v>1</v>
      </c>
      <c r="H81" s="1" t="s">
        <v>888</v>
      </c>
      <c r="I81" s="1" t="s">
        <v>889</v>
      </c>
      <c r="J81" s="1" t="s">
        <v>535</v>
      </c>
      <c r="K81" s="1" t="s">
        <v>198</v>
      </c>
      <c r="L81" s="1" t="s">
        <v>38</v>
      </c>
      <c r="M81" s="1" t="s">
        <v>39</v>
      </c>
      <c r="N81" s="2" t="s">
        <v>40</v>
      </c>
      <c r="O81" s="3">
        <v>7092812</v>
      </c>
      <c r="P81" s="3" t="s">
        <v>41</v>
      </c>
      <c r="Q81" s="1" t="s">
        <v>890</v>
      </c>
      <c r="R81" s="1" t="s">
        <v>693</v>
      </c>
      <c r="S81" s="3" t="s">
        <v>123</v>
      </c>
      <c r="T81" s="3" t="s">
        <v>301</v>
      </c>
      <c r="U81" s="2">
        <v>44177</v>
      </c>
      <c r="V81" s="2">
        <v>44452</v>
      </c>
      <c r="W81" s="2">
        <v>44473</v>
      </c>
      <c r="X81" s="2">
        <v>44574</v>
      </c>
      <c r="Y81" s="2">
        <v>44631</v>
      </c>
      <c r="Z81" s="3" t="s">
        <v>891</v>
      </c>
      <c r="AA81" s="3" t="s">
        <v>892</v>
      </c>
      <c r="AB81" s="3" t="s">
        <v>893</v>
      </c>
      <c r="AC81" s="2">
        <v>44631</v>
      </c>
      <c r="AD81" s="2">
        <v>52729</v>
      </c>
      <c r="AE81" s="2" t="s">
        <v>106</v>
      </c>
      <c r="AF81" s="2">
        <v>45264</v>
      </c>
      <c r="AG81" s="2" t="s">
        <v>697</v>
      </c>
      <c r="AH81" s="2" t="s">
        <v>697</v>
      </c>
      <c r="AI81" s="5">
        <v>7092812</v>
      </c>
      <c r="AJ81" s="16" t="s">
        <v>894</v>
      </c>
      <c r="AK81" s="71" t="str">
        <f t="shared" si="5"/>
        <v>HRRL1</v>
      </c>
    </row>
    <row r="82" spans="1:37" ht="118.95" customHeight="1" x14ac:dyDescent="0.3">
      <c r="B82" s="1">
        <f t="shared" si="4"/>
        <v>189</v>
      </c>
      <c r="C82" cm="1">
        <f t="array" ref="C82">IFERROR(MAX(--_xlfn.TEXTSPLIT(D82,";")),0)</f>
        <v>116</v>
      </c>
      <c r="D82" t="s">
        <v>1809</v>
      </c>
      <c r="E82" s="1" t="s">
        <v>650</v>
      </c>
      <c r="F82" s="1" t="s">
        <v>651</v>
      </c>
      <c r="G82" s="1">
        <v>1</v>
      </c>
      <c r="H82" s="1" t="s">
        <v>652</v>
      </c>
      <c r="I82" s="1" t="s">
        <v>653</v>
      </c>
      <c r="J82" s="1" t="s">
        <v>535</v>
      </c>
      <c r="K82" s="1" t="s">
        <v>190</v>
      </c>
      <c r="L82" s="1" t="s">
        <v>38</v>
      </c>
      <c r="M82" s="1" t="s">
        <v>39</v>
      </c>
      <c r="N82" s="2" t="s">
        <v>40</v>
      </c>
      <c r="O82" s="3">
        <v>5300000</v>
      </c>
      <c r="P82" s="3" t="s">
        <v>41</v>
      </c>
      <c r="Q82" s="1" t="s">
        <v>654</v>
      </c>
      <c r="R82" s="1" t="s">
        <v>133</v>
      </c>
      <c r="S82" s="3" t="s">
        <v>123</v>
      </c>
      <c r="T82" s="3" t="s">
        <v>301</v>
      </c>
      <c r="U82" s="2">
        <v>40908</v>
      </c>
      <c r="V82" s="2">
        <v>41183</v>
      </c>
      <c r="W82" s="2">
        <v>41201</v>
      </c>
      <c r="X82" s="2">
        <v>41331</v>
      </c>
      <c r="Y82" s="2">
        <v>41446</v>
      </c>
      <c r="Z82" s="3" t="s">
        <v>655</v>
      </c>
      <c r="AA82" s="3" t="s">
        <v>656</v>
      </c>
      <c r="AB82" s="3" t="s">
        <v>657</v>
      </c>
      <c r="AC82" s="2">
        <v>41446</v>
      </c>
      <c r="AD82" s="2">
        <v>48571</v>
      </c>
      <c r="AE82" s="2" t="s">
        <v>49</v>
      </c>
      <c r="AF82" s="2" t="s">
        <v>50</v>
      </c>
      <c r="AG82" s="2">
        <v>43024</v>
      </c>
      <c r="AH82" s="2">
        <v>43462</v>
      </c>
      <c r="AI82" s="8">
        <v>6438587.2999999998</v>
      </c>
      <c r="AJ82" s="6">
        <v>1</v>
      </c>
      <c r="AK82" s="71" t="str">
        <f t="shared" si="5"/>
        <v>HSAN1</v>
      </c>
    </row>
    <row r="83" spans="1:37" ht="118.95" customHeight="1" x14ac:dyDescent="0.3">
      <c r="B83" s="1">
        <f t="shared" si="4"/>
        <v>189</v>
      </c>
      <c r="C83" cm="1">
        <f t="array" ref="C83">IFERROR(MAX(--_xlfn.TEXTSPLIT(D83,";")),0)</f>
        <v>117</v>
      </c>
      <c r="D83" t="s">
        <v>1810</v>
      </c>
      <c r="E83" s="1" t="s">
        <v>698</v>
      </c>
      <c r="F83" s="1" t="s">
        <v>699</v>
      </c>
      <c r="G83" s="1">
        <v>1</v>
      </c>
      <c r="H83" s="1" t="s">
        <v>700</v>
      </c>
      <c r="I83" s="1" t="s">
        <v>701</v>
      </c>
      <c r="J83" s="1" t="s">
        <v>535</v>
      </c>
      <c r="K83" s="1" t="s">
        <v>112</v>
      </c>
      <c r="L83" s="1" t="s">
        <v>38</v>
      </c>
      <c r="M83" s="1" t="s">
        <v>39</v>
      </c>
      <c r="N83" s="2" t="s">
        <v>40</v>
      </c>
      <c r="O83" s="3">
        <v>5300000</v>
      </c>
      <c r="P83" s="3" t="s">
        <v>41</v>
      </c>
      <c r="Q83" s="1" t="s">
        <v>702</v>
      </c>
      <c r="R83" s="1" t="s">
        <v>133</v>
      </c>
      <c r="S83" s="3" t="s">
        <v>123</v>
      </c>
      <c r="T83" s="3" t="s">
        <v>301</v>
      </c>
      <c r="U83" s="2">
        <v>41592</v>
      </c>
      <c r="V83" s="2">
        <v>41669</v>
      </c>
      <c r="W83" s="2">
        <v>41682</v>
      </c>
      <c r="X83" s="2">
        <v>41697</v>
      </c>
      <c r="Y83" s="2">
        <v>41796</v>
      </c>
      <c r="Z83" s="3" t="s">
        <v>703</v>
      </c>
      <c r="AA83" s="3" t="s">
        <v>704</v>
      </c>
      <c r="AB83" s="3" t="s">
        <v>705</v>
      </c>
      <c r="AC83" s="2">
        <v>41796</v>
      </c>
      <c r="AD83" s="2">
        <v>49631</v>
      </c>
      <c r="AE83" s="2" t="s">
        <v>49</v>
      </c>
      <c r="AF83" s="2">
        <v>41934</v>
      </c>
      <c r="AG83" s="2">
        <v>43914</v>
      </c>
      <c r="AH83" s="2">
        <v>44519</v>
      </c>
      <c r="AI83" s="8">
        <v>5718390.9000000004</v>
      </c>
      <c r="AJ83" s="6">
        <v>1</v>
      </c>
      <c r="AK83" s="71" t="str">
        <f t="shared" si="5"/>
        <v>HSFB1</v>
      </c>
    </row>
    <row r="84" spans="1:37" ht="223.2" customHeight="1" x14ac:dyDescent="0.3">
      <c r="B84" s="1">
        <f t="shared" si="4"/>
        <v>189</v>
      </c>
      <c r="C84" cm="1">
        <f t="array" ref="C84">IFERROR(MAX(--_xlfn.TEXTSPLIT(D84,";")),0)</f>
        <v>119</v>
      </c>
      <c r="D84" t="s">
        <v>1811</v>
      </c>
      <c r="E84" s="1" t="s">
        <v>532</v>
      </c>
      <c r="F84" s="1" t="s">
        <v>533</v>
      </c>
      <c r="G84" s="1">
        <v>1</v>
      </c>
      <c r="H84" s="1" t="s">
        <v>533</v>
      </c>
      <c r="I84" s="1" t="s">
        <v>534</v>
      </c>
      <c r="J84" s="1" t="s">
        <v>535</v>
      </c>
      <c r="K84" s="1" t="s">
        <v>112</v>
      </c>
      <c r="L84" s="1" t="s">
        <v>38</v>
      </c>
      <c r="M84" s="1" t="s">
        <v>39</v>
      </c>
      <c r="N84" s="2" t="s">
        <v>40</v>
      </c>
      <c r="O84" s="3">
        <v>6568000</v>
      </c>
      <c r="P84" s="3" t="s">
        <v>41</v>
      </c>
      <c r="Q84" s="4" t="s">
        <v>536</v>
      </c>
      <c r="R84" s="1" t="s">
        <v>133</v>
      </c>
      <c r="S84" s="3" t="s">
        <v>123</v>
      </c>
      <c r="T84" s="3" t="s">
        <v>301</v>
      </c>
      <c r="U84" s="2">
        <v>39592</v>
      </c>
      <c r="V84" s="2">
        <v>39951</v>
      </c>
      <c r="W84" s="2">
        <v>39976</v>
      </c>
      <c r="X84" s="2">
        <v>40036</v>
      </c>
      <c r="Y84" s="2">
        <v>40122</v>
      </c>
      <c r="Z84" s="3" t="s">
        <v>537</v>
      </c>
      <c r="AA84" s="3" t="s">
        <v>538</v>
      </c>
      <c r="AB84" s="3" t="s">
        <v>539</v>
      </c>
      <c r="AC84" s="2">
        <v>40122</v>
      </c>
      <c r="AD84" s="2">
        <v>47528</v>
      </c>
      <c r="AE84" s="2" t="s">
        <v>49</v>
      </c>
      <c r="AF84" s="2" t="s">
        <v>50</v>
      </c>
      <c r="AG84" s="2">
        <v>41618</v>
      </c>
      <c r="AH84" s="2">
        <v>42048</v>
      </c>
      <c r="AI84" s="8">
        <v>6244764.4299999997</v>
      </c>
      <c r="AJ84" s="6">
        <v>1</v>
      </c>
      <c r="AK84" s="71" t="str">
        <f t="shared" si="5"/>
        <v>HSMF1</v>
      </c>
    </row>
    <row r="85" spans="1:37" ht="118.95" customHeight="1" x14ac:dyDescent="0.3">
      <c r="B85" s="1">
        <f t="shared" si="4"/>
        <v>189</v>
      </c>
      <c r="C85" cm="1">
        <f t="array" ref="C85">IFERROR(MAX(--_xlfn.TEXTSPLIT(D85,";")),0)</f>
        <v>120</v>
      </c>
      <c r="D85" t="s">
        <v>1812</v>
      </c>
      <c r="E85" s="1" t="s">
        <v>688</v>
      </c>
      <c r="F85" s="1" t="s">
        <v>689</v>
      </c>
      <c r="G85" s="1">
        <v>1</v>
      </c>
      <c r="H85" s="1" t="s">
        <v>690</v>
      </c>
      <c r="I85" s="1" t="s">
        <v>691</v>
      </c>
      <c r="J85" s="1" t="s">
        <v>535</v>
      </c>
      <c r="K85" s="1" t="s">
        <v>112</v>
      </c>
      <c r="L85" s="1" t="s">
        <v>38</v>
      </c>
      <c r="M85" s="1" t="s">
        <v>39</v>
      </c>
      <c r="N85" s="2" t="s">
        <v>40</v>
      </c>
      <c r="O85" s="3">
        <v>6714000</v>
      </c>
      <c r="P85" s="3" t="s">
        <v>41</v>
      </c>
      <c r="Q85" s="1" t="s">
        <v>692</v>
      </c>
      <c r="R85" s="1" t="s">
        <v>693</v>
      </c>
      <c r="S85" s="3" t="s">
        <v>123</v>
      </c>
      <c r="T85" s="3" t="s">
        <v>301</v>
      </c>
      <c r="U85" s="2">
        <v>41562</v>
      </c>
      <c r="V85" s="2">
        <v>41659</v>
      </c>
      <c r="W85" s="2">
        <v>41668</v>
      </c>
      <c r="X85" s="2">
        <v>41681</v>
      </c>
      <c r="Y85" s="2">
        <v>41787</v>
      </c>
      <c r="Z85" s="3" t="s">
        <v>694</v>
      </c>
      <c r="AA85" s="3" t="s">
        <v>695</v>
      </c>
      <c r="AB85" s="3" t="s">
        <v>696</v>
      </c>
      <c r="AC85" s="2">
        <v>41787</v>
      </c>
      <c r="AD85" s="2">
        <v>51703</v>
      </c>
      <c r="AE85" s="2" t="s">
        <v>106</v>
      </c>
      <c r="AF85" s="2">
        <v>43431</v>
      </c>
      <c r="AG85" s="2" t="s">
        <v>697</v>
      </c>
      <c r="AH85" s="2" t="s">
        <v>697</v>
      </c>
      <c r="AI85" s="5">
        <v>9755462.5999999996</v>
      </c>
      <c r="AJ85" s="13">
        <v>0.92200000000000004</v>
      </c>
      <c r="AK85" s="71" t="str">
        <f t="shared" si="5"/>
        <v>HSSG1</v>
      </c>
    </row>
    <row r="86" spans="1:37" ht="148.94999999999999" customHeight="1" x14ac:dyDescent="0.3">
      <c r="B86" s="1">
        <f t="shared" si="4"/>
        <v>189</v>
      </c>
      <c r="C86" cm="1">
        <f t="array" ref="C86">IFERROR(MAX(--_xlfn.TEXTSPLIT(D86,";")),0)</f>
        <v>121</v>
      </c>
      <c r="D86" t="s">
        <v>1813</v>
      </c>
      <c r="E86" s="1" t="s">
        <v>932</v>
      </c>
      <c r="F86" s="1" t="s">
        <v>1871</v>
      </c>
      <c r="G86" s="1">
        <v>1</v>
      </c>
      <c r="H86" s="1" t="s">
        <v>933</v>
      </c>
      <c r="I86" s="1" t="s">
        <v>934</v>
      </c>
      <c r="J86" s="1" t="s">
        <v>535</v>
      </c>
      <c r="K86" s="1" t="s">
        <v>112</v>
      </c>
      <c r="L86" s="1" t="s">
        <v>38</v>
      </c>
      <c r="M86" s="1" t="s">
        <v>39</v>
      </c>
      <c r="N86" s="2" t="s">
        <v>40</v>
      </c>
      <c r="O86" s="3">
        <v>4704824</v>
      </c>
      <c r="P86" s="3" t="s">
        <v>41</v>
      </c>
      <c r="Q86" s="1" t="s">
        <v>935</v>
      </c>
      <c r="R86" s="1" t="s">
        <v>693</v>
      </c>
      <c r="S86" s="3" t="s">
        <v>123</v>
      </c>
      <c r="T86" s="3" t="s">
        <v>301</v>
      </c>
      <c r="U86" s="2">
        <v>44490</v>
      </c>
      <c r="V86" s="2">
        <v>44749</v>
      </c>
      <c r="W86" s="2">
        <v>44769</v>
      </c>
      <c r="X86" s="2">
        <v>44861</v>
      </c>
      <c r="Y86" s="2">
        <v>44979</v>
      </c>
      <c r="Z86" s="3" t="s">
        <v>936</v>
      </c>
      <c r="AA86" s="3" t="s">
        <v>937</v>
      </c>
      <c r="AB86" s="3" t="s">
        <v>938</v>
      </c>
      <c r="AC86" s="2">
        <v>44979</v>
      </c>
      <c r="AD86" s="2">
        <v>53223</v>
      </c>
      <c r="AE86" s="2" t="s">
        <v>106</v>
      </c>
      <c r="AF86" s="2" t="s">
        <v>855</v>
      </c>
      <c r="AG86" s="2" t="s">
        <v>697</v>
      </c>
      <c r="AH86" s="2" t="s">
        <v>697</v>
      </c>
      <c r="AI86" s="5">
        <v>4704824</v>
      </c>
      <c r="AJ86" s="6">
        <v>0</v>
      </c>
      <c r="AK86" s="72" t="str">
        <f t="shared" si="5"/>
        <v>INAC1</v>
      </c>
    </row>
    <row r="87" spans="1:37" ht="148.19999999999999" customHeight="1" x14ac:dyDescent="0.3">
      <c r="B87" s="1">
        <f t="shared" si="4"/>
        <v>189</v>
      </c>
      <c r="C87" cm="1">
        <f t="array" ref="C87">IFERROR(MAX(--_xlfn.TEXTSPLIT(D87,";")),0)</f>
        <v>49</v>
      </c>
      <c r="D87" t="s">
        <v>1789</v>
      </c>
      <c r="E87" s="1" t="s">
        <v>824</v>
      </c>
      <c r="F87" s="1" t="s">
        <v>1872</v>
      </c>
      <c r="G87" s="1">
        <v>2</v>
      </c>
      <c r="H87" s="1" t="s">
        <v>825</v>
      </c>
      <c r="I87" s="1" t="s">
        <v>826</v>
      </c>
      <c r="J87" s="1" t="s">
        <v>36</v>
      </c>
      <c r="K87" s="1" t="s">
        <v>175</v>
      </c>
      <c r="L87" s="1" t="s">
        <v>38</v>
      </c>
      <c r="M87" s="1" t="s">
        <v>39</v>
      </c>
      <c r="N87" s="2" t="s">
        <v>40</v>
      </c>
      <c r="O87" s="3">
        <v>12155000</v>
      </c>
      <c r="P87" s="3" t="s">
        <v>41</v>
      </c>
      <c r="Q87" s="1" t="s">
        <v>827</v>
      </c>
      <c r="R87" s="1" t="s">
        <v>662</v>
      </c>
      <c r="S87" s="3" t="s">
        <v>44</v>
      </c>
      <c r="T87" s="3" t="s">
        <v>152</v>
      </c>
      <c r="U87" s="2">
        <v>43232</v>
      </c>
      <c r="V87" s="2">
        <v>43434</v>
      </c>
      <c r="W87" s="2">
        <v>43460</v>
      </c>
      <c r="X87" s="2">
        <v>43585</v>
      </c>
      <c r="Y87" s="2">
        <v>43766</v>
      </c>
      <c r="Z87" s="3" t="s">
        <v>828</v>
      </c>
      <c r="AA87" s="3" t="s">
        <v>829</v>
      </c>
      <c r="AB87" s="3" t="s">
        <v>830</v>
      </c>
      <c r="AC87" s="2">
        <v>43766</v>
      </c>
      <c r="AD87" s="2">
        <v>54723</v>
      </c>
      <c r="AE87" s="2" t="s">
        <v>106</v>
      </c>
      <c r="AF87" s="2">
        <v>45797</v>
      </c>
      <c r="AG87" s="2" t="s">
        <v>697</v>
      </c>
      <c r="AH87" s="2" t="s">
        <v>697</v>
      </c>
      <c r="AI87" s="5">
        <v>12155000</v>
      </c>
      <c r="AJ87" s="6" t="s">
        <v>831</v>
      </c>
      <c r="AK87" s="1" t="str">
        <f t="shared" si="5"/>
        <v>LVLS2</v>
      </c>
    </row>
    <row r="88" spans="1:37" ht="118.95" customHeight="1" x14ac:dyDescent="0.3">
      <c r="A88" t="s">
        <v>1907</v>
      </c>
      <c r="B88" s="1">
        <f t="shared" si="4"/>
        <v>189</v>
      </c>
      <c r="C88" cm="1">
        <f t="array" ref="C88">IFERROR(MAX(--_xlfn.TEXTSPLIT(D88,";")),0)</f>
        <v>122</v>
      </c>
      <c r="D88" t="s">
        <v>1814</v>
      </c>
      <c r="E88" s="1" t="s">
        <v>658</v>
      </c>
      <c r="F88" s="1" t="s">
        <v>1873</v>
      </c>
      <c r="G88" s="1">
        <v>1</v>
      </c>
      <c r="H88" s="1" t="s">
        <v>659</v>
      </c>
      <c r="I88" s="1" t="s">
        <v>660</v>
      </c>
      <c r="J88" s="1" t="s">
        <v>111</v>
      </c>
      <c r="K88" s="1" t="s">
        <v>55</v>
      </c>
      <c r="L88" s="1" t="s">
        <v>38</v>
      </c>
      <c r="M88" s="1" t="s">
        <v>39</v>
      </c>
      <c r="N88" s="2" t="s">
        <v>40</v>
      </c>
      <c r="O88" s="3">
        <v>4420000</v>
      </c>
      <c r="P88" s="3" t="s">
        <v>41</v>
      </c>
      <c r="Q88" s="1" t="s">
        <v>661</v>
      </c>
      <c r="R88" s="1" t="s">
        <v>662</v>
      </c>
      <c r="S88" s="3" t="s">
        <v>44</v>
      </c>
      <c r="T88" s="3" t="s">
        <v>484</v>
      </c>
      <c r="U88" s="2">
        <v>41271</v>
      </c>
      <c r="V88" s="2">
        <v>41593</v>
      </c>
      <c r="W88" s="2">
        <v>41621</v>
      </c>
      <c r="X88" s="2">
        <v>41828</v>
      </c>
      <c r="Y88" s="2">
        <v>41975</v>
      </c>
      <c r="Z88" s="3" t="s">
        <v>663</v>
      </c>
      <c r="AA88" s="3" t="s">
        <v>664</v>
      </c>
      <c r="AB88" s="3" t="s">
        <v>665</v>
      </c>
      <c r="AC88" s="2">
        <v>41975</v>
      </c>
      <c r="AD88" s="2">
        <v>56585</v>
      </c>
      <c r="AE88" s="2" t="s">
        <v>106</v>
      </c>
      <c r="AF88" s="2">
        <v>44378</v>
      </c>
      <c r="AG88" s="2">
        <v>45985</v>
      </c>
      <c r="AH88" s="2" t="s">
        <v>531</v>
      </c>
      <c r="AI88" s="9">
        <v>6057865.2999999998</v>
      </c>
      <c r="AJ88" s="13">
        <v>0.93169999999999997</v>
      </c>
      <c r="AK88" s="71" t="str">
        <f t="shared" si="5"/>
        <v>NPIB1</v>
      </c>
    </row>
    <row r="89" spans="1:37" ht="118.95" customHeight="1" x14ac:dyDescent="0.3">
      <c r="B89" s="1">
        <f t="shared" si="4"/>
        <v>189</v>
      </c>
      <c r="C89" cm="1">
        <f t="array" ref="C89">IFERROR(MAX(--_xlfn.TEXTSPLIT(D89,";")),0)</f>
        <v>123</v>
      </c>
      <c r="D89" t="s">
        <v>1815</v>
      </c>
      <c r="E89" s="20" t="s">
        <v>969</v>
      </c>
      <c r="F89" s="20" t="s">
        <v>970</v>
      </c>
      <c r="G89" s="1">
        <v>1</v>
      </c>
      <c r="H89" s="1" t="s">
        <v>971</v>
      </c>
      <c r="I89" s="1" t="s">
        <v>972</v>
      </c>
      <c r="J89" s="1" t="s">
        <v>111</v>
      </c>
      <c r="K89" s="25" t="s">
        <v>912</v>
      </c>
      <c r="L89" s="1" t="s">
        <v>38</v>
      </c>
      <c r="M89" s="1" t="s">
        <v>66</v>
      </c>
      <c r="N89" s="2">
        <v>42531</v>
      </c>
      <c r="O89" s="26">
        <v>11967720</v>
      </c>
      <c r="P89" s="1" t="s">
        <v>41</v>
      </c>
      <c r="Q89" s="1" t="s">
        <v>973</v>
      </c>
      <c r="R89" s="1" t="s">
        <v>693</v>
      </c>
      <c r="S89" s="3" t="s">
        <v>44</v>
      </c>
      <c r="T89" s="3" t="s">
        <v>152</v>
      </c>
      <c r="U89" s="2">
        <v>44989</v>
      </c>
      <c r="V89" s="2">
        <v>45230</v>
      </c>
      <c r="W89" s="2">
        <v>45260</v>
      </c>
      <c r="X89" s="2">
        <v>45388</v>
      </c>
      <c r="Y89" s="2">
        <v>45447</v>
      </c>
      <c r="Z89" s="3" t="s">
        <v>974</v>
      </c>
      <c r="AA89" s="3" t="s">
        <v>975</v>
      </c>
      <c r="AB89" s="7" t="s">
        <v>976</v>
      </c>
      <c r="AC89" s="2">
        <v>45447</v>
      </c>
      <c r="AD89" s="2">
        <v>62248</v>
      </c>
      <c r="AE89" s="2" t="s">
        <v>106</v>
      </c>
      <c r="AF89" s="1" t="s">
        <v>855</v>
      </c>
      <c r="AG89" s="1" t="s">
        <v>697</v>
      </c>
      <c r="AH89" s="1" t="s">
        <v>697</v>
      </c>
      <c r="AI89" s="66">
        <v>11967720</v>
      </c>
      <c r="AJ89" s="23">
        <v>0</v>
      </c>
      <c r="AK89" s="71" t="str">
        <f t="shared" si="5"/>
        <v>ORSS1</v>
      </c>
    </row>
    <row r="90" spans="1:37" ht="118.95" customHeight="1" x14ac:dyDescent="0.3">
      <c r="B90" s="1">
        <f t="shared" si="4"/>
        <v>189</v>
      </c>
      <c r="C90" cm="1">
        <f t="array" ref="C90">IFERROR(MAX(--_xlfn.TEXTSPLIT(D90,";")),0)</f>
        <v>124</v>
      </c>
      <c r="D90" t="s">
        <v>1816</v>
      </c>
      <c r="E90" s="1" t="s">
        <v>554</v>
      </c>
      <c r="F90" s="47" t="s">
        <v>1008</v>
      </c>
      <c r="G90" s="1">
        <v>1</v>
      </c>
      <c r="H90" s="1" t="s">
        <v>555</v>
      </c>
      <c r="I90" s="1" t="s">
        <v>556</v>
      </c>
      <c r="J90" s="1" t="s">
        <v>64</v>
      </c>
      <c r="K90" s="1" t="s">
        <v>216</v>
      </c>
      <c r="L90" s="1" t="s">
        <v>38</v>
      </c>
      <c r="M90" s="1" t="s">
        <v>39</v>
      </c>
      <c r="N90" s="2" t="s">
        <v>40</v>
      </c>
      <c r="O90" s="3">
        <v>2681000</v>
      </c>
      <c r="P90" s="3" t="s">
        <v>41</v>
      </c>
      <c r="Q90" s="1" t="s">
        <v>557</v>
      </c>
      <c r="R90" s="1" t="s">
        <v>43</v>
      </c>
      <c r="S90" s="3" t="s">
        <v>123</v>
      </c>
      <c r="T90" s="3" t="s">
        <v>301</v>
      </c>
      <c r="U90" s="2">
        <v>39800</v>
      </c>
      <c r="V90" s="2">
        <v>40095</v>
      </c>
      <c r="W90" s="2">
        <v>40147</v>
      </c>
      <c r="X90" s="2">
        <v>40211</v>
      </c>
      <c r="Y90" s="2">
        <v>40285</v>
      </c>
      <c r="Z90" s="3" t="s">
        <v>558</v>
      </c>
      <c r="AA90" s="3" t="s">
        <v>559</v>
      </c>
      <c r="AB90" s="3" t="s">
        <v>560</v>
      </c>
      <c r="AC90" s="2">
        <v>40285</v>
      </c>
      <c r="AD90" s="2">
        <v>45900</v>
      </c>
      <c r="AE90" s="2" t="s">
        <v>49</v>
      </c>
      <c r="AF90" s="2">
        <v>41016</v>
      </c>
      <c r="AG90" s="2">
        <v>41779</v>
      </c>
      <c r="AH90" s="2">
        <v>42025</v>
      </c>
      <c r="AI90" s="5">
        <v>2623962.17</v>
      </c>
      <c r="AJ90" s="6">
        <v>1</v>
      </c>
      <c r="AK90" s="71" t="str">
        <f t="shared" si="5"/>
        <v>NARA1</v>
      </c>
    </row>
    <row r="91" spans="1:37" ht="118.95" customHeight="1" x14ac:dyDescent="0.3">
      <c r="B91" s="1">
        <f t="shared" si="4"/>
        <v>189</v>
      </c>
      <c r="C91" cm="1">
        <f t="array" ref="C91">IFERROR(MAX(--_xlfn.TEXTSPLIT(D91,";")),0)</f>
        <v>124</v>
      </c>
      <c r="D91" t="s">
        <v>1816</v>
      </c>
      <c r="E91" s="46" t="s">
        <v>1007</v>
      </c>
      <c r="F91" s="47" t="s">
        <v>1008</v>
      </c>
      <c r="G91" s="1">
        <v>2</v>
      </c>
      <c r="H91" s="46" t="s">
        <v>1009</v>
      </c>
      <c r="I91" s="1" t="s">
        <v>1010</v>
      </c>
      <c r="J91" s="1" t="s">
        <v>64</v>
      </c>
      <c r="K91" s="1" t="s">
        <v>1011</v>
      </c>
      <c r="L91" s="1" t="s">
        <v>38</v>
      </c>
      <c r="M91" s="1" t="s">
        <v>39</v>
      </c>
      <c r="N91" s="2"/>
      <c r="O91" s="3">
        <v>3070000</v>
      </c>
      <c r="P91" s="1" t="s">
        <v>41</v>
      </c>
      <c r="Q91" s="1" t="s">
        <v>1012</v>
      </c>
      <c r="R91" s="1" t="s">
        <v>662</v>
      </c>
      <c r="S91" s="1" t="s">
        <v>44</v>
      </c>
      <c r="T91" s="1" t="s">
        <v>1013</v>
      </c>
      <c r="U91" s="2">
        <v>45233</v>
      </c>
      <c r="V91" s="2">
        <v>45252</v>
      </c>
      <c r="W91" s="2">
        <v>45646</v>
      </c>
      <c r="X91" s="2">
        <v>45737</v>
      </c>
      <c r="Y91" s="2">
        <v>45888</v>
      </c>
      <c r="Z91" s="1" t="s">
        <v>1014</v>
      </c>
      <c r="AA91" s="1" t="s">
        <v>1015</v>
      </c>
      <c r="AB91" s="1" t="s">
        <v>1016</v>
      </c>
      <c r="AC91" s="2">
        <v>45888</v>
      </c>
      <c r="AD91" s="2">
        <v>55384</v>
      </c>
      <c r="AE91" s="1" t="s">
        <v>106</v>
      </c>
      <c r="AF91" s="1" t="s">
        <v>855</v>
      </c>
      <c r="AG91" s="1" t="s">
        <v>697</v>
      </c>
      <c r="AH91" s="1" t="s">
        <v>697</v>
      </c>
      <c r="AI91" s="49">
        <v>3070000</v>
      </c>
      <c r="AJ91" s="23">
        <v>0</v>
      </c>
      <c r="AK91" s="1" t="str">
        <f t="shared" si="5"/>
        <v>NARA2</v>
      </c>
    </row>
    <row r="92" spans="1:37" ht="118.95" customHeight="1" x14ac:dyDescent="0.3">
      <c r="B92" s="1">
        <f t="shared" si="4"/>
        <v>189</v>
      </c>
      <c r="C92" cm="1">
        <f t="array" ref="C92">IFERROR(MAX(--_xlfn.TEXTSPLIT(D92,";")),0)</f>
        <v>125</v>
      </c>
      <c r="D92" t="s">
        <v>1817</v>
      </c>
      <c r="E92" s="1" t="s">
        <v>547</v>
      </c>
      <c r="F92" s="1" t="s">
        <v>1875</v>
      </c>
      <c r="G92" s="1">
        <v>1</v>
      </c>
      <c r="H92" s="1" t="s">
        <v>548</v>
      </c>
      <c r="I92" s="1" t="s">
        <v>549</v>
      </c>
      <c r="J92" s="1" t="s">
        <v>36</v>
      </c>
      <c r="K92" s="1" t="s">
        <v>75</v>
      </c>
      <c r="L92" s="1" t="s">
        <v>38</v>
      </c>
      <c r="M92" s="1" t="s">
        <v>66</v>
      </c>
      <c r="N92" s="2">
        <v>38427</v>
      </c>
      <c r="O92" s="3">
        <v>4125000</v>
      </c>
      <c r="P92" s="3" t="s">
        <v>41</v>
      </c>
      <c r="Q92" s="1" t="s">
        <v>550</v>
      </c>
      <c r="R92" s="1" t="s">
        <v>133</v>
      </c>
      <c r="S92" s="3" t="s">
        <v>44</v>
      </c>
      <c r="T92" s="3" t="s">
        <v>484</v>
      </c>
      <c r="U92" s="2">
        <v>39781</v>
      </c>
      <c r="V92" s="2">
        <v>40115</v>
      </c>
      <c r="W92" s="2">
        <v>40142</v>
      </c>
      <c r="X92" s="2">
        <v>40219</v>
      </c>
      <c r="Y92" s="2">
        <v>40302</v>
      </c>
      <c r="Z92" s="3" t="s">
        <v>551</v>
      </c>
      <c r="AA92" s="3" t="s">
        <v>552</v>
      </c>
      <c r="AB92" s="3" t="s">
        <v>553</v>
      </c>
      <c r="AC92" s="2">
        <v>40302</v>
      </c>
      <c r="AD92" s="2">
        <v>55096</v>
      </c>
      <c r="AE92" s="2" t="s">
        <v>106</v>
      </c>
      <c r="AF92" s="2" t="s">
        <v>50</v>
      </c>
      <c r="AG92" s="2">
        <v>41810</v>
      </c>
      <c r="AH92" s="2">
        <v>41954</v>
      </c>
      <c r="AI92" s="8">
        <v>5248461.3500000006</v>
      </c>
      <c r="AJ92" s="6">
        <v>1</v>
      </c>
      <c r="AK92" s="71" t="str">
        <f t="shared" si="5"/>
        <v>PMPA1</v>
      </c>
    </row>
    <row r="93" spans="1:37" ht="118.95" customHeight="1" x14ac:dyDescent="0.3">
      <c r="B93" s="1">
        <f t="shared" si="4"/>
        <v>189</v>
      </c>
      <c r="C93" cm="1">
        <f t="array" ref="C93">IFERROR(MAX(--_xlfn.TEXTSPLIT(D93,";")),0)</f>
        <v>126</v>
      </c>
      <c r="D93" t="s">
        <v>1818</v>
      </c>
      <c r="E93" s="1" t="s">
        <v>195</v>
      </c>
      <c r="F93" s="1" t="s">
        <v>1874</v>
      </c>
      <c r="G93" s="1">
        <v>1</v>
      </c>
      <c r="H93" s="1" t="s">
        <v>196</v>
      </c>
      <c r="I93" s="1" t="s">
        <v>197</v>
      </c>
      <c r="J93" s="1" t="s">
        <v>36</v>
      </c>
      <c r="K93" s="1" t="s">
        <v>198</v>
      </c>
      <c r="L93" s="1" t="s">
        <v>38</v>
      </c>
      <c r="M93" s="1" t="s">
        <v>39</v>
      </c>
      <c r="N93" s="2" t="s">
        <v>40</v>
      </c>
      <c r="O93" s="3">
        <v>5782000</v>
      </c>
      <c r="P93" s="3" t="s">
        <v>41</v>
      </c>
      <c r="Q93" s="1" t="s">
        <v>199</v>
      </c>
      <c r="R93" s="1" t="s">
        <v>133</v>
      </c>
      <c r="S93" s="3" t="s">
        <v>123</v>
      </c>
      <c r="T93" s="3" t="s">
        <v>200</v>
      </c>
      <c r="U93" s="2">
        <v>35593</v>
      </c>
      <c r="V93" s="2">
        <v>35626</v>
      </c>
      <c r="W93" s="2">
        <v>35647</v>
      </c>
      <c r="X93" s="2">
        <v>35748</v>
      </c>
      <c r="Y93" s="2">
        <v>35808</v>
      </c>
      <c r="Z93" s="3" t="s">
        <v>201</v>
      </c>
      <c r="AA93" s="3" t="s">
        <v>202</v>
      </c>
      <c r="AB93" s="3" t="s">
        <v>203</v>
      </c>
      <c r="AC93" s="2">
        <v>36058</v>
      </c>
      <c r="AD93" s="2">
        <v>46203</v>
      </c>
      <c r="AE93" s="2" t="s">
        <v>49</v>
      </c>
      <c r="AF93" s="2" t="s">
        <v>50</v>
      </c>
      <c r="AG93" s="2">
        <v>37194</v>
      </c>
      <c r="AH93" s="2">
        <v>37522</v>
      </c>
      <c r="AI93" s="9">
        <v>9212080.3000000007</v>
      </c>
      <c r="AJ93" s="6">
        <v>1</v>
      </c>
      <c r="AK93" s="72" t="str">
        <f t="shared" si="5"/>
        <v>RBPM1</v>
      </c>
    </row>
    <row r="94" spans="1:37" ht="118.95" customHeight="1" x14ac:dyDescent="0.3">
      <c r="B94" s="1">
        <f t="shared" si="4"/>
        <v>189</v>
      </c>
      <c r="C94" cm="1">
        <f t="array" ref="C94">IFERROR(MAX(--_xlfn.TEXTSPLIT(D94,";")),0)</f>
        <v>126</v>
      </c>
      <c r="D94" t="s">
        <v>1818</v>
      </c>
      <c r="E94" s="73" t="s">
        <v>1745</v>
      </c>
      <c r="F94" s="1" t="s">
        <v>1874</v>
      </c>
      <c r="G94" s="59"/>
      <c r="H94" s="62" t="s">
        <v>1737</v>
      </c>
      <c r="I94" s="59"/>
      <c r="J94" s="59" t="s">
        <v>36</v>
      </c>
      <c r="K94" s="1" t="s">
        <v>198</v>
      </c>
      <c r="L94" s="59"/>
      <c r="M94" s="59"/>
      <c r="N94" s="60"/>
      <c r="O94" s="61"/>
      <c r="P94" s="59"/>
      <c r="Q94" s="59"/>
      <c r="R94" s="59" t="s">
        <v>662</v>
      </c>
      <c r="S94" s="59"/>
      <c r="T94" s="59"/>
      <c r="U94" s="60"/>
      <c r="V94" s="60"/>
      <c r="W94" s="60"/>
      <c r="X94" s="60"/>
      <c r="Y94" s="60"/>
      <c r="Z94" s="59"/>
      <c r="AA94" s="59"/>
      <c r="AB94" s="59"/>
      <c r="AC94" s="60"/>
      <c r="AD94" s="60"/>
      <c r="AE94" s="59"/>
      <c r="AF94" s="59"/>
      <c r="AG94" s="59"/>
      <c r="AH94" s="59"/>
      <c r="AI94" s="22"/>
      <c r="AJ94" s="23"/>
      <c r="AK94" s="1" t="str">
        <f t="shared" si="5"/>
        <v>RBPM2</v>
      </c>
    </row>
    <row r="95" spans="1:37" ht="118.95" customHeight="1" x14ac:dyDescent="0.3">
      <c r="B95" s="1">
        <f t="shared" si="4"/>
        <v>189</v>
      </c>
      <c r="C95" cm="1">
        <f t="array" ref="C95">IFERROR(MAX(--_xlfn.TEXTSPLIT(D95,";")),0)</f>
        <v>175</v>
      </c>
      <c r="D95" t="s">
        <v>1819</v>
      </c>
      <c r="E95" s="1" t="s">
        <v>414</v>
      </c>
      <c r="F95" s="1" t="s">
        <v>415</v>
      </c>
      <c r="G95" s="1">
        <v>1</v>
      </c>
      <c r="H95" s="1" t="s">
        <v>416</v>
      </c>
      <c r="I95" s="1" t="s">
        <v>417</v>
      </c>
      <c r="J95" s="1" t="s">
        <v>385</v>
      </c>
      <c r="K95" s="1" t="s">
        <v>112</v>
      </c>
      <c r="L95" s="1" t="s">
        <v>38</v>
      </c>
      <c r="M95" s="1" t="s">
        <v>39</v>
      </c>
      <c r="N95" s="2" t="s">
        <v>40</v>
      </c>
      <c r="O95" s="3">
        <v>520628</v>
      </c>
      <c r="P95" s="3" t="s">
        <v>41</v>
      </c>
      <c r="Q95" s="1" t="s">
        <v>418</v>
      </c>
      <c r="R95" s="1" t="s">
        <v>133</v>
      </c>
      <c r="S95" s="3" t="s">
        <v>44</v>
      </c>
      <c r="T95" s="3" t="s">
        <v>301</v>
      </c>
      <c r="U95" s="2">
        <v>37903</v>
      </c>
      <c r="V95" s="2">
        <v>38048</v>
      </c>
      <c r="W95" s="2">
        <v>38071</v>
      </c>
      <c r="X95" s="2">
        <v>38096</v>
      </c>
      <c r="Y95" s="2">
        <v>38126</v>
      </c>
      <c r="Z95" s="3" t="s">
        <v>419</v>
      </c>
      <c r="AA95" s="3" t="s">
        <v>420</v>
      </c>
      <c r="AB95" s="3" t="s">
        <v>421</v>
      </c>
      <c r="AC95" s="2">
        <v>38126</v>
      </c>
      <c r="AD95" s="2">
        <v>49082</v>
      </c>
      <c r="AE95" s="2" t="s">
        <v>49</v>
      </c>
      <c r="AF95" s="2" t="s">
        <v>50</v>
      </c>
      <c r="AG95" s="2">
        <v>38674</v>
      </c>
      <c r="AH95" s="2">
        <v>38713</v>
      </c>
      <c r="AI95" s="8">
        <v>591239.70000000007</v>
      </c>
      <c r="AJ95" s="6">
        <v>1</v>
      </c>
      <c r="AK95" s="1" t="str">
        <f t="shared" si="5"/>
        <v>PCIS1</v>
      </c>
    </row>
    <row r="96" spans="1:37" ht="118.95" customHeight="1" x14ac:dyDescent="0.3">
      <c r="B96" s="1">
        <f t="shared" si="4"/>
        <v>189</v>
      </c>
      <c r="C96" cm="1">
        <f t="array" ref="C96">IFERROR(MAX(--_xlfn.TEXTSPLIT(D96,";")),0)</f>
        <v>128</v>
      </c>
      <c r="D96" t="s">
        <v>1820</v>
      </c>
      <c r="E96" s="1" t="s">
        <v>324</v>
      </c>
      <c r="F96" s="1" t="s">
        <v>325</v>
      </c>
      <c r="G96" s="1">
        <v>1</v>
      </c>
      <c r="H96" s="1" t="s">
        <v>326</v>
      </c>
      <c r="I96" s="1" t="s">
        <v>327</v>
      </c>
      <c r="J96" s="1" t="s">
        <v>36</v>
      </c>
      <c r="K96" s="1" t="s">
        <v>55</v>
      </c>
      <c r="L96" s="1" t="s">
        <v>38</v>
      </c>
      <c r="M96" s="1" t="s">
        <v>66</v>
      </c>
      <c r="N96" s="2" t="s">
        <v>40</v>
      </c>
      <c r="O96" s="3">
        <v>648250</v>
      </c>
      <c r="P96" s="3" t="s">
        <v>41</v>
      </c>
      <c r="Q96" s="1" t="s">
        <v>328</v>
      </c>
      <c r="R96" s="1" t="s">
        <v>133</v>
      </c>
      <c r="S96" s="3" t="s">
        <v>44</v>
      </c>
      <c r="T96" s="3" t="s">
        <v>329</v>
      </c>
      <c r="U96" s="2">
        <v>37120</v>
      </c>
      <c r="V96" s="2">
        <v>37231</v>
      </c>
      <c r="W96" s="2">
        <v>37253</v>
      </c>
      <c r="X96" s="2">
        <v>37287</v>
      </c>
      <c r="Y96" s="2">
        <v>37366</v>
      </c>
      <c r="Z96" s="3" t="s">
        <v>330</v>
      </c>
      <c r="AA96" s="3" t="s">
        <v>331</v>
      </c>
      <c r="AB96" s="3" t="s">
        <v>332</v>
      </c>
      <c r="AC96" s="2">
        <v>37366</v>
      </c>
      <c r="AD96" s="2">
        <v>48871</v>
      </c>
      <c r="AE96" s="2" t="s">
        <v>49</v>
      </c>
      <c r="AF96" s="2" t="s">
        <v>50</v>
      </c>
      <c r="AG96" s="2">
        <v>38499</v>
      </c>
      <c r="AH96" s="2">
        <v>38712</v>
      </c>
      <c r="AI96" s="8">
        <v>946633.08000000007</v>
      </c>
      <c r="AJ96" s="6">
        <v>1</v>
      </c>
      <c r="AK96" s="1" t="str">
        <f t="shared" si="5"/>
        <v>RITP1</v>
      </c>
    </row>
    <row r="97" spans="2:37" ht="187.2" x14ac:dyDescent="0.3">
      <c r="B97" s="1">
        <f t="shared" si="4"/>
        <v>189</v>
      </c>
      <c r="C97" cm="1">
        <f t="array" ref="C97">IFERROR(MAX(--_xlfn.TEXTSPLIT(D97,";")),0)</f>
        <v>178</v>
      </c>
      <c r="D97" t="s">
        <v>1821</v>
      </c>
      <c r="E97" s="1" t="s">
        <v>305</v>
      </c>
      <c r="F97" s="1" t="s">
        <v>306</v>
      </c>
      <c r="G97" s="1">
        <v>1</v>
      </c>
      <c r="H97" s="1" t="s">
        <v>307</v>
      </c>
      <c r="I97" s="1" t="s">
        <v>308</v>
      </c>
      <c r="J97" s="1" t="s">
        <v>309</v>
      </c>
      <c r="K97" s="1" t="s">
        <v>310</v>
      </c>
      <c r="L97" s="1" t="s">
        <v>38</v>
      </c>
      <c r="M97" s="1" t="s">
        <v>39</v>
      </c>
      <c r="N97" s="2" t="s">
        <v>40</v>
      </c>
      <c r="O97" s="3">
        <v>2800000</v>
      </c>
      <c r="P97" s="3" t="s">
        <v>41</v>
      </c>
      <c r="Q97" s="1" t="s">
        <v>311</v>
      </c>
      <c r="R97" s="1" t="s">
        <v>133</v>
      </c>
      <c r="S97" s="3" t="s">
        <v>123</v>
      </c>
      <c r="T97" s="3" t="s">
        <v>312</v>
      </c>
      <c r="U97" s="2">
        <v>36975</v>
      </c>
      <c r="V97" s="2">
        <v>37181</v>
      </c>
      <c r="W97" s="2">
        <v>37229</v>
      </c>
      <c r="X97" s="2">
        <v>37343</v>
      </c>
      <c r="Y97" s="2">
        <v>37422</v>
      </c>
      <c r="Z97" s="3" t="s">
        <v>313</v>
      </c>
      <c r="AA97" s="3" t="s">
        <v>314</v>
      </c>
      <c r="AB97" s="3" t="s">
        <v>315</v>
      </c>
      <c r="AC97" s="2">
        <v>37422</v>
      </c>
      <c r="AD97" s="2">
        <v>46752</v>
      </c>
      <c r="AE97" s="2" t="s">
        <v>49</v>
      </c>
      <c r="AF97" s="2" t="s">
        <v>50</v>
      </c>
      <c r="AG97" s="2">
        <v>38637</v>
      </c>
      <c r="AH97" s="2">
        <v>38741</v>
      </c>
      <c r="AI97" s="5">
        <v>5723554.5199999996</v>
      </c>
      <c r="AJ97" s="6">
        <v>1</v>
      </c>
      <c r="AK97" s="71" t="str">
        <f t="shared" si="5"/>
        <v>PP1G1</v>
      </c>
    </row>
    <row r="98" spans="2:37" ht="118.95" customHeight="1" x14ac:dyDescent="0.3">
      <c r="B98" s="1">
        <f t="shared" ref="B98:B128" si="6">MAX($C$2:$C$128)</f>
        <v>189</v>
      </c>
      <c r="C98" cm="1">
        <f t="array" ref="C98">IFERROR(MAX(--_xlfn.TEXTSPLIT(D98,";")),0)</f>
        <v>181</v>
      </c>
      <c r="D98" t="s">
        <v>1822</v>
      </c>
      <c r="E98" s="1" t="s">
        <v>349</v>
      </c>
      <c r="F98" s="1" t="s">
        <v>350</v>
      </c>
      <c r="G98" s="1">
        <v>1</v>
      </c>
      <c r="H98" s="1" t="s">
        <v>351</v>
      </c>
      <c r="I98" s="1" t="s">
        <v>352</v>
      </c>
      <c r="J98" s="1" t="s">
        <v>309</v>
      </c>
      <c r="K98" s="1" t="s">
        <v>353</v>
      </c>
      <c r="L98" s="1" t="s">
        <v>38</v>
      </c>
      <c r="M98" s="1" t="s">
        <v>39</v>
      </c>
      <c r="N98" s="2" t="s">
        <v>40</v>
      </c>
      <c r="O98" s="3">
        <v>1800000</v>
      </c>
      <c r="P98" s="3" t="s">
        <v>41</v>
      </c>
      <c r="Q98" s="1" t="s">
        <v>264</v>
      </c>
      <c r="R98" s="1" t="s">
        <v>43</v>
      </c>
      <c r="S98" s="3" t="s">
        <v>123</v>
      </c>
      <c r="T98" s="3" t="s">
        <v>312</v>
      </c>
      <c r="U98" s="2">
        <v>37185</v>
      </c>
      <c r="V98" s="2">
        <v>37425</v>
      </c>
      <c r="W98" s="2">
        <v>37468</v>
      </c>
      <c r="X98" s="2">
        <v>37596</v>
      </c>
      <c r="Y98" s="2">
        <v>37686</v>
      </c>
      <c r="Z98" s="3" t="s">
        <v>354</v>
      </c>
      <c r="AA98" s="3" t="s">
        <v>355</v>
      </c>
      <c r="AB98" s="3" t="s">
        <v>356</v>
      </c>
      <c r="AC98" s="2">
        <v>37686</v>
      </c>
      <c r="AD98" s="2">
        <v>38960</v>
      </c>
      <c r="AE98" s="2" t="s">
        <v>49</v>
      </c>
      <c r="AF98" s="2" t="s">
        <v>269</v>
      </c>
      <c r="AG98" s="2" t="s">
        <v>269</v>
      </c>
      <c r="AH98" s="2" t="s">
        <v>269</v>
      </c>
      <c r="AI98" s="5">
        <v>1328957.22</v>
      </c>
      <c r="AJ98" s="6">
        <v>0</v>
      </c>
      <c r="AK98" s="71" t="str">
        <f t="shared" ref="AK98:AK128" si="7">MID(E98,5,LEN(E98)-4)</f>
        <v>PP2G1</v>
      </c>
    </row>
    <row r="99" spans="2:37" ht="118.95" customHeight="1" x14ac:dyDescent="0.3">
      <c r="B99" s="1">
        <f t="shared" si="6"/>
        <v>189</v>
      </c>
      <c r="C99" cm="1">
        <f t="array" ref="C99">IFERROR(MAX(--_xlfn.TEXTSPLIT(D99,";")),0)</f>
        <v>181</v>
      </c>
      <c r="D99" t="s">
        <v>1822</v>
      </c>
      <c r="E99" s="1" t="s">
        <v>569</v>
      </c>
      <c r="F99" s="1" t="s">
        <v>350</v>
      </c>
      <c r="G99" s="1">
        <v>2</v>
      </c>
      <c r="H99" s="1" t="s">
        <v>570</v>
      </c>
      <c r="I99" s="1" t="s">
        <v>571</v>
      </c>
      <c r="J99" s="1" t="s">
        <v>309</v>
      </c>
      <c r="K99" s="1" t="s">
        <v>353</v>
      </c>
      <c r="L99" s="1" t="s">
        <v>38</v>
      </c>
      <c r="M99" s="1" t="s">
        <v>39</v>
      </c>
      <c r="N99" s="2" t="s">
        <v>40</v>
      </c>
      <c r="O99" s="3">
        <v>400000</v>
      </c>
      <c r="P99" s="3" t="s">
        <v>41</v>
      </c>
      <c r="Q99" s="1" t="s">
        <v>572</v>
      </c>
      <c r="R99" s="1" t="s">
        <v>133</v>
      </c>
      <c r="S99" s="3" t="s">
        <v>123</v>
      </c>
      <c r="T99" s="3" t="s">
        <v>301</v>
      </c>
      <c r="U99" s="2">
        <v>39909</v>
      </c>
      <c r="V99" s="2">
        <v>40170</v>
      </c>
      <c r="W99" s="2">
        <v>40192</v>
      </c>
      <c r="X99" s="2">
        <v>40211</v>
      </c>
      <c r="Y99" s="2">
        <v>40285</v>
      </c>
      <c r="Z99" s="3" t="s">
        <v>573</v>
      </c>
      <c r="AA99" s="3" t="s">
        <v>574</v>
      </c>
      <c r="AB99" s="3" t="s">
        <v>575</v>
      </c>
      <c r="AC99" s="2">
        <v>40285</v>
      </c>
      <c r="AD99" s="2">
        <v>46979</v>
      </c>
      <c r="AE99" s="2" t="s">
        <v>49</v>
      </c>
      <c r="AF99" s="2" t="s">
        <v>50</v>
      </c>
      <c r="AG99" s="2" t="s">
        <v>576</v>
      </c>
      <c r="AH99" s="2">
        <v>41500</v>
      </c>
      <c r="AI99" s="12">
        <v>478814.1</v>
      </c>
      <c r="AJ99" s="6">
        <v>1</v>
      </c>
      <c r="AK99" s="71" t="str">
        <f t="shared" si="7"/>
        <v>PP2G2</v>
      </c>
    </row>
    <row r="100" spans="2:37" ht="118.95" customHeight="1" x14ac:dyDescent="0.3">
      <c r="B100" s="1">
        <f t="shared" si="6"/>
        <v>189</v>
      </c>
      <c r="C100" cm="1">
        <f t="array" ref="C100">IFERROR(MAX(--_xlfn.TEXTSPLIT(D100,";")),0)</f>
        <v>184</v>
      </c>
      <c r="D100" t="s">
        <v>1823</v>
      </c>
      <c r="E100" s="1" t="s">
        <v>372</v>
      </c>
      <c r="F100" s="1" t="s">
        <v>1876</v>
      </c>
      <c r="G100" s="1">
        <v>1</v>
      </c>
      <c r="H100" s="1" t="s">
        <v>373</v>
      </c>
      <c r="I100" s="1" t="s">
        <v>374</v>
      </c>
      <c r="J100" s="1" t="s">
        <v>309</v>
      </c>
      <c r="K100" s="1" t="s">
        <v>375</v>
      </c>
      <c r="L100" s="1" t="s">
        <v>38</v>
      </c>
      <c r="M100" s="1" t="s">
        <v>39</v>
      </c>
      <c r="N100" s="2" t="s">
        <v>40</v>
      </c>
      <c r="O100" s="3">
        <v>2750000</v>
      </c>
      <c r="P100" s="3" t="s">
        <v>41</v>
      </c>
      <c r="Q100" s="1" t="s">
        <v>376</v>
      </c>
      <c r="R100" s="1" t="s">
        <v>133</v>
      </c>
      <c r="S100" s="3" t="s">
        <v>123</v>
      </c>
      <c r="T100" s="3" t="s">
        <v>312</v>
      </c>
      <c r="U100" s="2">
        <v>37632</v>
      </c>
      <c r="V100" s="2">
        <v>37973</v>
      </c>
      <c r="W100" s="2">
        <v>37985</v>
      </c>
      <c r="X100" s="2">
        <v>38023</v>
      </c>
      <c r="Y100" s="2">
        <v>38079</v>
      </c>
      <c r="Z100" s="3" t="s">
        <v>377</v>
      </c>
      <c r="AA100" s="3" t="s">
        <v>378</v>
      </c>
      <c r="AB100" s="3" t="s">
        <v>379</v>
      </c>
      <c r="AC100" s="2">
        <v>38079</v>
      </c>
      <c r="AD100" s="2">
        <v>46699</v>
      </c>
      <c r="AE100" s="2" t="s">
        <v>49</v>
      </c>
      <c r="AF100" s="2" t="s">
        <v>50</v>
      </c>
      <c r="AG100" s="2" t="s">
        <v>380</v>
      </c>
      <c r="AH100" s="2">
        <v>39394</v>
      </c>
      <c r="AI100" s="5">
        <v>4410508.8400000008</v>
      </c>
      <c r="AJ100" s="6">
        <v>1</v>
      </c>
      <c r="AK100" s="71" t="str">
        <f t="shared" si="7"/>
        <v>PP3G1</v>
      </c>
    </row>
    <row r="101" spans="2:37" ht="168.6" customHeight="1" x14ac:dyDescent="0.3">
      <c r="B101" s="1">
        <f t="shared" si="6"/>
        <v>189</v>
      </c>
      <c r="C101" cm="1">
        <f t="array" ref="C101">IFERROR(MAX(--_xlfn.TEXTSPLIT(D101,";")),0)</f>
        <v>185</v>
      </c>
      <c r="D101" t="s">
        <v>1824</v>
      </c>
      <c r="E101" s="1" t="s">
        <v>999</v>
      </c>
      <c r="F101" s="1" t="s">
        <v>1000</v>
      </c>
      <c r="G101" s="1">
        <v>1</v>
      </c>
      <c r="H101" s="1" t="s">
        <v>1001</v>
      </c>
      <c r="I101" s="1" t="s">
        <v>1002</v>
      </c>
      <c r="J101" s="1" t="s">
        <v>309</v>
      </c>
      <c r="K101" s="1" t="s">
        <v>866</v>
      </c>
      <c r="L101" s="1" t="s">
        <v>38</v>
      </c>
      <c r="M101" s="1" t="s">
        <v>39</v>
      </c>
      <c r="N101" s="2"/>
      <c r="O101" s="26">
        <v>1400000</v>
      </c>
      <c r="P101" s="1" t="s">
        <v>41</v>
      </c>
      <c r="Q101" s="1" t="s">
        <v>1003</v>
      </c>
      <c r="R101" s="1" t="s">
        <v>133</v>
      </c>
      <c r="S101" s="3" t="s">
        <v>44</v>
      </c>
      <c r="T101" s="3" t="s">
        <v>301</v>
      </c>
      <c r="U101" s="2">
        <v>45304</v>
      </c>
      <c r="V101" s="2">
        <v>45498</v>
      </c>
      <c r="W101" s="2">
        <v>45524</v>
      </c>
      <c r="X101" s="2">
        <v>45561</v>
      </c>
      <c r="Y101" s="2">
        <v>45600</v>
      </c>
      <c r="Z101" s="1" t="s">
        <v>1004</v>
      </c>
      <c r="AA101" s="1" t="s">
        <v>1005</v>
      </c>
      <c r="AB101" s="3" t="s">
        <v>1006</v>
      </c>
      <c r="AC101" s="2">
        <v>45600</v>
      </c>
      <c r="AD101" s="2">
        <v>51703</v>
      </c>
      <c r="AE101" s="2" t="s">
        <v>106</v>
      </c>
      <c r="AF101" s="1" t="s">
        <v>269</v>
      </c>
      <c r="AG101" s="1" t="s">
        <v>269</v>
      </c>
      <c r="AH101" s="1" t="s">
        <v>269</v>
      </c>
      <c r="AI101" s="22">
        <v>1400000</v>
      </c>
      <c r="AJ101" s="23" t="s">
        <v>269</v>
      </c>
      <c r="AK101" s="71" t="str">
        <f t="shared" si="7"/>
        <v>PP4T1</v>
      </c>
    </row>
    <row r="102" spans="2:37" ht="131.4" customHeight="1" x14ac:dyDescent="0.3">
      <c r="B102" s="1">
        <f t="shared" si="6"/>
        <v>189</v>
      </c>
      <c r="C102" cm="1">
        <f t="array" ref="C102">IFERROR(MAX(--_xlfn.TEXTSPLIT(D102,";")),0)</f>
        <v>186</v>
      </c>
      <c r="D102" t="s">
        <v>1825</v>
      </c>
      <c r="E102" s="1" t="s">
        <v>439</v>
      </c>
      <c r="F102" s="1" t="s">
        <v>440</v>
      </c>
      <c r="G102" s="1">
        <v>1</v>
      </c>
      <c r="H102" s="1" t="s">
        <v>441</v>
      </c>
      <c r="I102" s="1" t="s">
        <v>442</v>
      </c>
      <c r="J102" s="1" t="s">
        <v>385</v>
      </c>
      <c r="K102" s="1" t="s">
        <v>37</v>
      </c>
      <c r="L102" s="1" t="s">
        <v>38</v>
      </c>
      <c r="M102" s="1" t="s">
        <v>39</v>
      </c>
      <c r="N102" s="2" t="s">
        <v>40</v>
      </c>
      <c r="O102" s="3">
        <v>390562</v>
      </c>
      <c r="P102" s="3" t="s">
        <v>41</v>
      </c>
      <c r="Q102" s="1" t="s">
        <v>443</v>
      </c>
      <c r="R102" s="1" t="s">
        <v>133</v>
      </c>
      <c r="S102" s="3" t="s">
        <v>44</v>
      </c>
      <c r="T102" s="3" t="s">
        <v>114</v>
      </c>
      <c r="U102" s="2">
        <v>38055</v>
      </c>
      <c r="V102" s="2">
        <v>38245</v>
      </c>
      <c r="W102" s="2">
        <v>38274</v>
      </c>
      <c r="X102" s="2">
        <v>38321</v>
      </c>
      <c r="Y102" s="2">
        <v>38406</v>
      </c>
      <c r="Z102" s="3" t="s">
        <v>444</v>
      </c>
      <c r="AA102" s="3" t="s">
        <v>445</v>
      </c>
      <c r="AB102" s="3" t="s">
        <v>446</v>
      </c>
      <c r="AC102" s="2">
        <v>38406</v>
      </c>
      <c r="AD102" s="2">
        <v>46996</v>
      </c>
      <c r="AE102" s="2" t="s">
        <v>49</v>
      </c>
      <c r="AF102" s="2" t="s">
        <v>50</v>
      </c>
      <c r="AG102" s="2">
        <v>39290</v>
      </c>
      <c r="AH102" s="2">
        <v>39415</v>
      </c>
      <c r="AI102" s="8">
        <v>1404626.9200000002</v>
      </c>
      <c r="AJ102" s="6">
        <v>1</v>
      </c>
      <c r="AK102" s="1" t="str">
        <f t="shared" si="7"/>
        <v>PTLA1</v>
      </c>
    </row>
    <row r="103" spans="2:37" ht="118.95" customHeight="1" x14ac:dyDescent="0.3">
      <c r="B103" s="1">
        <f t="shared" si="6"/>
        <v>189</v>
      </c>
      <c r="C103" cm="1">
        <f t="array" ref="C103">IFERROR(MAX(--_xlfn.TEXTSPLIT(D103,";")),0)</f>
        <v>129</v>
      </c>
      <c r="D103" t="s">
        <v>1826</v>
      </c>
      <c r="E103" s="1" t="s">
        <v>839</v>
      </c>
      <c r="F103" s="1" t="s">
        <v>1877</v>
      </c>
      <c r="G103" s="1">
        <v>1</v>
      </c>
      <c r="H103" s="1" t="s">
        <v>840</v>
      </c>
      <c r="I103" s="1" t="s">
        <v>841</v>
      </c>
      <c r="J103" s="1" t="s">
        <v>64</v>
      </c>
      <c r="K103" s="1" t="s">
        <v>842</v>
      </c>
      <c r="L103" s="1" t="s">
        <v>38</v>
      </c>
      <c r="M103" s="1" t="s">
        <v>39</v>
      </c>
      <c r="N103" s="2" t="s">
        <v>40</v>
      </c>
      <c r="O103" s="3">
        <v>3965000</v>
      </c>
      <c r="P103" s="3" t="s">
        <v>41</v>
      </c>
      <c r="Q103" s="1" t="s">
        <v>843</v>
      </c>
      <c r="R103" s="1" t="s">
        <v>662</v>
      </c>
      <c r="S103" s="3" t="s">
        <v>44</v>
      </c>
      <c r="T103" s="3" t="s">
        <v>152</v>
      </c>
      <c r="U103" s="2">
        <v>43694</v>
      </c>
      <c r="V103" s="2">
        <v>44155</v>
      </c>
      <c r="W103" s="2">
        <v>44187</v>
      </c>
      <c r="X103" s="2">
        <v>44218</v>
      </c>
      <c r="Y103" s="2">
        <v>44277</v>
      </c>
      <c r="Z103" s="3" t="s">
        <v>844</v>
      </c>
      <c r="AA103" s="3" t="s">
        <v>845</v>
      </c>
      <c r="AB103" s="3" t="s">
        <v>846</v>
      </c>
      <c r="AC103" s="2">
        <v>44277</v>
      </c>
      <c r="AD103" s="2">
        <v>55965</v>
      </c>
      <c r="AE103" s="2" t="s">
        <v>106</v>
      </c>
      <c r="AF103" s="2">
        <v>45072</v>
      </c>
      <c r="AG103" s="2" t="s">
        <v>697</v>
      </c>
      <c r="AH103" s="2" t="s">
        <v>697</v>
      </c>
      <c r="AI103" s="5">
        <v>3965000</v>
      </c>
      <c r="AJ103" s="6" t="s">
        <v>847</v>
      </c>
      <c r="AK103" s="1" t="str">
        <f t="shared" si="7"/>
        <v>RAUS1</v>
      </c>
    </row>
    <row r="104" spans="2:37" ht="118.95" customHeight="1" x14ac:dyDescent="0.3">
      <c r="B104" s="1">
        <f t="shared" si="6"/>
        <v>189</v>
      </c>
      <c r="C104" cm="1">
        <f t="array" ref="C104">IFERROR(MAX(--_xlfn.TEXTSPLIT(D104,";")),0)</f>
        <v>132</v>
      </c>
      <c r="D104" t="s">
        <v>1827</v>
      </c>
      <c r="E104" s="1" t="s">
        <v>630</v>
      </c>
      <c r="F104" s="1" t="s">
        <v>1878</v>
      </c>
      <c r="G104" s="1">
        <v>1</v>
      </c>
      <c r="H104" s="1" t="s">
        <v>631</v>
      </c>
      <c r="I104" s="1" t="s">
        <v>632</v>
      </c>
      <c r="J104" s="1" t="s">
        <v>36</v>
      </c>
      <c r="K104" s="1" t="s">
        <v>190</v>
      </c>
      <c r="L104" s="1" t="s">
        <v>38</v>
      </c>
      <c r="M104" s="1" t="s">
        <v>66</v>
      </c>
      <c r="N104" s="2">
        <v>39281</v>
      </c>
      <c r="O104" s="3">
        <v>6560000</v>
      </c>
      <c r="P104" s="3" t="s">
        <v>41</v>
      </c>
      <c r="Q104" s="1" t="s">
        <v>264</v>
      </c>
      <c r="R104" s="1" t="s">
        <v>43</v>
      </c>
      <c r="S104" s="3" t="s">
        <v>44</v>
      </c>
      <c r="T104" s="3" t="s">
        <v>484</v>
      </c>
      <c r="U104" s="2">
        <v>40903</v>
      </c>
      <c r="V104" s="2">
        <v>41249</v>
      </c>
      <c r="W104" s="2">
        <v>41264</v>
      </c>
      <c r="X104" s="2">
        <v>41513</v>
      </c>
      <c r="Y104" s="2">
        <v>41757</v>
      </c>
      <c r="Z104" s="3" t="s">
        <v>633</v>
      </c>
      <c r="AA104" s="3" t="s">
        <v>634</v>
      </c>
      <c r="AB104" s="3" t="s">
        <v>48</v>
      </c>
      <c r="AC104" s="2">
        <v>41757</v>
      </c>
      <c r="AD104" s="2">
        <v>42325</v>
      </c>
      <c r="AE104" s="2" t="s">
        <v>106</v>
      </c>
      <c r="AF104" s="2" t="s">
        <v>269</v>
      </c>
      <c r="AG104" s="2" t="s">
        <v>269</v>
      </c>
      <c r="AH104" s="2" t="s">
        <v>269</v>
      </c>
      <c r="AI104" s="5">
        <v>7780.25</v>
      </c>
      <c r="AJ104" s="6">
        <v>0</v>
      </c>
      <c r="AK104" s="71" t="str">
        <f t="shared" si="7"/>
        <v>RLOA1</v>
      </c>
    </row>
    <row r="105" spans="2:37" ht="118.95" customHeight="1" x14ac:dyDescent="0.3">
      <c r="B105" s="1">
        <f t="shared" si="6"/>
        <v>189</v>
      </c>
      <c r="C105" cm="1">
        <f t="array" ref="C105">IFERROR(MAX(--_xlfn.TEXTSPLIT(D105,";")),0)</f>
        <v>132</v>
      </c>
      <c r="D105" t="s">
        <v>1827</v>
      </c>
      <c r="E105" s="1" t="s">
        <v>770</v>
      </c>
      <c r="F105" s="1" t="s">
        <v>1878</v>
      </c>
      <c r="G105" s="1">
        <v>2</v>
      </c>
      <c r="H105" s="1" t="s">
        <v>771</v>
      </c>
      <c r="I105" s="1" t="s">
        <v>772</v>
      </c>
      <c r="J105" s="1" t="s">
        <v>36</v>
      </c>
      <c r="K105" s="1" t="s">
        <v>190</v>
      </c>
      <c r="L105" s="1" t="s">
        <v>38</v>
      </c>
      <c r="M105" s="1" t="s">
        <v>39</v>
      </c>
      <c r="N105" s="2"/>
      <c r="O105" s="3">
        <v>7330000</v>
      </c>
      <c r="P105" s="3" t="s">
        <v>41</v>
      </c>
      <c r="Q105" s="4" t="s">
        <v>773</v>
      </c>
      <c r="R105" s="1" t="s">
        <v>662</v>
      </c>
      <c r="S105" s="3" t="s">
        <v>44</v>
      </c>
      <c r="T105" s="3" t="s">
        <v>152</v>
      </c>
      <c r="U105" s="2">
        <v>42832</v>
      </c>
      <c r="V105" s="2">
        <v>43027</v>
      </c>
      <c r="W105" s="2">
        <v>43055</v>
      </c>
      <c r="X105" s="2">
        <v>43096</v>
      </c>
      <c r="Y105" s="2">
        <v>43200</v>
      </c>
      <c r="Z105" s="3" t="s">
        <v>774</v>
      </c>
      <c r="AA105" s="3" t="s">
        <v>775</v>
      </c>
      <c r="AB105" s="3" t="s">
        <v>776</v>
      </c>
      <c r="AC105" s="2">
        <v>43200</v>
      </c>
      <c r="AD105" s="2">
        <v>57810</v>
      </c>
      <c r="AE105" s="2" t="s">
        <v>106</v>
      </c>
      <c r="AF105" s="2">
        <v>44060</v>
      </c>
      <c r="AG105" s="2" t="s">
        <v>697</v>
      </c>
      <c r="AH105" s="2" t="s">
        <v>697</v>
      </c>
      <c r="AI105" s="5">
        <v>7330000</v>
      </c>
      <c r="AJ105" s="6" t="s">
        <v>777</v>
      </c>
      <c r="AK105" s="71" t="str">
        <f t="shared" si="7"/>
        <v>RLOA2</v>
      </c>
    </row>
    <row r="106" spans="2:37" ht="118.95" customHeight="1" x14ac:dyDescent="0.3">
      <c r="B106" s="1">
        <f t="shared" si="6"/>
        <v>189</v>
      </c>
      <c r="C106" cm="1">
        <f t="array" ref="C106">IFERROR(MAX(--_xlfn.TEXTSPLIT(D106,";")),0)</f>
        <v>133</v>
      </c>
      <c r="D106" t="s">
        <v>1828</v>
      </c>
      <c r="E106" s="1" t="s">
        <v>760</v>
      </c>
      <c r="F106" s="1" t="s">
        <v>761</v>
      </c>
      <c r="G106" s="1">
        <v>1</v>
      </c>
      <c r="H106" s="1" t="s">
        <v>762</v>
      </c>
      <c r="I106" s="1" t="s">
        <v>763</v>
      </c>
      <c r="J106" s="1" t="s">
        <v>36</v>
      </c>
      <c r="K106" s="1" t="s">
        <v>764</v>
      </c>
      <c r="L106" s="1" t="s">
        <v>38</v>
      </c>
      <c r="M106" s="1" t="s">
        <v>66</v>
      </c>
      <c r="N106" s="2">
        <v>38670</v>
      </c>
      <c r="O106" s="3">
        <v>6125000</v>
      </c>
      <c r="P106" s="3" t="s">
        <v>41</v>
      </c>
      <c r="Q106" s="4" t="s">
        <v>765</v>
      </c>
      <c r="R106" s="1" t="s">
        <v>662</v>
      </c>
      <c r="S106" s="3" t="s">
        <v>44</v>
      </c>
      <c r="T106" s="3" t="s">
        <v>484</v>
      </c>
      <c r="U106" s="2">
        <v>42690</v>
      </c>
      <c r="V106" s="2">
        <v>42964</v>
      </c>
      <c r="W106" s="2">
        <v>42992</v>
      </c>
      <c r="X106" s="2">
        <v>43080</v>
      </c>
      <c r="Y106" s="2">
        <v>43200</v>
      </c>
      <c r="Z106" s="3" t="s">
        <v>766</v>
      </c>
      <c r="AA106" s="3" t="s">
        <v>767</v>
      </c>
      <c r="AB106" s="3" t="s">
        <v>768</v>
      </c>
      <c r="AC106" s="2">
        <v>43200</v>
      </c>
      <c r="AD106" s="2">
        <v>55983</v>
      </c>
      <c r="AE106" s="2" t="s">
        <v>106</v>
      </c>
      <c r="AF106" s="2">
        <v>44124</v>
      </c>
      <c r="AG106" s="2" t="s">
        <v>697</v>
      </c>
      <c r="AH106" s="2" t="s">
        <v>697</v>
      </c>
      <c r="AI106" s="8">
        <v>6658686.9000000004</v>
      </c>
      <c r="AJ106" s="6" t="s">
        <v>769</v>
      </c>
      <c r="AK106" s="71" t="str">
        <f t="shared" si="7"/>
        <v>RNAH1</v>
      </c>
    </row>
    <row r="107" spans="2:37" ht="28.8" x14ac:dyDescent="0.3">
      <c r="B107" s="1">
        <f t="shared" si="6"/>
        <v>189</v>
      </c>
      <c r="C107" cm="1">
        <f t="array" ref="C107">IFERROR(MAX(--_xlfn.TEXTSPLIT(D107,";")),0)</f>
        <v>134</v>
      </c>
      <c r="D107" t="s">
        <v>1829</v>
      </c>
      <c r="E107" s="58" t="s">
        <v>1845</v>
      </c>
      <c r="F107" s="62" t="s">
        <v>1735</v>
      </c>
      <c r="G107" s="59">
        <v>1</v>
      </c>
      <c r="H107" s="58" t="s">
        <v>1735</v>
      </c>
      <c r="I107" s="59"/>
      <c r="J107" s="59" t="s">
        <v>36</v>
      </c>
      <c r="K107" s="59" t="s">
        <v>55</v>
      </c>
      <c r="L107" s="59"/>
      <c r="M107" s="59"/>
      <c r="N107" s="60"/>
      <c r="O107" s="61"/>
      <c r="P107" s="59"/>
      <c r="Q107" s="59"/>
      <c r="R107" s="59" t="s">
        <v>693</v>
      </c>
      <c r="S107" s="59"/>
      <c r="T107" s="59"/>
      <c r="U107" s="60"/>
      <c r="V107" s="60"/>
      <c r="W107" s="60"/>
      <c r="X107" s="60"/>
      <c r="Y107" s="60"/>
      <c r="Z107" s="59"/>
      <c r="AA107" s="59"/>
      <c r="AB107" s="59"/>
      <c r="AC107" s="60"/>
      <c r="AD107" s="60"/>
      <c r="AE107" s="59"/>
      <c r="AF107" s="59"/>
      <c r="AG107" s="59"/>
      <c r="AH107" s="59"/>
      <c r="AI107" s="22"/>
      <c r="AJ107" s="27"/>
      <c r="AK107" s="71" t="str">
        <f t="shared" si="7"/>
        <v>RPMO1</v>
      </c>
    </row>
    <row r="108" spans="2:37" ht="118.95" customHeight="1" x14ac:dyDescent="0.3">
      <c r="B108" s="1">
        <f t="shared" si="6"/>
        <v>189</v>
      </c>
      <c r="C108" cm="1">
        <f t="array" ref="C108">IFERROR(MAX(--_xlfn.TEXTSPLIT(D108,";")),0)</f>
        <v>136</v>
      </c>
      <c r="D108" t="s">
        <v>1830</v>
      </c>
      <c r="E108" s="58" t="s">
        <v>1744</v>
      </c>
      <c r="F108" s="62" t="s">
        <v>1736</v>
      </c>
      <c r="G108" s="59"/>
      <c r="H108" s="58"/>
      <c r="I108" s="59"/>
      <c r="J108" s="59" t="s">
        <v>36</v>
      </c>
      <c r="K108" s="59" t="s">
        <v>75</v>
      </c>
      <c r="L108" s="59"/>
      <c r="M108" s="59"/>
      <c r="N108" s="60"/>
      <c r="O108" s="61"/>
      <c r="P108" s="59"/>
      <c r="Q108" s="59"/>
      <c r="R108" s="59" t="s">
        <v>693</v>
      </c>
      <c r="S108" s="59"/>
      <c r="T108" s="59"/>
      <c r="U108" s="60"/>
      <c r="V108" s="60"/>
      <c r="W108" s="60"/>
      <c r="X108" s="60"/>
      <c r="Y108" s="60"/>
      <c r="Z108" s="59"/>
      <c r="AA108" s="59"/>
      <c r="AB108" s="59"/>
      <c r="AC108" s="60"/>
      <c r="AD108" s="60"/>
      <c r="AE108" s="59"/>
      <c r="AF108" s="59"/>
      <c r="AG108" s="59"/>
      <c r="AH108" s="59"/>
      <c r="AI108" s="22"/>
      <c r="AJ108" s="23"/>
      <c r="AK108" s="71" t="str">
        <f t="shared" si="7"/>
        <v>RTCC</v>
      </c>
    </row>
    <row r="109" spans="2:37" ht="118.95" customHeight="1" x14ac:dyDescent="0.3">
      <c r="B109" s="1">
        <f t="shared" si="6"/>
        <v>189</v>
      </c>
      <c r="C109" cm="1">
        <f t="array" ref="C109">IFERROR(MAX(--_xlfn.TEXTSPLIT(D109,";")),0)</f>
        <v>143</v>
      </c>
      <c r="D109" t="s">
        <v>1831</v>
      </c>
      <c r="E109" s="1" t="s">
        <v>279</v>
      </c>
      <c r="F109" s="1" t="s">
        <v>280</v>
      </c>
      <c r="G109" s="1">
        <v>1</v>
      </c>
      <c r="H109" s="1" t="s">
        <v>281</v>
      </c>
      <c r="I109" s="1" t="s">
        <v>282</v>
      </c>
      <c r="J109" s="1" t="s">
        <v>36</v>
      </c>
      <c r="K109" s="1" t="s">
        <v>37</v>
      </c>
      <c r="L109" s="1" t="s">
        <v>38</v>
      </c>
      <c r="M109" s="1" t="s">
        <v>39</v>
      </c>
      <c r="N109" s="2" t="s">
        <v>40</v>
      </c>
      <c r="O109" s="3">
        <v>2383470</v>
      </c>
      <c r="P109" s="3" t="s">
        <v>41</v>
      </c>
      <c r="Q109" s="1" t="s">
        <v>283</v>
      </c>
      <c r="R109" s="1" t="s">
        <v>133</v>
      </c>
      <c r="S109" s="3" t="s">
        <v>123</v>
      </c>
      <c r="T109" s="3" t="s">
        <v>85</v>
      </c>
      <c r="U109" s="2">
        <v>36500</v>
      </c>
      <c r="V109" s="2">
        <v>36692</v>
      </c>
      <c r="W109" s="2">
        <v>36707</v>
      </c>
      <c r="X109" s="2">
        <v>36756</v>
      </c>
      <c r="Y109" s="2">
        <v>36841</v>
      </c>
      <c r="Z109" s="3" t="s">
        <v>284</v>
      </c>
      <c r="AA109" s="3" t="s">
        <v>285</v>
      </c>
      <c r="AB109" s="3" t="s">
        <v>286</v>
      </c>
      <c r="AC109" s="2">
        <v>37211</v>
      </c>
      <c r="AD109" s="2">
        <v>48163</v>
      </c>
      <c r="AE109" s="2" t="s">
        <v>49</v>
      </c>
      <c r="AF109" s="2">
        <v>37228</v>
      </c>
      <c r="AG109" s="2">
        <v>38035</v>
      </c>
      <c r="AH109" s="2">
        <v>38349</v>
      </c>
      <c r="AI109" s="8">
        <v>3715501.1199999996</v>
      </c>
      <c r="AJ109" s="6">
        <v>1</v>
      </c>
      <c r="AK109" s="71" t="str">
        <f t="shared" si="7"/>
        <v>RVLC1</v>
      </c>
    </row>
    <row r="110" spans="2:37" ht="118.95" customHeight="1" x14ac:dyDescent="0.3">
      <c r="B110" s="1">
        <f t="shared" si="6"/>
        <v>189</v>
      </c>
      <c r="C110" cm="1">
        <f t="array" ref="C110">IFERROR(MAX(--_xlfn.TEXTSPLIT(D110,";")),0)</f>
        <v>144</v>
      </c>
      <c r="D110" t="s">
        <v>1832</v>
      </c>
      <c r="E110" s="1" t="s">
        <v>138</v>
      </c>
      <c r="F110" s="1" t="s">
        <v>1879</v>
      </c>
      <c r="G110" s="1">
        <v>1</v>
      </c>
      <c r="H110" s="1" t="s">
        <v>139</v>
      </c>
      <c r="I110" s="1" t="s">
        <v>140</v>
      </c>
      <c r="J110" s="1" t="s">
        <v>36</v>
      </c>
      <c r="K110" s="1" t="s">
        <v>141</v>
      </c>
      <c r="L110" s="1" t="s">
        <v>38</v>
      </c>
      <c r="M110" s="1" t="s">
        <v>39</v>
      </c>
      <c r="N110" s="2" t="s">
        <v>40</v>
      </c>
      <c r="O110" s="3">
        <v>8200000</v>
      </c>
      <c r="P110" s="3" t="s">
        <v>41</v>
      </c>
      <c r="Q110" s="1" t="s">
        <v>142</v>
      </c>
      <c r="R110" s="1" t="s">
        <v>43</v>
      </c>
      <c r="S110" s="3" t="s">
        <v>123</v>
      </c>
      <c r="T110" s="3" t="s">
        <v>143</v>
      </c>
      <c r="U110" s="2">
        <v>35215</v>
      </c>
      <c r="V110" s="2">
        <v>35244</v>
      </c>
      <c r="W110" s="2">
        <v>35263</v>
      </c>
      <c r="X110" s="2">
        <v>35352</v>
      </c>
      <c r="Y110" s="2">
        <v>35492</v>
      </c>
      <c r="Z110" s="3" t="s">
        <v>144</v>
      </c>
      <c r="AA110" s="61" t="s">
        <v>145</v>
      </c>
      <c r="AB110" s="3" t="s">
        <v>146</v>
      </c>
      <c r="AC110" s="2">
        <v>35492</v>
      </c>
      <c r="AD110" s="2">
        <v>45747</v>
      </c>
      <c r="AE110" s="2" t="s">
        <v>49</v>
      </c>
      <c r="AF110" s="2" t="s">
        <v>50</v>
      </c>
      <c r="AG110" s="2">
        <v>37256</v>
      </c>
      <c r="AH110" s="2">
        <v>37614</v>
      </c>
      <c r="AI110" s="5">
        <v>20847627.600917093</v>
      </c>
      <c r="AJ110" s="6">
        <v>1</v>
      </c>
      <c r="AK110" s="71" t="str">
        <f t="shared" si="7"/>
        <v>SALV1</v>
      </c>
    </row>
    <row r="111" spans="2:37" ht="118.95" customHeight="1" x14ac:dyDescent="0.3">
      <c r="B111" s="1">
        <f t="shared" si="6"/>
        <v>189</v>
      </c>
      <c r="C111" cm="1">
        <f t="array" ref="C111">IFERROR(MAX(--_xlfn.TEXTSPLIT(D111,";")),0)</f>
        <v>144</v>
      </c>
      <c r="D111" t="s">
        <v>1832</v>
      </c>
      <c r="E111" s="1" t="s">
        <v>977</v>
      </c>
      <c r="F111" s="1" t="s">
        <v>1879</v>
      </c>
      <c r="G111" s="1">
        <v>2</v>
      </c>
      <c r="H111" s="1" t="s">
        <v>978</v>
      </c>
      <c r="I111" s="1" t="s">
        <v>979</v>
      </c>
      <c r="J111" s="1" t="s">
        <v>36</v>
      </c>
      <c r="K111" s="1" t="s">
        <v>141</v>
      </c>
      <c r="L111" s="1" t="s">
        <v>38</v>
      </c>
      <c r="M111" s="1" t="s">
        <v>39</v>
      </c>
      <c r="N111" s="2"/>
      <c r="O111" s="3">
        <v>28288000</v>
      </c>
      <c r="P111" s="1" t="s">
        <v>41</v>
      </c>
      <c r="Q111" s="1" t="s">
        <v>827</v>
      </c>
      <c r="R111" s="1" t="s">
        <v>662</v>
      </c>
      <c r="S111" s="3" t="s">
        <v>44</v>
      </c>
      <c r="T111" s="3" t="s">
        <v>152</v>
      </c>
      <c r="U111" s="2">
        <v>45121</v>
      </c>
      <c r="V111" s="2">
        <v>45491</v>
      </c>
      <c r="W111" s="2">
        <v>45518</v>
      </c>
      <c r="X111" s="2">
        <v>45618</v>
      </c>
      <c r="Y111" s="2">
        <v>45708</v>
      </c>
      <c r="Z111" s="1" t="s">
        <v>980</v>
      </c>
      <c r="AA111" s="1" t="s">
        <v>981</v>
      </c>
      <c r="AB111" s="1" t="s">
        <v>982</v>
      </c>
      <c r="AC111" s="2">
        <v>45708</v>
      </c>
      <c r="AD111" s="2">
        <v>56665</v>
      </c>
      <c r="AE111" s="2" t="s">
        <v>106</v>
      </c>
      <c r="AF111" s="2" t="s">
        <v>855</v>
      </c>
      <c r="AG111" s="2" t="s">
        <v>697</v>
      </c>
      <c r="AH111" s="2" t="s">
        <v>697</v>
      </c>
      <c r="AI111" s="22">
        <v>28288000</v>
      </c>
      <c r="AJ111" s="6">
        <v>0</v>
      </c>
      <c r="AK111" s="71" t="str">
        <f t="shared" si="7"/>
        <v>SALV2</v>
      </c>
    </row>
    <row r="112" spans="2:37" ht="118.95" customHeight="1" x14ac:dyDescent="0.3">
      <c r="B112" s="1">
        <f t="shared" si="6"/>
        <v>189</v>
      </c>
      <c r="C112" cm="1">
        <f t="array" ref="C112">IFERROR(MAX(--_xlfn.TEXTSPLIT(D112,";")),0)</f>
        <v>147</v>
      </c>
      <c r="D112" t="s">
        <v>1833</v>
      </c>
      <c r="E112" s="59" t="s">
        <v>89</v>
      </c>
      <c r="F112" s="59" t="s">
        <v>1739</v>
      </c>
      <c r="G112" s="1">
        <v>1</v>
      </c>
      <c r="H112" s="59" t="s">
        <v>1740</v>
      </c>
      <c r="I112" s="1" t="s">
        <v>91</v>
      </c>
      <c r="J112" s="1" t="s">
        <v>36</v>
      </c>
      <c r="K112" s="1" t="s">
        <v>92</v>
      </c>
      <c r="L112" s="1" t="s">
        <v>38</v>
      </c>
      <c r="M112" s="1" t="s">
        <v>39</v>
      </c>
      <c r="N112" s="2" t="s">
        <v>40</v>
      </c>
      <c r="O112" s="3">
        <v>3654770</v>
      </c>
      <c r="P112" s="3" t="s">
        <v>41</v>
      </c>
      <c r="Q112" s="4" t="s">
        <v>93</v>
      </c>
      <c r="R112" s="1" t="s">
        <v>43</v>
      </c>
      <c r="S112" s="3" t="s">
        <v>44</v>
      </c>
      <c r="T112" s="3" t="s">
        <v>94</v>
      </c>
      <c r="U112" s="2">
        <v>34691</v>
      </c>
      <c r="V112" s="2">
        <v>34801</v>
      </c>
      <c r="W112" s="2">
        <v>34850</v>
      </c>
      <c r="X112" s="2">
        <v>34866</v>
      </c>
      <c r="Y112" s="2">
        <v>34935</v>
      </c>
      <c r="Z112" s="3" t="s">
        <v>95</v>
      </c>
      <c r="AA112" s="3" t="s">
        <v>96</v>
      </c>
      <c r="AB112" s="3" t="s">
        <v>97</v>
      </c>
      <c r="AC112" s="2">
        <v>34963</v>
      </c>
      <c r="AD112" s="2">
        <v>44641</v>
      </c>
      <c r="AE112" s="2" t="s">
        <v>49</v>
      </c>
      <c r="AF112" s="2" t="s">
        <v>50</v>
      </c>
      <c r="AG112" s="2">
        <v>36393</v>
      </c>
      <c r="AH112" s="2">
        <v>37050</v>
      </c>
      <c r="AI112" s="5">
        <v>7424103.2967182985</v>
      </c>
      <c r="AJ112" s="6">
        <v>1</v>
      </c>
      <c r="AK112" s="71" t="str">
        <f t="shared" si="7"/>
        <v>SASA1</v>
      </c>
    </row>
    <row r="113" spans="1:37" ht="118.95" customHeight="1" x14ac:dyDescent="0.3">
      <c r="B113" s="1">
        <f t="shared" si="6"/>
        <v>189</v>
      </c>
      <c r="C113" cm="1">
        <f t="array" ref="C113">IFERROR(MAX(--_xlfn.TEXTSPLIT(D113,";")),0)</f>
        <v>147</v>
      </c>
      <c r="D113" t="s">
        <v>1833</v>
      </c>
      <c r="E113" s="1" t="s">
        <v>895</v>
      </c>
      <c r="F113" s="59" t="s">
        <v>1739</v>
      </c>
      <c r="G113" s="1">
        <v>2</v>
      </c>
      <c r="H113" s="1" t="s">
        <v>896</v>
      </c>
      <c r="I113" s="1" t="s">
        <v>897</v>
      </c>
      <c r="J113" s="1" t="s">
        <v>36</v>
      </c>
      <c r="K113" s="1" t="s">
        <v>92</v>
      </c>
      <c r="L113" s="1" t="s">
        <v>38</v>
      </c>
      <c r="M113" s="1" t="s">
        <v>39</v>
      </c>
      <c r="N113" s="2" t="s">
        <v>40</v>
      </c>
      <c r="O113" s="3">
        <v>21287000</v>
      </c>
      <c r="P113" s="3" t="s">
        <v>41</v>
      </c>
      <c r="Q113" s="1" t="s">
        <v>898</v>
      </c>
      <c r="R113" s="1" t="s">
        <v>662</v>
      </c>
      <c r="S113" s="3" t="s">
        <v>44</v>
      </c>
      <c r="T113" s="3" t="s">
        <v>152</v>
      </c>
      <c r="U113" s="2">
        <v>44261</v>
      </c>
      <c r="V113" s="2">
        <v>44498</v>
      </c>
      <c r="W113" s="2">
        <v>44526</v>
      </c>
      <c r="X113" s="2">
        <v>44605</v>
      </c>
      <c r="Y113" s="2">
        <v>44631</v>
      </c>
      <c r="Z113" s="3" t="s">
        <v>899</v>
      </c>
      <c r="AA113" s="22" t="s">
        <v>900</v>
      </c>
      <c r="AB113" s="3" t="s">
        <v>901</v>
      </c>
      <c r="AC113" s="2">
        <v>44631</v>
      </c>
      <c r="AD113" s="2">
        <v>56319</v>
      </c>
      <c r="AE113" s="2" t="s">
        <v>106</v>
      </c>
      <c r="AF113" s="2">
        <v>45931</v>
      </c>
      <c r="AG113" s="2" t="s">
        <v>697</v>
      </c>
      <c r="AH113" s="2" t="s">
        <v>697</v>
      </c>
      <c r="AI113" s="5">
        <v>21287000</v>
      </c>
      <c r="AJ113" s="6">
        <v>0</v>
      </c>
      <c r="AK113" s="71" t="str">
        <f t="shared" si="7"/>
        <v>SASA2</v>
      </c>
    </row>
    <row r="114" spans="1:37" ht="118.95" customHeight="1" x14ac:dyDescent="0.3">
      <c r="B114" s="1">
        <f t="shared" si="6"/>
        <v>189</v>
      </c>
      <c r="C114" cm="1">
        <f t="array" ref="C114">IFERROR(MAX(--_xlfn.TEXTSPLIT(D114,";")),0)</f>
        <v>149</v>
      </c>
      <c r="D114" t="s">
        <v>1834</v>
      </c>
      <c r="E114" s="1" t="s">
        <v>221</v>
      </c>
      <c r="F114" s="1" t="s">
        <v>1880</v>
      </c>
      <c r="G114" s="1">
        <v>1</v>
      </c>
      <c r="H114" s="1" t="s">
        <v>222</v>
      </c>
      <c r="I114" s="1" t="s">
        <v>223</v>
      </c>
      <c r="J114" s="1" t="s">
        <v>36</v>
      </c>
      <c r="K114" s="1" t="s">
        <v>224</v>
      </c>
      <c r="L114" s="1" t="s">
        <v>38</v>
      </c>
      <c r="M114" s="1" t="s">
        <v>39</v>
      </c>
      <c r="N114" s="2" t="s">
        <v>40</v>
      </c>
      <c r="O114" s="3">
        <v>20639400</v>
      </c>
      <c r="P114" s="3" t="s">
        <v>41</v>
      </c>
      <c r="Q114" s="1" t="s">
        <v>225</v>
      </c>
      <c r="R114" s="1" t="s">
        <v>133</v>
      </c>
      <c r="S114" s="3" t="s">
        <v>123</v>
      </c>
      <c r="T114" s="3" t="s">
        <v>226</v>
      </c>
      <c r="U114" s="2">
        <v>35906</v>
      </c>
      <c r="V114" s="2">
        <v>35912</v>
      </c>
      <c r="W114" s="2">
        <v>35927</v>
      </c>
      <c r="X114" s="2">
        <v>35976</v>
      </c>
      <c r="Y114" s="2">
        <v>36038</v>
      </c>
      <c r="Z114" s="3" t="s">
        <v>227</v>
      </c>
      <c r="AA114" s="22" t="s">
        <v>228</v>
      </c>
      <c r="AB114" s="3" t="s">
        <v>229</v>
      </c>
      <c r="AC114" s="2">
        <v>36415</v>
      </c>
      <c r="AD114" s="2">
        <v>49305</v>
      </c>
      <c r="AE114" s="2" t="s">
        <v>106</v>
      </c>
      <c r="AF114" s="2" t="s">
        <v>50</v>
      </c>
      <c r="AG114" s="2">
        <v>40269</v>
      </c>
      <c r="AH114" s="2">
        <v>40298</v>
      </c>
      <c r="AI114" s="9">
        <v>35268695.5</v>
      </c>
      <c r="AJ114" s="6">
        <v>1</v>
      </c>
      <c r="AK114" s="71" t="str">
        <f t="shared" si="7"/>
        <v>SATA1</v>
      </c>
    </row>
    <row r="115" spans="1:37" ht="118.95" customHeight="1" x14ac:dyDescent="0.3">
      <c r="B115" s="1">
        <f t="shared" si="6"/>
        <v>189</v>
      </c>
      <c r="C115" cm="1">
        <f t="array" ref="C115">IFERROR(MAX(--_xlfn.TEXTSPLIT(D115,";")),0)</f>
        <v>154</v>
      </c>
      <c r="D115" t="s">
        <v>1835</v>
      </c>
      <c r="E115" s="59" t="s">
        <v>128</v>
      </c>
      <c r="F115" s="59" t="s">
        <v>129</v>
      </c>
      <c r="G115" s="1">
        <v>1</v>
      </c>
      <c r="H115" s="1" t="s">
        <v>130</v>
      </c>
      <c r="I115" s="1" t="s">
        <v>131</v>
      </c>
      <c r="J115" s="1" t="s">
        <v>36</v>
      </c>
      <c r="K115" s="1" t="s">
        <v>92</v>
      </c>
      <c r="L115" s="1" t="s">
        <v>38</v>
      </c>
      <c r="M115" s="1" t="s">
        <v>66</v>
      </c>
      <c r="N115" s="2" t="s">
        <v>40</v>
      </c>
      <c r="O115" s="3">
        <v>3700000</v>
      </c>
      <c r="P115" s="3" t="s">
        <v>41</v>
      </c>
      <c r="Q115" s="1" t="s">
        <v>132</v>
      </c>
      <c r="R115" s="1" t="s">
        <v>133</v>
      </c>
      <c r="S115" s="3" t="s">
        <v>123</v>
      </c>
      <c r="T115" s="3" t="s">
        <v>134</v>
      </c>
      <c r="U115" s="2">
        <v>35180</v>
      </c>
      <c r="V115" s="2">
        <v>35342</v>
      </c>
      <c r="W115" s="2">
        <v>35363</v>
      </c>
      <c r="X115" s="2">
        <v>35418</v>
      </c>
      <c r="Y115" s="2">
        <v>35473</v>
      </c>
      <c r="Z115" s="3" t="s">
        <v>135</v>
      </c>
      <c r="AA115" s="3" t="s">
        <v>136</v>
      </c>
      <c r="AB115" s="61" t="s">
        <v>137</v>
      </c>
      <c r="AC115" s="2">
        <v>35711</v>
      </c>
      <c r="AD115" s="2">
        <v>46395</v>
      </c>
      <c r="AE115" s="2" t="s">
        <v>49</v>
      </c>
      <c r="AF115" s="2" t="s">
        <v>50</v>
      </c>
      <c r="AG115" s="2">
        <v>36795</v>
      </c>
      <c r="AH115" s="2">
        <v>37232</v>
      </c>
      <c r="AI115" s="69">
        <v>5454253.2500000009</v>
      </c>
      <c r="AJ115" s="17">
        <v>1</v>
      </c>
      <c r="AK115" s="71" t="str">
        <f t="shared" si="7"/>
        <v>SCLA1</v>
      </c>
    </row>
    <row r="116" spans="1:37" ht="132.6" customHeight="1" x14ac:dyDescent="0.3">
      <c r="B116" s="1">
        <f t="shared" si="6"/>
        <v>189</v>
      </c>
      <c r="C116" cm="1">
        <f t="array" ref="C116">IFERROR(MAX(--_xlfn.TEXTSPLIT(D116,";")),0)</f>
        <v>156</v>
      </c>
      <c r="D116" t="s">
        <v>1836</v>
      </c>
      <c r="E116" s="21" t="s">
        <v>270</v>
      </c>
      <c r="F116" s="21" t="s">
        <v>271</v>
      </c>
      <c r="G116" s="1">
        <v>1</v>
      </c>
      <c r="H116" s="1" t="s">
        <v>272</v>
      </c>
      <c r="I116" s="1" t="s">
        <v>273</v>
      </c>
      <c r="J116" s="1" t="s">
        <v>111</v>
      </c>
      <c r="K116" s="1" t="s">
        <v>112</v>
      </c>
      <c r="L116" s="1" t="s">
        <v>38</v>
      </c>
      <c r="M116" s="1" t="s">
        <v>39</v>
      </c>
      <c r="N116" s="2" t="s">
        <v>40</v>
      </c>
      <c r="O116" s="3">
        <v>15190000</v>
      </c>
      <c r="P116" s="3" t="s">
        <v>41</v>
      </c>
      <c r="Q116" s="1" t="s">
        <v>274</v>
      </c>
      <c r="R116" s="1" t="s">
        <v>133</v>
      </c>
      <c r="S116" s="3" t="s">
        <v>123</v>
      </c>
      <c r="T116" s="3" t="s">
        <v>275</v>
      </c>
      <c r="U116" s="2">
        <v>36481</v>
      </c>
      <c r="V116" s="2">
        <v>36738</v>
      </c>
      <c r="W116" s="2">
        <v>36759</v>
      </c>
      <c r="X116" s="2">
        <v>36783</v>
      </c>
      <c r="Y116" s="2">
        <v>36895</v>
      </c>
      <c r="Z116" s="3" t="s">
        <v>276</v>
      </c>
      <c r="AA116" s="3" t="s">
        <v>277</v>
      </c>
      <c r="AB116" s="22" t="s">
        <v>278</v>
      </c>
      <c r="AC116" s="2">
        <v>37075</v>
      </c>
      <c r="AD116" s="2">
        <v>49187</v>
      </c>
      <c r="AE116" s="2" t="s">
        <v>106</v>
      </c>
      <c r="AF116" s="2" t="s">
        <v>50</v>
      </c>
      <c r="AG116" s="2">
        <v>38845</v>
      </c>
      <c r="AH116" s="2">
        <v>39183</v>
      </c>
      <c r="AI116" s="70">
        <v>31119620.699999999</v>
      </c>
      <c r="AJ116" s="17">
        <v>1</v>
      </c>
      <c r="AK116" s="71" t="str">
        <f t="shared" si="7"/>
        <v>SNSS1</v>
      </c>
    </row>
    <row r="117" spans="1:37" ht="155.4" customHeight="1" x14ac:dyDescent="0.3">
      <c r="B117" s="1">
        <f t="shared" si="6"/>
        <v>189</v>
      </c>
      <c r="C117" cm="1">
        <f t="array" ref="C117">IFERROR(MAX(--_xlfn.TEXTSPLIT(D117,";")),0)</f>
        <v>158</v>
      </c>
      <c r="D117" t="s">
        <v>1837</v>
      </c>
      <c r="E117" s="1" t="s">
        <v>244</v>
      </c>
      <c r="F117" s="1" t="s">
        <v>1881</v>
      </c>
      <c r="G117" s="1">
        <v>1</v>
      </c>
      <c r="H117" s="1" t="s">
        <v>245</v>
      </c>
      <c r="I117" s="1" t="s">
        <v>246</v>
      </c>
      <c r="J117" s="1" t="s">
        <v>111</v>
      </c>
      <c r="K117" s="1" t="s">
        <v>112</v>
      </c>
      <c r="L117" s="1" t="s">
        <v>38</v>
      </c>
      <c r="M117" s="1" t="s">
        <v>39</v>
      </c>
      <c r="N117" s="2" t="s">
        <v>40</v>
      </c>
      <c r="O117" s="3">
        <v>9482776</v>
      </c>
      <c r="P117" s="3" t="s">
        <v>41</v>
      </c>
      <c r="Q117" s="1" t="s">
        <v>247</v>
      </c>
      <c r="R117" s="1" t="s">
        <v>133</v>
      </c>
      <c r="S117" s="3" t="s">
        <v>123</v>
      </c>
      <c r="T117" s="3" t="s">
        <v>248</v>
      </c>
      <c r="U117" s="2">
        <v>36343</v>
      </c>
      <c r="V117" s="2">
        <v>36480</v>
      </c>
      <c r="W117" s="2">
        <v>36500</v>
      </c>
      <c r="X117" s="2">
        <v>36580</v>
      </c>
      <c r="Y117" s="2">
        <v>36635</v>
      </c>
      <c r="Z117" s="3" t="s">
        <v>249</v>
      </c>
      <c r="AA117" s="3" t="s">
        <v>250</v>
      </c>
      <c r="AB117" s="3" t="s">
        <v>251</v>
      </c>
      <c r="AC117" s="2">
        <v>37803</v>
      </c>
      <c r="AD117" s="2">
        <v>49856</v>
      </c>
      <c r="AE117" s="2" t="s">
        <v>106</v>
      </c>
      <c r="AF117" s="2" t="s">
        <v>50</v>
      </c>
      <c r="AG117" s="2">
        <v>39359</v>
      </c>
      <c r="AH117" s="2">
        <v>39607</v>
      </c>
      <c r="AI117" s="67">
        <v>30132097.319999997</v>
      </c>
      <c r="AJ117" s="17">
        <v>1</v>
      </c>
      <c r="AK117" s="71" t="str">
        <f t="shared" si="7"/>
        <v>SOPN1</v>
      </c>
    </row>
    <row r="118" spans="1:37" ht="118.95" customHeight="1" x14ac:dyDescent="0.3">
      <c r="B118" s="1">
        <f t="shared" si="6"/>
        <v>189</v>
      </c>
      <c r="C118" cm="1">
        <f t="array" ref="C118">IFERROR(MAX(--_xlfn.TEXTSPLIT(D118,";")),0)</f>
        <v>159</v>
      </c>
      <c r="D118" t="s">
        <v>1838</v>
      </c>
      <c r="E118" s="1" t="s">
        <v>118</v>
      </c>
      <c r="F118" s="1" t="s">
        <v>1882</v>
      </c>
      <c r="G118" s="1">
        <v>1</v>
      </c>
      <c r="H118" s="1" t="s">
        <v>119</v>
      </c>
      <c r="I118" s="1" t="s">
        <v>120</v>
      </c>
      <c r="J118" s="1" t="s">
        <v>36</v>
      </c>
      <c r="K118" s="1" t="s">
        <v>121</v>
      </c>
      <c r="L118" s="1" t="s">
        <v>38</v>
      </c>
      <c r="M118" s="1" t="s">
        <v>39</v>
      </c>
      <c r="N118" s="2" t="s">
        <v>40</v>
      </c>
      <c r="O118" s="3">
        <v>4500000</v>
      </c>
      <c r="P118" s="3" t="s">
        <v>41</v>
      </c>
      <c r="Q118" s="4" t="s">
        <v>122</v>
      </c>
      <c r="R118" s="1" t="s">
        <v>43</v>
      </c>
      <c r="S118" s="3" t="s">
        <v>123</v>
      </c>
      <c r="T118" s="3" t="s">
        <v>124</v>
      </c>
      <c r="U118" s="2">
        <v>35004</v>
      </c>
      <c r="V118" s="2">
        <v>35044</v>
      </c>
      <c r="W118" s="2">
        <v>35060</v>
      </c>
      <c r="X118" s="2">
        <v>35076</v>
      </c>
      <c r="Y118" s="2">
        <v>35137</v>
      </c>
      <c r="Z118" s="3" t="s">
        <v>125</v>
      </c>
      <c r="AA118" s="3" t="s">
        <v>126</v>
      </c>
      <c r="AB118" s="3" t="s">
        <v>127</v>
      </c>
      <c r="AC118" s="2">
        <v>35137</v>
      </c>
      <c r="AD118" s="2">
        <v>44286</v>
      </c>
      <c r="AE118" s="2" t="s">
        <v>106</v>
      </c>
      <c r="AF118" s="2" t="s">
        <v>50</v>
      </c>
      <c r="AG118" s="2">
        <v>36444</v>
      </c>
      <c r="AH118" s="2">
        <v>36640</v>
      </c>
      <c r="AI118" s="48">
        <v>8790422.5669340007</v>
      </c>
      <c r="AJ118" s="17">
        <v>1</v>
      </c>
      <c r="AK118" s="71" t="str">
        <f t="shared" si="7"/>
        <v>TACH1</v>
      </c>
    </row>
    <row r="119" spans="1:37" ht="118.95" customHeight="1" x14ac:dyDescent="0.3">
      <c r="B119" s="1">
        <f t="shared" si="6"/>
        <v>189</v>
      </c>
      <c r="C119" cm="1">
        <f t="array" ref="C119">IFERROR(MAX(--_xlfn.TEXTSPLIT(D119,";")),0)</f>
        <v>159</v>
      </c>
      <c r="D119" t="s">
        <v>1838</v>
      </c>
      <c r="E119" s="1" t="s">
        <v>848</v>
      </c>
      <c r="F119" s="1" t="s">
        <v>1882</v>
      </c>
      <c r="G119" s="1">
        <v>2</v>
      </c>
      <c r="H119" s="1" t="s">
        <v>849</v>
      </c>
      <c r="I119" s="1" t="s">
        <v>850</v>
      </c>
      <c r="J119" s="1" t="s">
        <v>36</v>
      </c>
      <c r="K119" s="1" t="s">
        <v>121</v>
      </c>
      <c r="L119" s="1" t="s">
        <v>38</v>
      </c>
      <c r="M119" s="1" t="s">
        <v>39</v>
      </c>
      <c r="N119" s="2" t="s">
        <v>40</v>
      </c>
      <c r="O119" s="3">
        <v>19180000</v>
      </c>
      <c r="P119" s="3" t="s">
        <v>41</v>
      </c>
      <c r="Q119" s="1" t="s">
        <v>851</v>
      </c>
      <c r="R119" s="1" t="s">
        <v>662</v>
      </c>
      <c r="S119" s="3" t="s">
        <v>44</v>
      </c>
      <c r="T119" s="3" t="s">
        <v>152</v>
      </c>
      <c r="U119" s="2">
        <v>43757</v>
      </c>
      <c r="V119" s="2">
        <v>44134</v>
      </c>
      <c r="W119" s="2">
        <v>44162</v>
      </c>
      <c r="X119" s="2">
        <v>44203</v>
      </c>
      <c r="Y119" s="2">
        <v>44268</v>
      </c>
      <c r="Z119" s="3" t="s">
        <v>852</v>
      </c>
      <c r="AA119" s="3" t="s">
        <v>853</v>
      </c>
      <c r="AB119" s="22" t="s">
        <v>854</v>
      </c>
      <c r="AC119" s="2">
        <v>44268</v>
      </c>
      <c r="AD119" s="2">
        <v>55956</v>
      </c>
      <c r="AE119" s="2" t="s">
        <v>106</v>
      </c>
      <c r="AF119" s="2" t="s">
        <v>855</v>
      </c>
      <c r="AG119" s="2" t="s">
        <v>697</v>
      </c>
      <c r="AH119" s="2" t="s">
        <v>697</v>
      </c>
      <c r="AI119" s="48">
        <v>19180000</v>
      </c>
      <c r="AJ119" s="6">
        <v>0</v>
      </c>
      <c r="AK119" s="71" t="str">
        <f t="shared" si="7"/>
        <v>TACH2</v>
      </c>
    </row>
    <row r="120" spans="1:37" ht="118.95" customHeight="1" x14ac:dyDescent="0.3">
      <c r="B120" s="1">
        <f t="shared" si="6"/>
        <v>189</v>
      </c>
      <c r="C120" cm="1">
        <f t="array" ref="C120">IFERROR(MAX(--_xlfn.TEXTSPLIT(D120,";")),0)</f>
        <v>160</v>
      </c>
      <c r="D120" t="s">
        <v>1839</v>
      </c>
      <c r="E120" s="1" t="s">
        <v>778</v>
      </c>
      <c r="F120" s="1" t="s">
        <v>1883</v>
      </c>
      <c r="G120" s="1">
        <v>1</v>
      </c>
      <c r="H120" s="1" t="s">
        <v>779</v>
      </c>
      <c r="I120" s="1" t="s">
        <v>780</v>
      </c>
      <c r="J120" s="1" t="s">
        <v>385</v>
      </c>
      <c r="K120" s="1" t="s">
        <v>112</v>
      </c>
      <c r="L120" s="1" t="s">
        <v>38</v>
      </c>
      <c r="M120" s="1" t="s">
        <v>66</v>
      </c>
      <c r="N120" s="2">
        <v>40865</v>
      </c>
      <c r="O120" s="3">
        <v>1948603</v>
      </c>
      <c r="P120" s="3" t="s">
        <v>41</v>
      </c>
      <c r="Q120" s="1" t="s">
        <v>781</v>
      </c>
      <c r="R120" s="1" t="s">
        <v>693</v>
      </c>
      <c r="S120" s="3" t="s">
        <v>44</v>
      </c>
      <c r="T120" s="3" t="s">
        <v>152</v>
      </c>
      <c r="U120" s="2">
        <v>42927</v>
      </c>
      <c r="V120" s="2">
        <v>43084</v>
      </c>
      <c r="W120" s="2">
        <v>43112</v>
      </c>
      <c r="X120" s="2">
        <v>43186</v>
      </c>
      <c r="Y120" s="2">
        <v>43239</v>
      </c>
      <c r="Z120" s="3" t="s">
        <v>782</v>
      </c>
      <c r="AA120" s="3" t="s">
        <v>783</v>
      </c>
      <c r="AB120" s="3" t="s">
        <v>784</v>
      </c>
      <c r="AC120" s="2">
        <v>43239</v>
      </c>
      <c r="AD120" s="2">
        <v>56593</v>
      </c>
      <c r="AE120" s="2" t="s">
        <v>106</v>
      </c>
      <c r="AF120" s="2">
        <v>45280</v>
      </c>
      <c r="AG120" s="2" t="s">
        <v>697</v>
      </c>
      <c r="AH120" s="2" t="s">
        <v>697</v>
      </c>
      <c r="AI120" s="48">
        <v>1948603</v>
      </c>
      <c r="AJ120" s="13">
        <v>0.57709999999999995</v>
      </c>
      <c r="AK120" s="71" t="str">
        <f t="shared" si="7"/>
        <v>TELB1</v>
      </c>
    </row>
    <row r="121" spans="1:37" ht="118.95" customHeight="1" x14ac:dyDescent="0.3">
      <c r="A121" t="s">
        <v>1889</v>
      </c>
      <c r="B121" s="1">
        <f t="shared" si="6"/>
        <v>189</v>
      </c>
      <c r="C121" cm="1">
        <f t="array" ref="C121">IFERROR(MAX(--_xlfn.TEXTSPLIT(D121,";")),0)</f>
        <v>189</v>
      </c>
      <c r="D121">
        <v>189</v>
      </c>
      <c r="E121" s="1" t="s">
        <v>32</v>
      </c>
      <c r="F121" s="59" t="s">
        <v>33</v>
      </c>
      <c r="G121" s="1">
        <v>1</v>
      </c>
      <c r="H121" s="59" t="s">
        <v>34</v>
      </c>
      <c r="I121" s="1" t="s">
        <v>35</v>
      </c>
      <c r="J121" s="1" t="s">
        <v>36</v>
      </c>
      <c r="K121" s="1" t="s">
        <v>37</v>
      </c>
      <c r="L121" s="1" t="s">
        <v>38</v>
      </c>
      <c r="M121" s="1" t="s">
        <v>39</v>
      </c>
      <c r="N121" s="2" t="s">
        <v>40</v>
      </c>
      <c r="O121" s="3">
        <v>587208.35782083974</v>
      </c>
      <c r="P121" s="3" t="s">
        <v>41</v>
      </c>
      <c r="Q121" s="4" t="s">
        <v>42</v>
      </c>
      <c r="R121" s="1" t="s">
        <v>43</v>
      </c>
      <c r="S121" s="3" t="s">
        <v>44</v>
      </c>
      <c r="T121" s="3" t="s">
        <v>45</v>
      </c>
      <c r="U121" s="2">
        <v>33909</v>
      </c>
      <c r="V121" s="2">
        <v>33967</v>
      </c>
      <c r="W121" s="2">
        <v>34012</v>
      </c>
      <c r="X121" s="2">
        <v>34067</v>
      </c>
      <c r="Y121" s="2">
        <v>34142</v>
      </c>
      <c r="Z121" s="3" t="s">
        <v>46</v>
      </c>
      <c r="AA121" s="3" t="s">
        <v>47</v>
      </c>
      <c r="AB121" s="3" t="s">
        <v>48</v>
      </c>
      <c r="AC121" s="2">
        <v>34225</v>
      </c>
      <c r="AD121" s="2">
        <v>42550</v>
      </c>
      <c r="AE121" s="2" t="s">
        <v>49</v>
      </c>
      <c r="AF121" s="2" t="s">
        <v>50</v>
      </c>
      <c r="AG121" s="2">
        <v>34955</v>
      </c>
      <c r="AH121" s="2">
        <v>35248</v>
      </c>
      <c r="AI121" s="48">
        <v>1602634.08</v>
      </c>
      <c r="AJ121" s="6">
        <v>1</v>
      </c>
      <c r="AK121" s="71" t="str">
        <f t="shared" si="7"/>
        <v>TEME1</v>
      </c>
    </row>
    <row r="122" spans="1:37" ht="118.95" customHeight="1" x14ac:dyDescent="0.3">
      <c r="B122" s="1">
        <f t="shared" si="6"/>
        <v>189</v>
      </c>
      <c r="C122" cm="1">
        <f t="array" ref="C122">IFERROR(MAX(--_xlfn.TEXTSPLIT(D122,";")),0)</f>
        <v>161.18899999999999</v>
      </c>
      <c r="D122">
        <v>161.18899999999999</v>
      </c>
      <c r="E122" s="21" t="s">
        <v>722</v>
      </c>
      <c r="F122" s="59" t="s">
        <v>33</v>
      </c>
      <c r="G122" s="1">
        <v>2</v>
      </c>
      <c r="H122" s="21" t="s">
        <v>723</v>
      </c>
      <c r="I122" s="1" t="s">
        <v>724</v>
      </c>
      <c r="J122" s="1" t="s">
        <v>36</v>
      </c>
      <c r="K122" s="1" t="s">
        <v>37</v>
      </c>
      <c r="L122" s="1" t="s">
        <v>38</v>
      </c>
      <c r="M122" s="1" t="s">
        <v>39</v>
      </c>
      <c r="N122" s="2" t="s">
        <v>40</v>
      </c>
      <c r="O122" s="3">
        <v>3026000</v>
      </c>
      <c r="P122" s="3" t="s">
        <v>41</v>
      </c>
      <c r="Q122" s="1" t="s">
        <v>725</v>
      </c>
      <c r="R122" s="1" t="s">
        <v>43</v>
      </c>
      <c r="S122" s="3" t="s">
        <v>44</v>
      </c>
      <c r="T122" s="3" t="s">
        <v>152</v>
      </c>
      <c r="U122" s="2">
        <v>42291</v>
      </c>
      <c r="V122" s="2">
        <v>42417</v>
      </c>
      <c r="W122" s="2">
        <v>42436</v>
      </c>
      <c r="X122" s="2">
        <v>42464</v>
      </c>
      <c r="Y122" s="2">
        <v>42528</v>
      </c>
      <c r="Z122" s="3" t="s">
        <v>726</v>
      </c>
      <c r="AA122" s="3" t="s">
        <v>727</v>
      </c>
      <c r="AB122" s="3" t="s">
        <v>728</v>
      </c>
      <c r="AC122" s="2">
        <v>42528</v>
      </c>
      <c r="AD122" s="2">
        <v>45838</v>
      </c>
      <c r="AE122" s="2" t="s">
        <v>106</v>
      </c>
      <c r="AF122" s="2">
        <v>43385</v>
      </c>
      <c r="AG122" s="2">
        <v>44855</v>
      </c>
      <c r="AH122" s="2">
        <v>45138</v>
      </c>
      <c r="AI122" s="48">
        <v>2592310.0499999998</v>
      </c>
      <c r="AJ122" s="17">
        <v>1</v>
      </c>
      <c r="AK122" s="71" t="str">
        <f t="shared" si="7"/>
        <v>TEME2</v>
      </c>
    </row>
    <row r="123" spans="1:37" ht="118.95" customHeight="1" x14ac:dyDescent="0.3">
      <c r="B123" s="1">
        <f t="shared" si="6"/>
        <v>189</v>
      </c>
      <c r="C123" cm="1">
        <f t="array" ref="C123">IFERROR(MAX(--_xlfn.TEXTSPLIT(D123,";")),0)</f>
        <v>162</v>
      </c>
      <c r="D123" t="s">
        <v>1840</v>
      </c>
      <c r="E123" s="21" t="s">
        <v>164</v>
      </c>
      <c r="F123" s="21" t="s">
        <v>1884</v>
      </c>
      <c r="G123" s="1">
        <v>1</v>
      </c>
      <c r="H123" s="21" t="s">
        <v>165</v>
      </c>
      <c r="I123" s="1" t="s">
        <v>166</v>
      </c>
      <c r="J123" s="1" t="s">
        <v>36</v>
      </c>
      <c r="K123" s="1" t="s">
        <v>167</v>
      </c>
      <c r="L123" s="1" t="s">
        <v>38</v>
      </c>
      <c r="M123" s="1" t="s">
        <v>39</v>
      </c>
      <c r="N123" s="2" t="s">
        <v>40</v>
      </c>
      <c r="O123" s="3">
        <v>6105000</v>
      </c>
      <c r="P123" s="3" t="s">
        <v>41</v>
      </c>
      <c r="Q123" s="1" t="s">
        <v>168</v>
      </c>
      <c r="R123" s="1" t="s">
        <v>43</v>
      </c>
      <c r="S123" s="3" t="s">
        <v>123</v>
      </c>
      <c r="T123" s="3" t="s">
        <v>85</v>
      </c>
      <c r="U123" s="2">
        <v>35370</v>
      </c>
      <c r="V123" s="2">
        <v>35548</v>
      </c>
      <c r="W123" s="2">
        <v>35562</v>
      </c>
      <c r="X123" s="2">
        <v>35656</v>
      </c>
      <c r="Y123" s="2">
        <v>35731</v>
      </c>
      <c r="Z123" s="3" t="s">
        <v>169</v>
      </c>
      <c r="AA123" s="3" t="s">
        <v>170</v>
      </c>
      <c r="AB123" s="3" t="s">
        <v>171</v>
      </c>
      <c r="AC123" s="2">
        <v>35976</v>
      </c>
      <c r="AD123" s="2">
        <v>46111</v>
      </c>
      <c r="AE123" s="2" t="s">
        <v>49</v>
      </c>
      <c r="AF123" s="2" t="s">
        <v>50</v>
      </c>
      <c r="AG123" s="2">
        <v>37148</v>
      </c>
      <c r="AH123" s="2">
        <v>37834</v>
      </c>
      <c r="AI123" s="70">
        <v>9358918.5</v>
      </c>
      <c r="AJ123" s="17">
        <v>1</v>
      </c>
      <c r="AK123" s="71" t="str">
        <f t="shared" si="7"/>
        <v>TERB1</v>
      </c>
    </row>
    <row r="124" spans="1:37" ht="118.95" customHeight="1" x14ac:dyDescent="0.3">
      <c r="B124" s="1">
        <f t="shared" si="6"/>
        <v>189</v>
      </c>
      <c r="C124" cm="1">
        <f t="array" ref="C124">IFERROR(MAX(--_xlfn.TEXTSPLIT(D124,";")),0)</f>
        <v>162</v>
      </c>
      <c r="D124" t="s">
        <v>1840</v>
      </c>
      <c r="E124" s="29" t="s">
        <v>1017</v>
      </c>
      <c r="F124" s="21" t="s">
        <v>1884</v>
      </c>
      <c r="G124" s="1">
        <v>2</v>
      </c>
      <c r="H124" s="29" t="s">
        <v>1885</v>
      </c>
      <c r="I124" s="1" t="s">
        <v>1019</v>
      </c>
      <c r="J124" s="1" t="s">
        <v>36</v>
      </c>
      <c r="K124" s="1" t="s">
        <v>1020</v>
      </c>
      <c r="L124" s="1" t="s">
        <v>38</v>
      </c>
      <c r="M124" s="1" t="s">
        <v>39</v>
      </c>
      <c r="N124" s="2"/>
      <c r="O124" s="3">
        <v>19330000</v>
      </c>
      <c r="P124" s="1" t="s">
        <v>41</v>
      </c>
      <c r="Q124" s="1" t="s">
        <v>1021</v>
      </c>
      <c r="R124" s="1" t="s">
        <v>662</v>
      </c>
      <c r="S124" s="1" t="s">
        <v>44</v>
      </c>
      <c r="T124" s="1" t="s">
        <v>1022</v>
      </c>
      <c r="U124" s="2">
        <v>45288</v>
      </c>
      <c r="V124" s="2">
        <v>45681</v>
      </c>
      <c r="W124" s="2">
        <v>45723</v>
      </c>
      <c r="X124" s="2">
        <v>45831</v>
      </c>
      <c r="Y124" s="2">
        <v>45937</v>
      </c>
      <c r="Z124" s="1" t="s">
        <v>1023</v>
      </c>
      <c r="AA124" s="1" t="s">
        <v>1024</v>
      </c>
      <c r="AB124" s="1" t="s">
        <v>1025</v>
      </c>
      <c r="AC124" s="2">
        <v>45937</v>
      </c>
      <c r="AD124" s="2">
        <v>60912</v>
      </c>
      <c r="AE124" s="1" t="s">
        <v>106</v>
      </c>
      <c r="AF124" s="1" t="s">
        <v>855</v>
      </c>
      <c r="AG124" s="1" t="s">
        <v>697</v>
      </c>
      <c r="AH124" s="1" t="s">
        <v>697</v>
      </c>
      <c r="AI124" s="61">
        <v>19330000</v>
      </c>
      <c r="AJ124" s="27">
        <v>0</v>
      </c>
      <c r="AK124" s="71" t="str">
        <f t="shared" si="7"/>
        <v>TERB2</v>
      </c>
    </row>
    <row r="125" spans="1:37" ht="201.6" x14ac:dyDescent="0.3">
      <c r="B125" s="1">
        <f t="shared" si="6"/>
        <v>189</v>
      </c>
      <c r="C125" cm="1">
        <f t="array" ref="C125">IFERROR(MAX(--_xlfn.TEXTSPLIT(D125,";")),0)</f>
        <v>163</v>
      </c>
      <c r="D125" t="s">
        <v>1841</v>
      </c>
      <c r="E125" s="11" t="s">
        <v>622</v>
      </c>
      <c r="F125" s="63" t="s">
        <v>1886</v>
      </c>
      <c r="G125" s="1">
        <v>1</v>
      </c>
      <c r="H125" s="1" t="s">
        <v>623</v>
      </c>
      <c r="I125" s="1" t="s">
        <v>624</v>
      </c>
      <c r="J125" s="1" t="s">
        <v>36</v>
      </c>
      <c r="K125" s="1" t="s">
        <v>625</v>
      </c>
      <c r="L125" s="1" t="s">
        <v>38</v>
      </c>
      <c r="M125" s="1" t="s">
        <v>39</v>
      </c>
      <c r="N125" s="2" t="s">
        <v>40</v>
      </c>
      <c r="O125" s="3">
        <v>7900000</v>
      </c>
      <c r="P125" s="3" t="s">
        <v>41</v>
      </c>
      <c r="Q125" s="1" t="s">
        <v>626</v>
      </c>
      <c r="R125" s="1" t="s">
        <v>133</v>
      </c>
      <c r="S125" s="3" t="s">
        <v>123</v>
      </c>
      <c r="T125" s="3" t="s">
        <v>484</v>
      </c>
      <c r="U125" s="2">
        <v>40865</v>
      </c>
      <c r="V125" s="2">
        <v>40890</v>
      </c>
      <c r="W125" s="2">
        <v>40897</v>
      </c>
      <c r="X125" s="2">
        <v>40934</v>
      </c>
      <c r="Y125" s="2">
        <v>41002</v>
      </c>
      <c r="Z125" s="3" t="s">
        <v>627</v>
      </c>
      <c r="AA125" s="3" t="s">
        <v>628</v>
      </c>
      <c r="AB125" s="3" t="s">
        <v>629</v>
      </c>
      <c r="AC125" s="2">
        <v>41002</v>
      </c>
      <c r="AD125" s="2">
        <v>53784</v>
      </c>
      <c r="AE125" s="2" t="s">
        <v>106</v>
      </c>
      <c r="AF125" s="2" t="s">
        <v>50</v>
      </c>
      <c r="AG125" s="2">
        <v>42499</v>
      </c>
      <c r="AH125" s="2">
        <v>42795</v>
      </c>
      <c r="AI125" s="67">
        <v>8977038.0899999999</v>
      </c>
      <c r="AJ125" s="17">
        <v>1</v>
      </c>
      <c r="AK125" s="71" t="str">
        <f t="shared" si="7"/>
        <v>VALS1</v>
      </c>
    </row>
    <row r="126" spans="1:37" ht="187.2" x14ac:dyDescent="0.3">
      <c r="B126" s="1">
        <f t="shared" si="6"/>
        <v>189</v>
      </c>
      <c r="C126" cm="1">
        <f t="array" ref="C126">IFERROR(MAX(--_xlfn.TEXTSPLIT(D126,";")),0)</f>
        <v>164</v>
      </c>
      <c r="D126" t="s">
        <v>1842</v>
      </c>
      <c r="E126" s="1" t="s">
        <v>296</v>
      </c>
      <c r="F126" s="63" t="s">
        <v>297</v>
      </c>
      <c r="G126" s="1">
        <v>1</v>
      </c>
      <c r="H126" s="1" t="s">
        <v>298</v>
      </c>
      <c r="I126" s="1" t="s">
        <v>299</v>
      </c>
      <c r="J126" s="1" t="s">
        <v>36</v>
      </c>
      <c r="K126" s="1" t="s">
        <v>112</v>
      </c>
      <c r="L126" s="1" t="s">
        <v>38</v>
      </c>
      <c r="M126" s="1" t="s">
        <v>66</v>
      </c>
      <c r="N126" s="2" t="s">
        <v>40</v>
      </c>
      <c r="O126" s="3">
        <v>669100</v>
      </c>
      <c r="P126" s="3" t="s">
        <v>41</v>
      </c>
      <c r="Q126" s="1" t="s">
        <v>300</v>
      </c>
      <c r="R126" s="1" t="s">
        <v>133</v>
      </c>
      <c r="S126" s="3" t="s">
        <v>44</v>
      </c>
      <c r="T126" s="3" t="s">
        <v>301</v>
      </c>
      <c r="U126" s="2">
        <v>36874</v>
      </c>
      <c r="V126" s="2">
        <v>37046</v>
      </c>
      <c r="W126" s="2">
        <v>37068</v>
      </c>
      <c r="X126" s="2">
        <v>37120</v>
      </c>
      <c r="Y126" s="2">
        <v>37193</v>
      </c>
      <c r="Z126" s="3" t="s">
        <v>302</v>
      </c>
      <c r="AA126" s="3" t="s">
        <v>303</v>
      </c>
      <c r="AB126" s="3" t="s">
        <v>304</v>
      </c>
      <c r="AC126" s="2">
        <v>37740</v>
      </c>
      <c r="AD126" s="2">
        <v>48697</v>
      </c>
      <c r="AE126" s="2" t="s">
        <v>49</v>
      </c>
      <c r="AF126" s="2" t="s">
        <v>50</v>
      </c>
      <c r="AG126" s="2">
        <v>38104</v>
      </c>
      <c r="AH126" s="2">
        <v>38709</v>
      </c>
      <c r="AI126" s="67">
        <v>907495.36</v>
      </c>
      <c r="AJ126" s="17">
        <v>1</v>
      </c>
      <c r="AK126" s="71" t="str">
        <f t="shared" si="7"/>
        <v>VAME1</v>
      </c>
    </row>
    <row r="127" spans="1:37" ht="125.4" customHeight="1" x14ac:dyDescent="0.3">
      <c r="B127" s="1">
        <f t="shared" si="6"/>
        <v>189</v>
      </c>
      <c r="C127" cm="1">
        <f t="array" ref="C127">IFERROR(MAX(--_xlfn.TEXTSPLIT(D127,";")),0)</f>
        <v>168</v>
      </c>
      <c r="D127" t="s">
        <v>1843</v>
      </c>
      <c r="E127" s="11" t="s">
        <v>508</v>
      </c>
      <c r="F127" s="63" t="s">
        <v>1887</v>
      </c>
      <c r="G127" s="1">
        <v>1</v>
      </c>
      <c r="H127" s="1" t="s">
        <v>509</v>
      </c>
      <c r="I127" s="1" t="s">
        <v>510</v>
      </c>
      <c r="J127" s="1" t="s">
        <v>36</v>
      </c>
      <c r="K127" s="1" t="s">
        <v>344</v>
      </c>
      <c r="L127" s="1" t="s">
        <v>38</v>
      </c>
      <c r="M127" s="1" t="s">
        <v>39</v>
      </c>
      <c r="N127" s="2" t="s">
        <v>40</v>
      </c>
      <c r="O127" s="3">
        <v>7230000</v>
      </c>
      <c r="P127" s="3" t="s">
        <v>41</v>
      </c>
      <c r="Q127" s="1" t="s">
        <v>511</v>
      </c>
      <c r="R127" s="1" t="s">
        <v>133</v>
      </c>
      <c r="S127" s="3" t="s">
        <v>44</v>
      </c>
      <c r="T127" s="3" t="s">
        <v>512</v>
      </c>
      <c r="U127" s="2">
        <v>39445</v>
      </c>
      <c r="V127" s="2">
        <v>39707</v>
      </c>
      <c r="W127" s="2">
        <v>39738</v>
      </c>
      <c r="X127" s="2">
        <v>39821</v>
      </c>
      <c r="Y127" s="2">
        <v>39876</v>
      </c>
      <c r="Z127" s="3" t="s">
        <v>513</v>
      </c>
      <c r="AA127" s="3" t="s">
        <v>514</v>
      </c>
      <c r="AB127" s="3" t="s">
        <v>515</v>
      </c>
      <c r="AC127" s="2">
        <v>39876</v>
      </c>
      <c r="AD127" s="2">
        <v>52659</v>
      </c>
      <c r="AE127" s="2" t="s">
        <v>106</v>
      </c>
      <c r="AF127" s="2">
        <v>40552</v>
      </c>
      <c r="AG127" s="2">
        <v>40850</v>
      </c>
      <c r="AH127" s="2">
        <v>41033</v>
      </c>
      <c r="AI127" s="67">
        <v>6465494.1300000008</v>
      </c>
      <c r="AJ127" s="17">
        <v>1</v>
      </c>
      <c r="AK127" s="71" t="str">
        <f t="shared" si="7"/>
        <v>VCAL1</v>
      </c>
    </row>
    <row r="128" spans="1:37" ht="259.2" x14ac:dyDescent="0.3">
      <c r="B128" s="1">
        <f t="shared" si="6"/>
        <v>189</v>
      </c>
      <c r="C128" cm="1">
        <f t="array" ref="C128">IFERROR(MAX(--_xlfn.TEXTSPLIT(D128,";")),0)</f>
        <v>174</v>
      </c>
      <c r="D128" t="s">
        <v>1844</v>
      </c>
      <c r="E128" s="1" t="s">
        <v>447</v>
      </c>
      <c r="F128" s="63" t="s">
        <v>448</v>
      </c>
      <c r="G128" s="1">
        <v>1</v>
      </c>
      <c r="H128" s="63" t="s">
        <v>449</v>
      </c>
      <c r="I128" s="1" t="s">
        <v>450</v>
      </c>
      <c r="J128" s="1" t="s">
        <v>111</v>
      </c>
      <c r="K128" s="1" t="s">
        <v>112</v>
      </c>
      <c r="L128" s="1" t="s">
        <v>38</v>
      </c>
      <c r="M128" s="1" t="s">
        <v>66</v>
      </c>
      <c r="N128" s="2">
        <v>36119</v>
      </c>
      <c r="O128" s="3">
        <v>2500000</v>
      </c>
      <c r="P128" s="3" t="s">
        <v>41</v>
      </c>
      <c r="Q128" s="1" t="s">
        <v>451</v>
      </c>
      <c r="R128" s="1" t="s">
        <v>133</v>
      </c>
      <c r="S128" s="3" t="s">
        <v>44</v>
      </c>
      <c r="T128" s="3" t="s">
        <v>452</v>
      </c>
      <c r="U128" s="2">
        <v>38091</v>
      </c>
      <c r="V128" s="2">
        <v>38217</v>
      </c>
      <c r="W128" s="2">
        <v>38239</v>
      </c>
      <c r="X128" s="2">
        <v>38317</v>
      </c>
      <c r="Y128" s="2">
        <v>38404</v>
      </c>
      <c r="Z128" s="3" t="s">
        <v>453</v>
      </c>
      <c r="AA128" s="3" t="s">
        <v>454</v>
      </c>
      <c r="AB128" s="3" t="s">
        <v>446</v>
      </c>
      <c r="AC128" s="2">
        <v>38404</v>
      </c>
      <c r="AD128" s="2">
        <v>50272</v>
      </c>
      <c r="AE128" s="2" t="s">
        <v>106</v>
      </c>
      <c r="AF128" s="2" t="s">
        <v>50</v>
      </c>
      <c r="AG128" s="2">
        <v>39632</v>
      </c>
      <c r="AH128" s="2">
        <v>39967</v>
      </c>
      <c r="AI128" s="67">
        <v>4102180.9400000004</v>
      </c>
      <c r="AJ128" s="17">
        <v>1</v>
      </c>
      <c r="AK128" s="71" t="str">
        <f t="shared" si="7"/>
        <v>VVSK1</v>
      </c>
    </row>
  </sheetData>
  <autoFilter ref="AK1:AK128" xr:uid="{80840258-79EC-4B6B-9344-9FB50696C2EB}">
    <sortState xmlns:xlrd2="http://schemas.microsoft.com/office/spreadsheetml/2017/richdata2" ref="AK2:AK128">
      <sortCondition ref="AK1:AK128"/>
    </sortState>
  </autoFilter>
  <hyperlinks>
    <hyperlink ref="AB89" r:id="rId1" xr:uid="{3A35BB87-9951-4ED5-AA29-091A491DDB47}"/>
    <hyperlink ref="AB30" r:id="rId2" xr:uid="{A7AC609C-93C4-4D0F-A98C-DAEAD72B9010}"/>
    <hyperlink ref="AB22" r:id="rId3" xr:uid="{05C15554-DCDF-431F-AD25-1C380DC7CEC4}"/>
    <hyperlink ref="AB43" r:id="rId4" xr:uid="{87BC28C3-53E7-47EA-B968-2A58A8F67912}"/>
    <hyperlink ref="Q121" r:id="rId5" xr:uid="{B49BBFD3-FB03-4C12-AC55-9D1C4895F494}"/>
    <hyperlink ref="Q51" r:id="rId6" xr:uid="{1138822B-B318-43D2-A038-0D1CD40CE0B7}"/>
    <hyperlink ref="Q30" r:id="rId7" xr:uid="{2E77FBF3-3CB1-478B-B257-31FCF663D5B8}"/>
    <hyperlink ref="Q44" r:id="rId8" xr:uid="{0F4295B4-8EDE-4758-9A55-F4853FF8222E}"/>
    <hyperlink ref="Q17" r:id="rId9" xr:uid="{46211A6B-BFAD-42AC-B417-8C1607D4535F}"/>
    <hyperlink ref="Q112" r:id="rId10" xr:uid="{2894B2BC-A82D-4794-8EC7-8A7B8E485FB4}"/>
    <hyperlink ref="Q54" r:id="rId11" xr:uid="{2E95F99E-734D-4C76-92AB-BB6F176ECC2F}"/>
    <hyperlink ref="Q40" r:id="rId12" xr:uid="{8E328797-2212-4653-8818-403B07F4C7E7}"/>
    <hyperlink ref="Q7" r:id="rId13" xr:uid="{C9A6B126-DDA8-453E-B080-E457A615240F}"/>
    <hyperlink ref="Q118" r:id="rId14" xr:uid="{586AA5B2-42E2-484A-8B74-344C94797228}"/>
    <hyperlink ref="Q49" r:id="rId15" xr:uid="{4F19ED2C-C6A4-4902-B9F6-A35679B73E9D}"/>
    <hyperlink ref="Q58" r:id="rId16" xr:uid="{442FD632-40EB-430C-826C-3AE86A4B3DAC}"/>
    <hyperlink ref="AB24" r:id="rId17" xr:uid="{195EDB41-08E6-4AFD-B121-E5FACB6C4643}"/>
    <hyperlink ref="AB67"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6" t="s">
        <v>0</v>
      </c>
      <c r="B1" s="37" t="s">
        <v>3</v>
      </c>
      <c r="C1" s="38" t="s">
        <v>1037</v>
      </c>
      <c r="D1" s="38" t="s">
        <v>1038</v>
      </c>
      <c r="E1" s="36" t="s">
        <v>1039</v>
      </c>
    </row>
    <row r="2" spans="1:5" ht="28.8" x14ac:dyDescent="0.3">
      <c r="A2" t="s">
        <v>32</v>
      </c>
      <c r="B2" s="39" t="s">
        <v>34</v>
      </c>
      <c r="C2" t="s">
        <v>1040</v>
      </c>
      <c r="D2" s="28" t="s">
        <v>1041</v>
      </c>
      <c r="E2" t="s">
        <v>1042</v>
      </c>
    </row>
    <row r="3" spans="1:5" ht="28.8" x14ac:dyDescent="0.3">
      <c r="A3" t="s">
        <v>32</v>
      </c>
      <c r="B3" s="39" t="s">
        <v>34</v>
      </c>
      <c r="C3" t="s">
        <v>1043</v>
      </c>
      <c r="D3" s="40" t="s">
        <v>1044</v>
      </c>
      <c r="E3" t="s">
        <v>1042</v>
      </c>
    </row>
    <row r="4" spans="1:5" ht="28.8" x14ac:dyDescent="0.3">
      <c r="A4" t="s">
        <v>32</v>
      </c>
      <c r="B4" s="39" t="s">
        <v>34</v>
      </c>
      <c r="C4" t="s">
        <v>1045</v>
      </c>
      <c r="D4" s="40" t="s">
        <v>1046</v>
      </c>
      <c r="E4" t="s">
        <v>1042</v>
      </c>
    </row>
    <row r="5" spans="1:5" ht="28.8" x14ac:dyDescent="0.3">
      <c r="A5" t="s">
        <v>32</v>
      </c>
      <c r="B5" s="39" t="s">
        <v>34</v>
      </c>
      <c r="C5" t="s">
        <v>1047</v>
      </c>
      <c r="D5" s="40" t="s">
        <v>1048</v>
      </c>
      <c r="E5" t="s">
        <v>1042</v>
      </c>
    </row>
    <row r="6" spans="1:5" ht="28.8" x14ac:dyDescent="0.3">
      <c r="A6" t="s">
        <v>32</v>
      </c>
      <c r="B6" s="39" t="s">
        <v>34</v>
      </c>
      <c r="C6" t="s">
        <v>1049</v>
      </c>
      <c r="D6" s="40" t="s">
        <v>1050</v>
      </c>
      <c r="E6" t="s">
        <v>1051</v>
      </c>
    </row>
    <row r="7" spans="1:5" ht="28.8" x14ac:dyDescent="0.3">
      <c r="A7" t="s">
        <v>32</v>
      </c>
      <c r="B7" s="39" t="s">
        <v>34</v>
      </c>
      <c r="C7" t="s">
        <v>1052</v>
      </c>
      <c r="D7" s="40" t="s">
        <v>1053</v>
      </c>
      <c r="E7" t="s">
        <v>1042</v>
      </c>
    </row>
    <row r="8" spans="1:5" ht="28.8" x14ac:dyDescent="0.3">
      <c r="A8" t="s">
        <v>51</v>
      </c>
      <c r="B8" s="39" t="s">
        <v>53</v>
      </c>
      <c r="C8" t="s">
        <v>1054</v>
      </c>
      <c r="D8" s="40" t="s">
        <v>1044</v>
      </c>
      <c r="E8" t="s">
        <v>1051</v>
      </c>
    </row>
    <row r="9" spans="1:5" ht="72" x14ac:dyDescent="0.3">
      <c r="A9" t="s">
        <v>61</v>
      </c>
      <c r="B9" s="39" t="s">
        <v>62</v>
      </c>
      <c r="C9" t="s">
        <v>1055</v>
      </c>
      <c r="D9" s="40" t="s">
        <v>1056</v>
      </c>
      <c r="E9" t="s">
        <v>1042</v>
      </c>
    </row>
    <row r="10" spans="1:5" ht="72" x14ac:dyDescent="0.3">
      <c r="A10" t="s">
        <v>61</v>
      </c>
      <c r="B10" s="39" t="s">
        <v>62</v>
      </c>
      <c r="C10" t="s">
        <v>1057</v>
      </c>
      <c r="D10" s="40" t="s">
        <v>1058</v>
      </c>
      <c r="E10" t="s">
        <v>1042</v>
      </c>
    </row>
    <row r="11" spans="1:5" ht="72" x14ac:dyDescent="0.3">
      <c r="A11" t="s">
        <v>61</v>
      </c>
      <c r="B11" s="39" t="s">
        <v>62</v>
      </c>
      <c r="C11" t="s">
        <v>1059</v>
      </c>
      <c r="D11" s="40" t="s">
        <v>1060</v>
      </c>
      <c r="E11" t="s">
        <v>1061</v>
      </c>
    </row>
    <row r="12" spans="1:5" ht="57.6" x14ac:dyDescent="0.3">
      <c r="A12" t="s">
        <v>72</v>
      </c>
      <c r="B12" s="39" t="s">
        <v>73</v>
      </c>
      <c r="C12" t="s">
        <v>1062</v>
      </c>
      <c r="D12" s="40" t="s">
        <v>1063</v>
      </c>
      <c r="E12" t="s">
        <v>1051</v>
      </c>
    </row>
    <row r="13" spans="1:5" ht="57.6" x14ac:dyDescent="0.3">
      <c r="A13" t="s">
        <v>72</v>
      </c>
      <c r="B13" s="39" t="s">
        <v>73</v>
      </c>
      <c r="C13" t="s">
        <v>1064</v>
      </c>
      <c r="D13" s="40" t="s">
        <v>1065</v>
      </c>
      <c r="E13" t="s">
        <v>1042</v>
      </c>
    </row>
    <row r="14" spans="1:5" ht="28.8" x14ac:dyDescent="0.3">
      <c r="A14" t="s">
        <v>80</v>
      </c>
      <c r="B14" s="39" t="s">
        <v>81</v>
      </c>
      <c r="C14" t="s">
        <v>1066</v>
      </c>
      <c r="D14" s="40" t="s">
        <v>1067</v>
      </c>
      <c r="E14" t="s">
        <v>1042</v>
      </c>
    </row>
    <row r="15" spans="1:5" ht="28.8" x14ac:dyDescent="0.3">
      <c r="A15" t="s">
        <v>80</v>
      </c>
      <c r="B15" s="39" t="s">
        <v>81</v>
      </c>
      <c r="C15" t="s">
        <v>1068</v>
      </c>
      <c r="D15" s="40" t="s">
        <v>1069</v>
      </c>
      <c r="E15" t="s">
        <v>1042</v>
      </c>
    </row>
    <row r="16" spans="1:5" ht="28.8" x14ac:dyDescent="0.3">
      <c r="A16" t="s">
        <v>80</v>
      </c>
      <c r="B16" s="39" t="s">
        <v>81</v>
      </c>
      <c r="C16" t="s">
        <v>1070</v>
      </c>
      <c r="D16" s="40" t="s">
        <v>1071</v>
      </c>
      <c r="E16" t="s">
        <v>1042</v>
      </c>
    </row>
    <row r="17" spans="1:5" ht="28.8" x14ac:dyDescent="0.3">
      <c r="A17" t="s">
        <v>80</v>
      </c>
      <c r="B17" s="39" t="s">
        <v>81</v>
      </c>
      <c r="C17" t="s">
        <v>1072</v>
      </c>
      <c r="D17" s="40" t="s">
        <v>1073</v>
      </c>
      <c r="E17" t="s">
        <v>1061</v>
      </c>
    </row>
    <row r="18" spans="1:5" ht="43.2" x14ac:dyDescent="0.3">
      <c r="A18" t="s">
        <v>89</v>
      </c>
      <c r="B18" s="39" t="s">
        <v>90</v>
      </c>
      <c r="C18" t="s">
        <v>1074</v>
      </c>
      <c r="D18" s="40" t="s">
        <v>1075</v>
      </c>
      <c r="E18" t="s">
        <v>1051</v>
      </c>
    </row>
    <row r="19" spans="1:5" ht="43.2" x14ac:dyDescent="0.3">
      <c r="A19" t="s">
        <v>89</v>
      </c>
      <c r="B19" s="39" t="s">
        <v>90</v>
      </c>
      <c r="C19" t="s">
        <v>1076</v>
      </c>
      <c r="D19" s="40" t="s">
        <v>1069</v>
      </c>
      <c r="E19" t="s">
        <v>1042</v>
      </c>
    </row>
    <row r="20" spans="1:5" ht="43.2" x14ac:dyDescent="0.3">
      <c r="A20" t="s">
        <v>89</v>
      </c>
      <c r="B20" s="39" t="s">
        <v>90</v>
      </c>
      <c r="C20" t="s">
        <v>1077</v>
      </c>
      <c r="D20" s="40" t="s">
        <v>1078</v>
      </c>
      <c r="E20" t="s">
        <v>1042</v>
      </c>
    </row>
    <row r="21" spans="1:5" ht="43.2" x14ac:dyDescent="0.3">
      <c r="A21" t="s">
        <v>89</v>
      </c>
      <c r="B21" s="39" t="s">
        <v>90</v>
      </c>
      <c r="C21" t="s">
        <v>1079</v>
      </c>
      <c r="D21" s="40" t="s">
        <v>1080</v>
      </c>
      <c r="E21" t="s">
        <v>1042</v>
      </c>
    </row>
    <row r="22" spans="1:5" ht="43.2" x14ac:dyDescent="0.3">
      <c r="A22" t="s">
        <v>89</v>
      </c>
      <c r="B22" s="39" t="s">
        <v>90</v>
      </c>
      <c r="C22" t="s">
        <v>1081</v>
      </c>
      <c r="D22" s="40" t="s">
        <v>1082</v>
      </c>
      <c r="E22" t="s">
        <v>1042</v>
      </c>
    </row>
    <row r="23" spans="1:5" ht="43.2" x14ac:dyDescent="0.3">
      <c r="A23" t="s">
        <v>89</v>
      </c>
      <c r="B23" s="39" t="s">
        <v>90</v>
      </c>
      <c r="C23" t="s">
        <v>1083</v>
      </c>
      <c r="D23" s="40" t="s">
        <v>1067</v>
      </c>
      <c r="E23" t="s">
        <v>1042</v>
      </c>
    </row>
    <row r="24" spans="1:5" ht="43.2" x14ac:dyDescent="0.3">
      <c r="A24" t="s">
        <v>98</v>
      </c>
      <c r="B24" s="39" t="s">
        <v>100</v>
      </c>
      <c r="C24" t="s">
        <v>1084</v>
      </c>
      <c r="D24" s="40" t="s">
        <v>1085</v>
      </c>
      <c r="E24" t="s">
        <v>1042</v>
      </c>
    </row>
    <row r="25" spans="1:5" ht="43.2" x14ac:dyDescent="0.3">
      <c r="A25" t="s">
        <v>98</v>
      </c>
      <c r="B25" s="39" t="s">
        <v>100</v>
      </c>
      <c r="C25" t="s">
        <v>1086</v>
      </c>
      <c r="D25" s="40" t="s">
        <v>1087</v>
      </c>
      <c r="E25" t="s">
        <v>1051</v>
      </c>
    </row>
    <row r="26" spans="1:5" ht="43.2" x14ac:dyDescent="0.3">
      <c r="A26" t="s">
        <v>98</v>
      </c>
      <c r="B26" s="39" t="s">
        <v>100</v>
      </c>
      <c r="C26" t="s">
        <v>1088</v>
      </c>
      <c r="D26" s="40" t="s">
        <v>1089</v>
      </c>
      <c r="E26" t="s">
        <v>1042</v>
      </c>
    </row>
    <row r="27" spans="1:5" ht="43.2" x14ac:dyDescent="0.3">
      <c r="A27" t="s">
        <v>98</v>
      </c>
      <c r="B27" s="39" t="s">
        <v>100</v>
      </c>
      <c r="C27" t="s">
        <v>1090</v>
      </c>
      <c r="D27" s="40" t="s">
        <v>1091</v>
      </c>
      <c r="E27" t="s">
        <v>1042</v>
      </c>
    </row>
    <row r="28" spans="1:5" ht="43.2" x14ac:dyDescent="0.3">
      <c r="A28" t="s">
        <v>107</v>
      </c>
      <c r="B28" s="39" t="s">
        <v>109</v>
      </c>
      <c r="C28" t="s">
        <v>1092</v>
      </c>
      <c r="D28" s="40" t="s">
        <v>1093</v>
      </c>
      <c r="E28" t="s">
        <v>1051</v>
      </c>
    </row>
    <row r="29" spans="1:5" ht="43.2" x14ac:dyDescent="0.3">
      <c r="A29" t="s">
        <v>118</v>
      </c>
      <c r="B29" s="39" t="s">
        <v>119</v>
      </c>
      <c r="C29" t="s">
        <v>1094</v>
      </c>
      <c r="D29" s="40" t="s">
        <v>1095</v>
      </c>
      <c r="E29" t="s">
        <v>1042</v>
      </c>
    </row>
    <row r="30" spans="1:5" ht="43.2" x14ac:dyDescent="0.3">
      <c r="A30" t="s">
        <v>118</v>
      </c>
      <c r="B30" s="39" t="s">
        <v>119</v>
      </c>
      <c r="C30" t="s">
        <v>1096</v>
      </c>
      <c r="D30" s="40" t="s">
        <v>1097</v>
      </c>
      <c r="E30" t="s">
        <v>1042</v>
      </c>
    </row>
    <row r="31" spans="1:5" ht="43.2" x14ac:dyDescent="0.3">
      <c r="A31" t="s">
        <v>118</v>
      </c>
      <c r="B31" s="39" t="s">
        <v>119</v>
      </c>
      <c r="C31" t="s">
        <v>1098</v>
      </c>
      <c r="D31" s="40" t="s">
        <v>1099</v>
      </c>
      <c r="E31" t="s">
        <v>1061</v>
      </c>
    </row>
    <row r="32" spans="1:5" ht="43.2" x14ac:dyDescent="0.3">
      <c r="A32" s="28" t="s">
        <v>128</v>
      </c>
      <c r="B32" s="39" t="s">
        <v>130</v>
      </c>
      <c r="C32" t="s">
        <v>1100</v>
      </c>
      <c r="D32" s="40" t="s">
        <v>1101</v>
      </c>
      <c r="E32" t="s">
        <v>1051</v>
      </c>
    </row>
    <row r="33" spans="1:5" ht="43.2" x14ac:dyDescent="0.3">
      <c r="A33" t="s">
        <v>138</v>
      </c>
      <c r="B33" s="39" t="s">
        <v>139</v>
      </c>
      <c r="C33" t="s">
        <v>1102</v>
      </c>
      <c r="D33" s="40" t="s">
        <v>1103</v>
      </c>
      <c r="E33" t="s">
        <v>1051</v>
      </c>
    </row>
    <row r="34" spans="1:5" ht="43.2" x14ac:dyDescent="0.3">
      <c r="A34" t="s">
        <v>138</v>
      </c>
      <c r="B34" s="39" t="s">
        <v>139</v>
      </c>
      <c r="C34" t="s">
        <v>1104</v>
      </c>
      <c r="D34" s="40" t="s">
        <v>1097</v>
      </c>
      <c r="E34" t="s">
        <v>1042</v>
      </c>
    </row>
    <row r="35" spans="1:5" ht="43.2" x14ac:dyDescent="0.3">
      <c r="A35" t="s">
        <v>138</v>
      </c>
      <c r="B35" s="39" t="s">
        <v>139</v>
      </c>
      <c r="C35" t="s">
        <v>1105</v>
      </c>
      <c r="D35" s="40" t="s">
        <v>1106</v>
      </c>
      <c r="E35" t="s">
        <v>1042</v>
      </c>
    </row>
    <row r="36" spans="1:5" ht="43.2" x14ac:dyDescent="0.3">
      <c r="A36" t="s">
        <v>138</v>
      </c>
      <c r="B36" s="39" t="s">
        <v>139</v>
      </c>
      <c r="C36" t="s">
        <v>1107</v>
      </c>
      <c r="D36" s="40" t="s">
        <v>1108</v>
      </c>
      <c r="E36" t="s">
        <v>1042</v>
      </c>
    </row>
    <row r="37" spans="1:5" ht="57.6" x14ac:dyDescent="0.3">
      <c r="A37" t="s">
        <v>147</v>
      </c>
      <c r="B37" s="39" t="s">
        <v>149</v>
      </c>
      <c r="C37" t="s">
        <v>1109</v>
      </c>
      <c r="D37" s="40" t="s">
        <v>1110</v>
      </c>
      <c r="E37" t="s">
        <v>1042</v>
      </c>
    </row>
    <row r="38" spans="1:5" ht="57.6" x14ac:dyDescent="0.3">
      <c r="A38" t="s">
        <v>147</v>
      </c>
      <c r="B38" s="39" t="s">
        <v>149</v>
      </c>
      <c r="C38" t="s">
        <v>1111</v>
      </c>
      <c r="D38" s="40" t="s">
        <v>1112</v>
      </c>
      <c r="E38" t="s">
        <v>1042</v>
      </c>
    </row>
    <row r="39" spans="1:5" ht="57.6" x14ac:dyDescent="0.3">
      <c r="A39" t="s">
        <v>147</v>
      </c>
      <c r="B39" s="39" t="s">
        <v>149</v>
      </c>
      <c r="C39" t="s">
        <v>1113</v>
      </c>
      <c r="D39" s="40" t="s">
        <v>1114</v>
      </c>
      <c r="E39" t="s">
        <v>1051</v>
      </c>
    </row>
    <row r="40" spans="1:5" ht="57.6" x14ac:dyDescent="0.3">
      <c r="A40" t="s">
        <v>147</v>
      </c>
      <c r="B40" s="39" t="s">
        <v>149</v>
      </c>
      <c r="C40" t="s">
        <v>1115</v>
      </c>
      <c r="D40" s="40" t="s">
        <v>1116</v>
      </c>
      <c r="E40" t="s">
        <v>1042</v>
      </c>
    </row>
    <row r="41" spans="1:5" ht="43.2" x14ac:dyDescent="0.3">
      <c r="A41" t="s">
        <v>156</v>
      </c>
      <c r="B41" s="39" t="s">
        <v>157</v>
      </c>
      <c r="C41" t="s">
        <v>1117</v>
      </c>
      <c r="D41" s="40" t="s">
        <v>1118</v>
      </c>
      <c r="E41" t="s">
        <v>1042</v>
      </c>
    </row>
    <row r="42" spans="1:5" ht="43.2" x14ac:dyDescent="0.3">
      <c r="A42" t="s">
        <v>156</v>
      </c>
      <c r="B42" s="39" t="s">
        <v>157</v>
      </c>
      <c r="C42" t="s">
        <v>1119</v>
      </c>
      <c r="D42" s="40" t="s">
        <v>1120</v>
      </c>
      <c r="E42" t="s">
        <v>1042</v>
      </c>
    </row>
    <row r="43" spans="1:5" ht="43.2" x14ac:dyDescent="0.3">
      <c r="A43" t="s">
        <v>156</v>
      </c>
      <c r="B43" s="39" t="s">
        <v>157</v>
      </c>
      <c r="C43" t="s">
        <v>1121</v>
      </c>
      <c r="D43" s="40" t="s">
        <v>1106</v>
      </c>
      <c r="E43" t="s">
        <v>1042</v>
      </c>
    </row>
    <row r="44" spans="1:5" ht="57.6" x14ac:dyDescent="0.3">
      <c r="A44" t="s">
        <v>164</v>
      </c>
      <c r="B44" s="39" t="s">
        <v>165</v>
      </c>
      <c r="C44" t="s">
        <v>1122</v>
      </c>
      <c r="D44" s="40" t="s">
        <v>1123</v>
      </c>
      <c r="E44" t="s">
        <v>1042</v>
      </c>
    </row>
    <row r="45" spans="1:5" ht="57.6" x14ac:dyDescent="0.3">
      <c r="A45" t="s">
        <v>164</v>
      </c>
      <c r="B45" s="39" t="s">
        <v>165</v>
      </c>
      <c r="C45" t="s">
        <v>1124</v>
      </c>
      <c r="D45" s="40" t="s">
        <v>1106</v>
      </c>
      <c r="E45" t="s">
        <v>1042</v>
      </c>
    </row>
    <row r="46" spans="1:5" ht="57.6" x14ac:dyDescent="0.3">
      <c r="A46" t="s">
        <v>164</v>
      </c>
      <c r="B46" s="39" t="s">
        <v>165</v>
      </c>
      <c r="C46" t="s">
        <v>1125</v>
      </c>
      <c r="D46" s="40" t="s">
        <v>1126</v>
      </c>
      <c r="E46" t="s">
        <v>1051</v>
      </c>
    </row>
    <row r="47" spans="1:5" ht="57.6" x14ac:dyDescent="0.3">
      <c r="A47" t="s">
        <v>172</v>
      </c>
      <c r="B47" s="39" t="s">
        <v>173</v>
      </c>
      <c r="C47" t="s">
        <v>1127</v>
      </c>
      <c r="D47" s="40" t="s">
        <v>1128</v>
      </c>
      <c r="E47" t="s">
        <v>1042</v>
      </c>
    </row>
    <row r="48" spans="1:5" ht="57.6" x14ac:dyDescent="0.3">
      <c r="A48" t="s">
        <v>172</v>
      </c>
      <c r="B48" s="39" t="s">
        <v>173</v>
      </c>
      <c r="C48" t="s">
        <v>1129</v>
      </c>
      <c r="D48" s="40" t="s">
        <v>1123</v>
      </c>
      <c r="E48" t="s">
        <v>1061</v>
      </c>
    </row>
    <row r="49" spans="1:5" ht="72" x14ac:dyDescent="0.3">
      <c r="A49" t="s">
        <v>180</v>
      </c>
      <c r="B49" s="39" t="s">
        <v>181</v>
      </c>
      <c r="C49" t="s">
        <v>1130</v>
      </c>
      <c r="D49" s="40" t="s">
        <v>1131</v>
      </c>
      <c r="E49" t="s">
        <v>1051</v>
      </c>
    </row>
    <row r="50" spans="1:5" ht="57.6" x14ac:dyDescent="0.3">
      <c r="A50" t="s">
        <v>180</v>
      </c>
      <c r="B50" s="39" t="s">
        <v>181</v>
      </c>
      <c r="C50" t="s">
        <v>1132</v>
      </c>
      <c r="D50" s="40" t="s">
        <v>1133</v>
      </c>
      <c r="E50" t="s">
        <v>1042</v>
      </c>
    </row>
    <row r="51" spans="1:5" ht="57.6" x14ac:dyDescent="0.3">
      <c r="A51" t="s">
        <v>180</v>
      </c>
      <c r="B51" s="39" t="s">
        <v>181</v>
      </c>
      <c r="C51" t="s">
        <v>1134</v>
      </c>
      <c r="D51" s="40" t="s">
        <v>1135</v>
      </c>
      <c r="E51" t="s">
        <v>1042</v>
      </c>
    </row>
    <row r="52" spans="1:5" ht="57.6" x14ac:dyDescent="0.3">
      <c r="A52" s="28" t="s">
        <v>180</v>
      </c>
      <c r="B52" s="39" t="s">
        <v>181</v>
      </c>
      <c r="C52" t="s">
        <v>1136</v>
      </c>
      <c r="D52" s="40" t="s">
        <v>1137</v>
      </c>
      <c r="E52" t="s">
        <v>1042</v>
      </c>
    </row>
    <row r="53" spans="1:5" ht="57.6" x14ac:dyDescent="0.3">
      <c r="A53" t="s">
        <v>187</v>
      </c>
      <c r="B53" s="39" t="s">
        <v>188</v>
      </c>
      <c r="C53" t="s">
        <v>1138</v>
      </c>
      <c r="D53" s="40" t="s">
        <v>1139</v>
      </c>
      <c r="E53" t="s">
        <v>1042</v>
      </c>
    </row>
    <row r="54" spans="1:5" ht="57.6" x14ac:dyDescent="0.3">
      <c r="A54" t="s">
        <v>187</v>
      </c>
      <c r="B54" s="39" t="s">
        <v>188</v>
      </c>
      <c r="C54" t="s">
        <v>1140</v>
      </c>
      <c r="D54" s="40" t="s">
        <v>1141</v>
      </c>
      <c r="E54" t="s">
        <v>1042</v>
      </c>
    </row>
    <row r="55" spans="1:5" ht="57.6" x14ac:dyDescent="0.3">
      <c r="A55" t="s">
        <v>187</v>
      </c>
      <c r="B55" s="39" t="s">
        <v>188</v>
      </c>
      <c r="C55" t="s">
        <v>1142</v>
      </c>
      <c r="D55" s="40" t="s">
        <v>1135</v>
      </c>
      <c r="E55" t="s">
        <v>1042</v>
      </c>
    </row>
    <row r="56" spans="1:5" ht="86.4" x14ac:dyDescent="0.3">
      <c r="A56" t="s">
        <v>187</v>
      </c>
      <c r="B56" s="39" t="s">
        <v>188</v>
      </c>
      <c r="C56" t="s">
        <v>1143</v>
      </c>
      <c r="D56" s="40" t="s">
        <v>1144</v>
      </c>
      <c r="E56" t="s">
        <v>1061</v>
      </c>
    </row>
    <row r="57" spans="1:5" ht="57.6" x14ac:dyDescent="0.3">
      <c r="A57" t="s">
        <v>195</v>
      </c>
      <c r="B57" s="39" t="s">
        <v>196</v>
      </c>
      <c r="C57" t="s">
        <v>1145</v>
      </c>
      <c r="D57" s="40" t="s">
        <v>1123</v>
      </c>
      <c r="E57" t="s">
        <v>1061</v>
      </c>
    </row>
    <row r="58" spans="1:5" ht="57.6" x14ac:dyDescent="0.3">
      <c r="A58" t="s">
        <v>195</v>
      </c>
      <c r="B58" s="39" t="s">
        <v>196</v>
      </c>
      <c r="C58" t="s">
        <v>1146</v>
      </c>
      <c r="D58" s="40" t="s">
        <v>1126</v>
      </c>
      <c r="E58" t="s">
        <v>1042</v>
      </c>
    </row>
    <row r="59" spans="1:5" ht="57.6" x14ac:dyDescent="0.3">
      <c r="A59" t="s">
        <v>195</v>
      </c>
      <c r="B59" s="39" t="s">
        <v>196</v>
      </c>
      <c r="C59" t="s">
        <v>1147</v>
      </c>
      <c r="D59" s="40" t="s">
        <v>1106</v>
      </c>
      <c r="E59" t="s">
        <v>1042</v>
      </c>
    </row>
    <row r="60" spans="1:5" ht="57.6" x14ac:dyDescent="0.3">
      <c r="A60" t="s">
        <v>195</v>
      </c>
      <c r="B60" s="39" t="s">
        <v>196</v>
      </c>
      <c r="C60" t="s">
        <v>1148</v>
      </c>
      <c r="D60" s="40" t="s">
        <v>1097</v>
      </c>
      <c r="E60" t="s">
        <v>1042</v>
      </c>
    </row>
    <row r="61" spans="1:5" ht="57.6" x14ac:dyDescent="0.3">
      <c r="A61" t="s">
        <v>195</v>
      </c>
      <c r="B61" s="39" t="s">
        <v>196</v>
      </c>
      <c r="C61" t="s">
        <v>1149</v>
      </c>
      <c r="D61" s="40" t="s">
        <v>1150</v>
      </c>
      <c r="E61" t="s">
        <v>1042</v>
      </c>
    </row>
    <row r="62" spans="1:5" ht="57.6" x14ac:dyDescent="0.3">
      <c r="A62" t="s">
        <v>204</v>
      </c>
      <c r="B62" s="39" t="s">
        <v>206</v>
      </c>
      <c r="C62" t="s">
        <v>1151</v>
      </c>
      <c r="D62" s="40" t="s">
        <v>1152</v>
      </c>
      <c r="E62" t="s">
        <v>1042</v>
      </c>
    </row>
    <row r="63" spans="1:5" ht="57.6" x14ac:dyDescent="0.3">
      <c r="A63" t="s">
        <v>204</v>
      </c>
      <c r="B63" s="39" t="s">
        <v>206</v>
      </c>
      <c r="C63" t="s">
        <v>1153</v>
      </c>
      <c r="D63" s="40" t="s">
        <v>1154</v>
      </c>
      <c r="E63" t="s">
        <v>1042</v>
      </c>
    </row>
    <row r="64" spans="1:5" ht="57.6" x14ac:dyDescent="0.3">
      <c r="A64" t="s">
        <v>204</v>
      </c>
      <c r="B64" s="39" t="s">
        <v>206</v>
      </c>
      <c r="C64" t="s">
        <v>1155</v>
      </c>
      <c r="D64" s="40" t="s">
        <v>1156</v>
      </c>
      <c r="E64" t="s">
        <v>1051</v>
      </c>
    </row>
    <row r="65" spans="1:5" ht="57.6" x14ac:dyDescent="0.3">
      <c r="A65" t="s">
        <v>204</v>
      </c>
      <c r="B65" s="39" t="s">
        <v>206</v>
      </c>
      <c r="C65" t="s">
        <v>1157</v>
      </c>
      <c r="D65" s="40" t="s">
        <v>1158</v>
      </c>
      <c r="E65" t="s">
        <v>1042</v>
      </c>
    </row>
    <row r="66" spans="1:5" ht="57.6" x14ac:dyDescent="0.3">
      <c r="A66" t="s">
        <v>204</v>
      </c>
      <c r="B66" s="39" t="s">
        <v>206</v>
      </c>
      <c r="C66" t="s">
        <v>1159</v>
      </c>
      <c r="D66" s="40" t="s">
        <v>1160</v>
      </c>
      <c r="E66" t="s">
        <v>1042</v>
      </c>
    </row>
    <row r="67" spans="1:5" ht="57.6" x14ac:dyDescent="0.3">
      <c r="A67" t="s">
        <v>204</v>
      </c>
      <c r="B67" s="39" t="s">
        <v>206</v>
      </c>
      <c r="C67" t="s">
        <v>1161</v>
      </c>
      <c r="D67" s="40" t="s">
        <v>1162</v>
      </c>
      <c r="E67" t="s">
        <v>1042</v>
      </c>
    </row>
    <row r="68" spans="1:5" ht="57.6" x14ac:dyDescent="0.3">
      <c r="A68" t="s">
        <v>204</v>
      </c>
      <c r="B68" s="39" t="s">
        <v>206</v>
      </c>
      <c r="C68" t="s">
        <v>1163</v>
      </c>
      <c r="D68" s="40" t="s">
        <v>1164</v>
      </c>
      <c r="E68" t="s">
        <v>1042</v>
      </c>
    </row>
    <row r="69" spans="1:5" ht="43.2" x14ac:dyDescent="0.3">
      <c r="A69" t="s">
        <v>213</v>
      </c>
      <c r="B69" s="39" t="s">
        <v>214</v>
      </c>
      <c r="C69" t="s">
        <v>1165</v>
      </c>
      <c r="D69" s="40" t="s">
        <v>1166</v>
      </c>
      <c r="E69" t="s">
        <v>1042</v>
      </c>
    </row>
    <row r="70" spans="1:5" ht="43.2" x14ac:dyDescent="0.3">
      <c r="A70" t="s">
        <v>213</v>
      </c>
      <c r="B70" s="39" t="s">
        <v>214</v>
      </c>
      <c r="C70" t="s">
        <v>1167</v>
      </c>
      <c r="D70" s="40" t="s">
        <v>1168</v>
      </c>
      <c r="E70" t="s">
        <v>1051</v>
      </c>
    </row>
    <row r="71" spans="1:5" ht="43.2" x14ac:dyDescent="0.3">
      <c r="A71" t="s">
        <v>213</v>
      </c>
      <c r="B71" s="39" t="s">
        <v>214</v>
      </c>
      <c r="C71" t="s">
        <v>1169</v>
      </c>
      <c r="D71" s="40" t="s">
        <v>1106</v>
      </c>
      <c r="E71" t="s">
        <v>1042</v>
      </c>
    </row>
    <row r="72" spans="1:5" ht="43.2" x14ac:dyDescent="0.3">
      <c r="A72" t="s">
        <v>213</v>
      </c>
      <c r="B72" s="39" t="s">
        <v>214</v>
      </c>
      <c r="C72" t="s">
        <v>1170</v>
      </c>
      <c r="D72" s="40" t="s">
        <v>1123</v>
      </c>
      <c r="E72" t="s">
        <v>1042</v>
      </c>
    </row>
    <row r="73" spans="1:5" ht="57.6" x14ac:dyDescent="0.3">
      <c r="A73" t="s">
        <v>221</v>
      </c>
      <c r="B73" s="39" t="s">
        <v>222</v>
      </c>
      <c r="C73" t="s">
        <v>1171</v>
      </c>
      <c r="D73" s="40" t="s">
        <v>1172</v>
      </c>
      <c r="E73" t="s">
        <v>1061</v>
      </c>
    </row>
    <row r="74" spans="1:5" ht="57.6" x14ac:dyDescent="0.3">
      <c r="A74" t="s">
        <v>221</v>
      </c>
      <c r="B74" s="39" t="s">
        <v>222</v>
      </c>
      <c r="C74" t="s">
        <v>1173</v>
      </c>
      <c r="D74" s="40" t="s">
        <v>1110</v>
      </c>
      <c r="E74" t="s">
        <v>1042</v>
      </c>
    </row>
    <row r="75" spans="1:5" ht="57.6" x14ac:dyDescent="0.3">
      <c r="A75" t="s">
        <v>221</v>
      </c>
      <c r="B75" s="39" t="s">
        <v>222</v>
      </c>
      <c r="C75" t="s">
        <v>1174</v>
      </c>
      <c r="D75" s="40" t="s">
        <v>1175</v>
      </c>
      <c r="E75" t="s">
        <v>1042</v>
      </c>
    </row>
    <row r="76" spans="1:5" ht="57.6" x14ac:dyDescent="0.3">
      <c r="A76" t="s">
        <v>221</v>
      </c>
      <c r="B76" s="39" t="s">
        <v>222</v>
      </c>
      <c r="C76" t="s">
        <v>1176</v>
      </c>
      <c r="D76" s="40" t="s">
        <v>1177</v>
      </c>
      <c r="E76" t="s">
        <v>1042</v>
      </c>
    </row>
    <row r="77" spans="1:5" ht="57.6" x14ac:dyDescent="0.3">
      <c r="A77" t="s">
        <v>230</v>
      </c>
      <c r="B77" s="39" t="s">
        <v>231</v>
      </c>
      <c r="C77" t="s">
        <v>1178</v>
      </c>
      <c r="D77" s="40" t="s">
        <v>1179</v>
      </c>
      <c r="E77" t="s">
        <v>1042</v>
      </c>
    </row>
    <row r="78" spans="1:5" ht="100.8" x14ac:dyDescent="0.3">
      <c r="A78" t="s">
        <v>230</v>
      </c>
      <c r="B78" s="39" t="s">
        <v>231</v>
      </c>
      <c r="C78" t="s">
        <v>1180</v>
      </c>
      <c r="D78" s="40" t="s">
        <v>1181</v>
      </c>
      <c r="E78" t="s">
        <v>1042</v>
      </c>
    </row>
    <row r="79" spans="1:5" ht="57.6" x14ac:dyDescent="0.3">
      <c r="A79" t="s">
        <v>230</v>
      </c>
      <c r="B79" s="39" t="s">
        <v>231</v>
      </c>
      <c r="C79" t="s">
        <v>1182</v>
      </c>
      <c r="D79" s="40" t="s">
        <v>1183</v>
      </c>
      <c r="E79" t="s">
        <v>1042</v>
      </c>
    </row>
    <row r="80" spans="1:5" ht="57.6" x14ac:dyDescent="0.3">
      <c r="A80" t="s">
        <v>230</v>
      </c>
      <c r="B80" s="39" t="s">
        <v>231</v>
      </c>
      <c r="C80" t="s">
        <v>1184</v>
      </c>
      <c r="D80" s="40" t="s">
        <v>1185</v>
      </c>
      <c r="E80" t="s">
        <v>1061</v>
      </c>
    </row>
    <row r="81" spans="1:5" ht="57.6" x14ac:dyDescent="0.3">
      <c r="A81" t="s">
        <v>230</v>
      </c>
      <c r="B81" s="39" t="s">
        <v>231</v>
      </c>
      <c r="C81" t="s">
        <v>1186</v>
      </c>
      <c r="D81" s="40" t="s">
        <v>1187</v>
      </c>
      <c r="E81" t="s">
        <v>1042</v>
      </c>
    </row>
    <row r="82" spans="1:5" ht="57.6" x14ac:dyDescent="0.3">
      <c r="A82" t="s">
        <v>230</v>
      </c>
      <c r="B82" s="39" t="s">
        <v>231</v>
      </c>
      <c r="C82" t="s">
        <v>1188</v>
      </c>
      <c r="D82" s="40" t="s">
        <v>1189</v>
      </c>
      <c r="E82" t="s">
        <v>1042</v>
      </c>
    </row>
    <row r="83" spans="1:5" ht="57.6" x14ac:dyDescent="0.3">
      <c r="A83" t="s">
        <v>230</v>
      </c>
      <c r="B83" s="39" t="s">
        <v>231</v>
      </c>
      <c r="C83" t="s">
        <v>1190</v>
      </c>
      <c r="D83" s="40" t="s">
        <v>1191</v>
      </c>
      <c r="E83" t="s">
        <v>1042</v>
      </c>
    </row>
    <row r="84" spans="1:5" ht="100.8" x14ac:dyDescent="0.3">
      <c r="A84" t="s">
        <v>237</v>
      </c>
      <c r="B84" s="39" t="s">
        <v>238</v>
      </c>
      <c r="C84" t="s">
        <v>1192</v>
      </c>
      <c r="D84" s="40" t="s">
        <v>1193</v>
      </c>
      <c r="E84" t="s">
        <v>1042</v>
      </c>
    </row>
    <row r="85" spans="1:5" ht="57.6" x14ac:dyDescent="0.3">
      <c r="A85" t="s">
        <v>237</v>
      </c>
      <c r="B85" s="39" t="s">
        <v>238</v>
      </c>
      <c r="C85" t="s">
        <v>1194</v>
      </c>
      <c r="D85" s="40" t="s">
        <v>1195</v>
      </c>
      <c r="E85" t="s">
        <v>1061</v>
      </c>
    </row>
    <row r="86" spans="1:5" ht="72" x14ac:dyDescent="0.3">
      <c r="A86" t="s">
        <v>237</v>
      </c>
      <c r="B86" s="39" t="s">
        <v>238</v>
      </c>
      <c r="C86" t="s">
        <v>1196</v>
      </c>
      <c r="D86" s="40" t="s">
        <v>1197</v>
      </c>
      <c r="E86" t="s">
        <v>1042</v>
      </c>
    </row>
    <row r="87" spans="1:5" ht="57.6" x14ac:dyDescent="0.3">
      <c r="A87" t="s">
        <v>237</v>
      </c>
      <c r="B87" s="39" t="s">
        <v>238</v>
      </c>
      <c r="C87" t="s">
        <v>1198</v>
      </c>
      <c r="D87" s="40" t="s">
        <v>1199</v>
      </c>
      <c r="E87" t="s">
        <v>1042</v>
      </c>
    </row>
    <row r="88" spans="1:5" ht="57.6" x14ac:dyDescent="0.3">
      <c r="A88" t="s">
        <v>237</v>
      </c>
      <c r="B88" s="39" t="s">
        <v>238</v>
      </c>
      <c r="C88" t="s">
        <v>1200</v>
      </c>
      <c r="D88" s="40" t="s">
        <v>1201</v>
      </c>
      <c r="E88" t="s">
        <v>1042</v>
      </c>
    </row>
    <row r="89" spans="1:5" ht="43.2" x14ac:dyDescent="0.3">
      <c r="A89" t="s">
        <v>244</v>
      </c>
      <c r="B89" s="39" t="s">
        <v>245</v>
      </c>
      <c r="C89" t="s">
        <v>1202</v>
      </c>
      <c r="D89" s="40" t="s">
        <v>1203</v>
      </c>
      <c r="E89" t="s">
        <v>1042</v>
      </c>
    </row>
    <row r="90" spans="1:5" ht="43.2" x14ac:dyDescent="0.3">
      <c r="A90" t="s">
        <v>244</v>
      </c>
      <c r="B90" s="39" t="s">
        <v>245</v>
      </c>
      <c r="C90" t="s">
        <v>1204</v>
      </c>
      <c r="D90" s="40" t="s">
        <v>1205</v>
      </c>
      <c r="E90" t="s">
        <v>1042</v>
      </c>
    </row>
    <row r="91" spans="1:5" ht="43.2" x14ac:dyDescent="0.3">
      <c r="A91" t="s">
        <v>244</v>
      </c>
      <c r="B91" s="39" t="s">
        <v>245</v>
      </c>
      <c r="C91" t="s">
        <v>1206</v>
      </c>
      <c r="D91" s="40" t="s">
        <v>1207</v>
      </c>
      <c r="E91" t="s">
        <v>1042</v>
      </c>
    </row>
    <row r="92" spans="1:5" ht="43.2" x14ac:dyDescent="0.3">
      <c r="A92" t="s">
        <v>244</v>
      </c>
      <c r="B92" s="39" t="s">
        <v>245</v>
      </c>
      <c r="C92" t="s">
        <v>1208</v>
      </c>
      <c r="D92" s="40" t="s">
        <v>1209</v>
      </c>
      <c r="E92" t="s">
        <v>1042</v>
      </c>
    </row>
    <row r="93" spans="1:5" ht="72" x14ac:dyDescent="0.3">
      <c r="A93" t="s">
        <v>252</v>
      </c>
      <c r="B93" s="39" t="s">
        <v>253</v>
      </c>
      <c r="C93" t="s">
        <v>1210</v>
      </c>
      <c r="D93" s="40" t="s">
        <v>1211</v>
      </c>
      <c r="E93" t="s">
        <v>1061</v>
      </c>
    </row>
    <row r="94" spans="1:5" ht="72" x14ac:dyDescent="0.3">
      <c r="A94" t="s">
        <v>252</v>
      </c>
      <c r="B94" s="39" t="s">
        <v>253</v>
      </c>
      <c r="C94" t="s">
        <v>1212</v>
      </c>
      <c r="D94" s="40" t="s">
        <v>1213</v>
      </c>
      <c r="E94" t="s">
        <v>1042</v>
      </c>
    </row>
    <row r="95" spans="1:5" ht="72" x14ac:dyDescent="0.3">
      <c r="A95" t="s">
        <v>252</v>
      </c>
      <c r="B95" s="39" t="s">
        <v>253</v>
      </c>
      <c r="C95" t="s">
        <v>1214</v>
      </c>
      <c r="D95" s="40" t="s">
        <v>1215</v>
      </c>
      <c r="E95" t="s">
        <v>1042</v>
      </c>
    </row>
    <row r="96" spans="1:5" ht="72" x14ac:dyDescent="0.3">
      <c r="A96" t="s">
        <v>252</v>
      </c>
      <c r="B96" s="39" t="s">
        <v>253</v>
      </c>
      <c r="C96" t="s">
        <v>1216</v>
      </c>
      <c r="D96" s="40" t="s">
        <v>1217</v>
      </c>
      <c r="E96" t="s">
        <v>1042</v>
      </c>
    </row>
    <row r="97" spans="1:5" ht="43.2" x14ac:dyDescent="0.3">
      <c r="A97" t="s">
        <v>261</v>
      </c>
      <c r="B97" s="39" t="s">
        <v>262</v>
      </c>
      <c r="C97" t="s">
        <v>1218</v>
      </c>
      <c r="D97" s="40" t="s">
        <v>1219</v>
      </c>
      <c r="E97" t="s">
        <v>1042</v>
      </c>
    </row>
    <row r="98" spans="1:5" ht="43.2" x14ac:dyDescent="0.3">
      <c r="A98" t="s">
        <v>261</v>
      </c>
      <c r="B98" s="39" t="s">
        <v>262</v>
      </c>
      <c r="C98" t="s">
        <v>1220</v>
      </c>
      <c r="D98" s="40" t="s">
        <v>1221</v>
      </c>
      <c r="E98" t="s">
        <v>1051</v>
      </c>
    </row>
    <row r="99" spans="1:5" ht="43.2" x14ac:dyDescent="0.3">
      <c r="A99" t="s">
        <v>261</v>
      </c>
      <c r="B99" s="39" t="s">
        <v>262</v>
      </c>
      <c r="C99" t="s">
        <v>1222</v>
      </c>
      <c r="D99" s="40" t="s">
        <v>1223</v>
      </c>
      <c r="E99" t="s">
        <v>1042</v>
      </c>
    </row>
    <row r="100" spans="1:5" ht="28.8" x14ac:dyDescent="0.3">
      <c r="A100" t="s">
        <v>270</v>
      </c>
      <c r="B100" s="39" t="s">
        <v>272</v>
      </c>
      <c r="C100" t="s">
        <v>1224</v>
      </c>
      <c r="D100" s="40" t="s">
        <v>1203</v>
      </c>
      <c r="E100" t="s">
        <v>1042</v>
      </c>
    </row>
    <row r="101" spans="1:5" ht="28.8" x14ac:dyDescent="0.3">
      <c r="A101" t="s">
        <v>270</v>
      </c>
      <c r="B101" s="39" t="s">
        <v>272</v>
      </c>
      <c r="C101" t="s">
        <v>1225</v>
      </c>
      <c r="D101" s="40" t="s">
        <v>1226</v>
      </c>
      <c r="E101" t="s">
        <v>1051</v>
      </c>
    </row>
    <row r="102" spans="1:5" ht="28.8" x14ac:dyDescent="0.3">
      <c r="A102" t="s">
        <v>270</v>
      </c>
      <c r="B102" s="39" t="s">
        <v>272</v>
      </c>
      <c r="C102" t="s">
        <v>1227</v>
      </c>
      <c r="D102" s="40" t="s">
        <v>1228</v>
      </c>
      <c r="E102" t="s">
        <v>1042</v>
      </c>
    </row>
    <row r="103" spans="1:5" ht="28.8" x14ac:dyDescent="0.3">
      <c r="A103" t="s">
        <v>279</v>
      </c>
      <c r="B103" s="39" t="s">
        <v>281</v>
      </c>
      <c r="C103" t="s">
        <v>1229</v>
      </c>
      <c r="D103" s="40" t="s">
        <v>1230</v>
      </c>
      <c r="E103" t="s">
        <v>1051</v>
      </c>
    </row>
    <row r="104" spans="1:5" ht="28.8" x14ac:dyDescent="0.3">
      <c r="A104" t="s">
        <v>279</v>
      </c>
      <c r="B104" s="39" t="s">
        <v>281</v>
      </c>
      <c r="C104" t="s">
        <v>1231</v>
      </c>
      <c r="D104" s="40" t="s">
        <v>1232</v>
      </c>
      <c r="E104" t="s">
        <v>1042</v>
      </c>
    </row>
    <row r="105" spans="1:5" ht="28.8" x14ac:dyDescent="0.3">
      <c r="A105" t="s">
        <v>279</v>
      </c>
      <c r="B105" s="39" t="s">
        <v>281</v>
      </c>
      <c r="C105" t="s">
        <v>1233</v>
      </c>
      <c r="D105" s="40" t="s">
        <v>1234</v>
      </c>
      <c r="E105" t="s">
        <v>1042</v>
      </c>
    </row>
    <row r="106" spans="1:5" ht="57.6" x14ac:dyDescent="0.3">
      <c r="A106" t="s">
        <v>287</v>
      </c>
      <c r="B106" s="39" t="s">
        <v>289</v>
      </c>
      <c r="C106" t="s">
        <v>1235</v>
      </c>
      <c r="D106" s="40" t="s">
        <v>1203</v>
      </c>
      <c r="E106" t="s">
        <v>1042</v>
      </c>
    </row>
    <row r="107" spans="1:5" ht="57.6" x14ac:dyDescent="0.3">
      <c r="A107" t="s">
        <v>287</v>
      </c>
      <c r="B107" s="39" t="s">
        <v>289</v>
      </c>
      <c r="C107" t="s">
        <v>1236</v>
      </c>
      <c r="D107" s="40" t="s">
        <v>1237</v>
      </c>
      <c r="E107" t="s">
        <v>1042</v>
      </c>
    </row>
    <row r="108" spans="1:5" ht="57.6" x14ac:dyDescent="0.3">
      <c r="A108" t="s">
        <v>287</v>
      </c>
      <c r="B108" s="39" t="s">
        <v>289</v>
      </c>
      <c r="C108" t="s">
        <v>1238</v>
      </c>
      <c r="D108" s="40" t="s">
        <v>1239</v>
      </c>
      <c r="E108" t="s">
        <v>1061</v>
      </c>
    </row>
    <row r="109" spans="1:5" ht="57.6" x14ac:dyDescent="0.3">
      <c r="A109" t="s">
        <v>287</v>
      </c>
      <c r="B109" s="39" t="s">
        <v>289</v>
      </c>
      <c r="C109" t="s">
        <v>1240</v>
      </c>
      <c r="D109" s="40" t="s">
        <v>1241</v>
      </c>
      <c r="E109" t="s">
        <v>1042</v>
      </c>
    </row>
    <row r="110" spans="1:5" ht="28.8" x14ac:dyDescent="0.3">
      <c r="A110" t="s">
        <v>296</v>
      </c>
      <c r="B110" s="39" t="s">
        <v>298</v>
      </c>
      <c r="C110" t="s">
        <v>1242</v>
      </c>
      <c r="D110" s="40" t="s">
        <v>1219</v>
      </c>
      <c r="E110" t="s">
        <v>1061</v>
      </c>
    </row>
    <row r="111" spans="1:5" ht="28.8" x14ac:dyDescent="0.3">
      <c r="A111" t="s">
        <v>296</v>
      </c>
      <c r="B111" s="39" t="s">
        <v>298</v>
      </c>
      <c r="C111" t="s">
        <v>1243</v>
      </c>
      <c r="D111" s="40" t="s">
        <v>1244</v>
      </c>
      <c r="E111" t="s">
        <v>1042</v>
      </c>
    </row>
    <row r="112" spans="1:5" ht="28.8" x14ac:dyDescent="0.3">
      <c r="A112" t="s">
        <v>296</v>
      </c>
      <c r="B112" s="39" t="s">
        <v>298</v>
      </c>
      <c r="C112" t="s">
        <v>1245</v>
      </c>
      <c r="D112" s="40" t="s">
        <v>1246</v>
      </c>
      <c r="E112" t="s">
        <v>1042</v>
      </c>
    </row>
    <row r="113" spans="1:5" ht="72" x14ac:dyDescent="0.3">
      <c r="A113" t="s">
        <v>305</v>
      </c>
      <c r="B113" s="39" t="s">
        <v>307</v>
      </c>
      <c r="C113" t="s">
        <v>1247</v>
      </c>
      <c r="D113" s="40" t="s">
        <v>1248</v>
      </c>
      <c r="E113" t="s">
        <v>1042</v>
      </c>
    </row>
    <row r="114" spans="1:5" ht="72" x14ac:dyDescent="0.3">
      <c r="A114" t="s">
        <v>305</v>
      </c>
      <c r="B114" s="39" t="s">
        <v>307</v>
      </c>
      <c r="C114" t="s">
        <v>1249</v>
      </c>
      <c r="D114" s="40" t="s">
        <v>1250</v>
      </c>
      <c r="E114" t="s">
        <v>1042</v>
      </c>
    </row>
    <row r="115" spans="1:5" ht="72" x14ac:dyDescent="0.3">
      <c r="A115" t="s">
        <v>305</v>
      </c>
      <c r="B115" s="39" t="s">
        <v>307</v>
      </c>
      <c r="C115" t="s">
        <v>1251</v>
      </c>
      <c r="D115" s="40" t="s">
        <v>1252</v>
      </c>
      <c r="E115" t="s">
        <v>1061</v>
      </c>
    </row>
    <row r="116" spans="1:5" ht="57.6" x14ac:dyDescent="0.3">
      <c r="A116" t="s">
        <v>316</v>
      </c>
      <c r="B116" s="39" t="s">
        <v>318</v>
      </c>
      <c r="C116" t="s">
        <v>1253</v>
      </c>
      <c r="D116" s="40" t="s">
        <v>1203</v>
      </c>
      <c r="E116" t="s">
        <v>1042</v>
      </c>
    </row>
    <row r="117" spans="1:5" ht="57.6" x14ac:dyDescent="0.3">
      <c r="A117" t="s">
        <v>316</v>
      </c>
      <c r="B117" s="39" t="s">
        <v>318</v>
      </c>
      <c r="C117" t="s">
        <v>1254</v>
      </c>
      <c r="D117" s="40" t="s">
        <v>1255</v>
      </c>
      <c r="E117" t="s">
        <v>1042</v>
      </c>
    </row>
    <row r="118" spans="1:5" ht="57.6" x14ac:dyDescent="0.3">
      <c r="A118" t="s">
        <v>316</v>
      </c>
      <c r="B118" s="39" t="s">
        <v>318</v>
      </c>
      <c r="C118" t="s">
        <v>1256</v>
      </c>
      <c r="D118" s="40" t="s">
        <v>1239</v>
      </c>
      <c r="E118" t="s">
        <v>1042</v>
      </c>
    </row>
    <row r="119" spans="1:5" ht="57.6" x14ac:dyDescent="0.3">
      <c r="A119" t="s">
        <v>316</v>
      </c>
      <c r="B119" s="39" t="s">
        <v>318</v>
      </c>
      <c r="C119" t="s">
        <v>1257</v>
      </c>
      <c r="D119" s="40" t="s">
        <v>1258</v>
      </c>
      <c r="E119" t="s">
        <v>1061</v>
      </c>
    </row>
    <row r="120" spans="1:5" ht="57.6" x14ac:dyDescent="0.3">
      <c r="A120" t="s">
        <v>324</v>
      </c>
      <c r="B120" s="39" t="s">
        <v>326</v>
      </c>
      <c r="C120" t="s">
        <v>1259</v>
      </c>
      <c r="D120" s="40" t="s">
        <v>1260</v>
      </c>
      <c r="E120" t="s">
        <v>1042</v>
      </c>
    </row>
    <row r="121" spans="1:5" ht="57.6" x14ac:dyDescent="0.3">
      <c r="A121" t="s">
        <v>324</v>
      </c>
      <c r="B121" s="39" t="s">
        <v>326</v>
      </c>
      <c r="C121" t="s">
        <v>1261</v>
      </c>
      <c r="D121" s="40" t="s">
        <v>1262</v>
      </c>
      <c r="E121" t="s">
        <v>1042</v>
      </c>
    </row>
    <row r="122" spans="1:5" ht="57.6" x14ac:dyDescent="0.3">
      <c r="A122" t="s">
        <v>324</v>
      </c>
      <c r="B122" s="39" t="s">
        <v>326</v>
      </c>
      <c r="C122" t="s">
        <v>1263</v>
      </c>
      <c r="D122" s="40" t="s">
        <v>1264</v>
      </c>
      <c r="E122" t="s">
        <v>1051</v>
      </c>
    </row>
    <row r="123" spans="1:5" ht="43.2" x14ac:dyDescent="0.3">
      <c r="A123" t="s">
        <v>333</v>
      </c>
      <c r="B123" s="39" t="s">
        <v>335</v>
      </c>
      <c r="C123" t="s">
        <v>1265</v>
      </c>
      <c r="D123" s="40" t="s">
        <v>1266</v>
      </c>
      <c r="E123" t="s">
        <v>1042</v>
      </c>
    </row>
    <row r="124" spans="1:5" ht="57.6" x14ac:dyDescent="0.3">
      <c r="A124" t="s">
        <v>341</v>
      </c>
      <c r="B124" s="39" t="s">
        <v>342</v>
      </c>
      <c r="C124" t="s">
        <v>1267</v>
      </c>
      <c r="D124" s="40" t="s">
        <v>1268</v>
      </c>
      <c r="E124" t="s">
        <v>1042</v>
      </c>
    </row>
    <row r="125" spans="1:5" ht="57.6" x14ac:dyDescent="0.3">
      <c r="A125" t="s">
        <v>341</v>
      </c>
      <c r="B125" s="39" t="s">
        <v>342</v>
      </c>
      <c r="C125" t="s">
        <v>1269</v>
      </c>
      <c r="D125" s="40" t="s">
        <v>1135</v>
      </c>
      <c r="E125" t="s">
        <v>1061</v>
      </c>
    </row>
    <row r="126" spans="1:5" ht="57.6" x14ac:dyDescent="0.3">
      <c r="A126" t="s">
        <v>341</v>
      </c>
      <c r="B126" s="39" t="s">
        <v>342</v>
      </c>
      <c r="C126" t="s">
        <v>1270</v>
      </c>
      <c r="D126" s="40" t="s">
        <v>1271</v>
      </c>
      <c r="E126" t="s">
        <v>1042</v>
      </c>
    </row>
    <row r="127" spans="1:5" ht="57.6" x14ac:dyDescent="0.3">
      <c r="A127" t="s">
        <v>341</v>
      </c>
      <c r="B127" s="39" t="s">
        <v>342</v>
      </c>
      <c r="C127" t="s">
        <v>1272</v>
      </c>
      <c r="D127" s="40" t="s">
        <v>1273</v>
      </c>
      <c r="E127" t="s">
        <v>1042</v>
      </c>
    </row>
    <row r="128" spans="1:5" ht="57.6" x14ac:dyDescent="0.3">
      <c r="A128" t="s">
        <v>341</v>
      </c>
      <c r="B128" s="39" t="s">
        <v>342</v>
      </c>
      <c r="C128" t="s">
        <v>1274</v>
      </c>
      <c r="D128" s="40" t="s">
        <v>1275</v>
      </c>
      <c r="E128" t="s">
        <v>1042</v>
      </c>
    </row>
    <row r="129" spans="1:5" ht="72" x14ac:dyDescent="0.3">
      <c r="A129" t="s">
        <v>349</v>
      </c>
      <c r="B129" s="39" t="s">
        <v>351</v>
      </c>
      <c r="C129" t="s">
        <v>1276</v>
      </c>
      <c r="D129" s="40" t="s">
        <v>1252</v>
      </c>
      <c r="E129" t="s">
        <v>1061</v>
      </c>
    </row>
    <row r="130" spans="1:5" ht="72" x14ac:dyDescent="0.3">
      <c r="A130" t="s">
        <v>349</v>
      </c>
      <c r="B130" s="39" t="s">
        <v>351</v>
      </c>
      <c r="C130" t="s">
        <v>1277</v>
      </c>
      <c r="D130" s="40" t="s">
        <v>1278</v>
      </c>
      <c r="E130" t="s">
        <v>1042</v>
      </c>
    </row>
    <row r="131" spans="1:5" ht="43.2" x14ac:dyDescent="0.3">
      <c r="A131" t="s">
        <v>357</v>
      </c>
      <c r="B131" s="39" t="s">
        <v>359</v>
      </c>
      <c r="C131" t="s">
        <v>1279</v>
      </c>
      <c r="D131" s="40" t="s">
        <v>1280</v>
      </c>
      <c r="E131" t="s">
        <v>1061</v>
      </c>
    </row>
    <row r="132" spans="1:5" ht="43.2" x14ac:dyDescent="0.3">
      <c r="A132" t="s">
        <v>365</v>
      </c>
      <c r="B132" s="39" t="s">
        <v>367</v>
      </c>
      <c r="C132" t="s">
        <v>1281</v>
      </c>
      <c r="D132" s="40" t="s">
        <v>1282</v>
      </c>
      <c r="E132" t="s">
        <v>1061</v>
      </c>
    </row>
    <row r="133" spans="1:5" ht="86.4" x14ac:dyDescent="0.3">
      <c r="A133" t="s">
        <v>372</v>
      </c>
      <c r="B133" s="39" t="s">
        <v>373</v>
      </c>
      <c r="C133" t="s">
        <v>1283</v>
      </c>
      <c r="D133" s="40" t="s">
        <v>1278</v>
      </c>
      <c r="E133" t="s">
        <v>1061</v>
      </c>
    </row>
    <row r="134" spans="1:5" ht="86.4" x14ac:dyDescent="0.3">
      <c r="A134" t="s">
        <v>372</v>
      </c>
      <c r="B134" s="39" t="s">
        <v>373</v>
      </c>
      <c r="C134" t="s">
        <v>1284</v>
      </c>
      <c r="D134" s="40" t="s">
        <v>1285</v>
      </c>
      <c r="E134" t="s">
        <v>1042</v>
      </c>
    </row>
    <row r="135" spans="1:5" ht="86.4" x14ac:dyDescent="0.3">
      <c r="A135" t="s">
        <v>372</v>
      </c>
      <c r="B135" s="39" t="s">
        <v>373</v>
      </c>
      <c r="C135" t="s">
        <v>1286</v>
      </c>
      <c r="D135" s="40" t="s">
        <v>1287</v>
      </c>
      <c r="E135" t="s">
        <v>1042</v>
      </c>
    </row>
    <row r="136" spans="1:5" ht="86.4" x14ac:dyDescent="0.3">
      <c r="A136" t="s">
        <v>372</v>
      </c>
      <c r="B136" s="39" t="s">
        <v>373</v>
      </c>
      <c r="C136" t="s">
        <v>1288</v>
      </c>
      <c r="D136" s="40" t="s">
        <v>1289</v>
      </c>
      <c r="E136" t="s">
        <v>1042</v>
      </c>
    </row>
    <row r="137" spans="1:5" ht="86.4" x14ac:dyDescent="0.3">
      <c r="A137" t="s">
        <v>372</v>
      </c>
      <c r="B137" s="39" t="s">
        <v>373</v>
      </c>
      <c r="C137" t="s">
        <v>1290</v>
      </c>
      <c r="D137" s="40" t="s">
        <v>1291</v>
      </c>
      <c r="E137" t="s">
        <v>1042</v>
      </c>
    </row>
    <row r="138" spans="1:5" ht="43.2" x14ac:dyDescent="0.3">
      <c r="A138" t="s">
        <v>381</v>
      </c>
      <c r="B138" s="39" t="s">
        <v>383</v>
      </c>
      <c r="C138" t="s">
        <v>1292</v>
      </c>
      <c r="D138" s="40" t="s">
        <v>1293</v>
      </c>
      <c r="E138" t="s">
        <v>1061</v>
      </c>
    </row>
    <row r="139" spans="1:5" ht="43.2" x14ac:dyDescent="0.3">
      <c r="A139" t="s">
        <v>390</v>
      </c>
      <c r="B139" s="39" t="s">
        <v>392</v>
      </c>
      <c r="C139" t="s">
        <v>1294</v>
      </c>
      <c r="D139" s="40" t="s">
        <v>1293</v>
      </c>
      <c r="E139" t="s">
        <v>1061</v>
      </c>
    </row>
    <row r="140" spans="1:5" ht="43.2" x14ac:dyDescent="0.3">
      <c r="A140" t="s">
        <v>398</v>
      </c>
      <c r="B140" s="39" t="s">
        <v>399</v>
      </c>
      <c r="C140" t="s">
        <v>1295</v>
      </c>
      <c r="D140" s="40" t="s">
        <v>1296</v>
      </c>
      <c r="E140" t="s">
        <v>1061</v>
      </c>
    </row>
    <row r="141" spans="1:5" ht="43.2" x14ac:dyDescent="0.3">
      <c r="A141" t="s">
        <v>398</v>
      </c>
      <c r="B141" s="39" t="s">
        <v>399</v>
      </c>
      <c r="C141" t="s">
        <v>1297</v>
      </c>
      <c r="D141" s="40" t="s">
        <v>1298</v>
      </c>
      <c r="E141" t="s">
        <v>1042</v>
      </c>
    </row>
    <row r="142" spans="1:5" ht="43.2" x14ac:dyDescent="0.3">
      <c r="A142" t="s">
        <v>406</v>
      </c>
      <c r="B142" s="39" t="s">
        <v>408</v>
      </c>
      <c r="C142" t="s">
        <v>1299</v>
      </c>
      <c r="D142" s="40" t="s">
        <v>1300</v>
      </c>
      <c r="E142" t="s">
        <v>1061</v>
      </c>
    </row>
    <row r="143" spans="1:5" ht="43.2" x14ac:dyDescent="0.3">
      <c r="A143" t="s">
        <v>406</v>
      </c>
      <c r="B143" s="39" t="s">
        <v>408</v>
      </c>
      <c r="C143" t="s">
        <v>1301</v>
      </c>
      <c r="D143" s="40" t="s">
        <v>1302</v>
      </c>
      <c r="E143" t="s">
        <v>1042</v>
      </c>
    </row>
    <row r="144" spans="1:5" ht="43.2" x14ac:dyDescent="0.3">
      <c r="A144" t="s">
        <v>406</v>
      </c>
      <c r="B144" s="39" t="s">
        <v>408</v>
      </c>
      <c r="C144" t="s">
        <v>1303</v>
      </c>
      <c r="D144" s="40" t="s">
        <v>1304</v>
      </c>
      <c r="E144" t="s">
        <v>1042</v>
      </c>
    </row>
    <row r="145" spans="1:5" ht="28.8" x14ac:dyDescent="0.3">
      <c r="A145" t="s">
        <v>414</v>
      </c>
      <c r="B145" s="39" t="s">
        <v>416</v>
      </c>
      <c r="C145" t="s">
        <v>1305</v>
      </c>
      <c r="D145" s="40" t="s">
        <v>1296</v>
      </c>
      <c r="E145" t="s">
        <v>1042</v>
      </c>
    </row>
    <row r="146" spans="1:5" ht="28.8" x14ac:dyDescent="0.3">
      <c r="A146" t="s">
        <v>414</v>
      </c>
      <c r="B146" s="39" t="s">
        <v>416</v>
      </c>
      <c r="C146" t="s">
        <v>1306</v>
      </c>
      <c r="D146" s="40" t="s">
        <v>1307</v>
      </c>
      <c r="E146" t="s">
        <v>1051</v>
      </c>
    </row>
    <row r="147" spans="1:5" ht="43.2" x14ac:dyDescent="0.3">
      <c r="A147" t="s">
        <v>422</v>
      </c>
      <c r="B147" s="39" t="s">
        <v>424</v>
      </c>
      <c r="C147" t="s">
        <v>1308</v>
      </c>
      <c r="D147" s="40" t="s">
        <v>1309</v>
      </c>
      <c r="E147" t="s">
        <v>1051</v>
      </c>
    </row>
    <row r="148" spans="1:5" ht="43.2" x14ac:dyDescent="0.3">
      <c r="A148" t="s">
        <v>431</v>
      </c>
      <c r="B148" s="39" t="s">
        <v>432</v>
      </c>
      <c r="C148" t="s">
        <v>1310</v>
      </c>
      <c r="D148" s="40" t="s">
        <v>1311</v>
      </c>
      <c r="E148" t="s">
        <v>1051</v>
      </c>
    </row>
    <row r="149" spans="1:5" ht="43.2" x14ac:dyDescent="0.3">
      <c r="A149" t="s">
        <v>439</v>
      </c>
      <c r="B149" s="39" t="s">
        <v>441</v>
      </c>
      <c r="C149" t="s">
        <v>1312</v>
      </c>
      <c r="D149" s="40" t="s">
        <v>1313</v>
      </c>
      <c r="E149" t="s">
        <v>1042</v>
      </c>
    </row>
    <row r="150" spans="1:5" ht="43.2" x14ac:dyDescent="0.3">
      <c r="A150" t="s">
        <v>439</v>
      </c>
      <c r="B150" s="39" t="s">
        <v>441</v>
      </c>
      <c r="C150" t="s">
        <v>1314</v>
      </c>
      <c r="D150" s="40" t="s">
        <v>1315</v>
      </c>
      <c r="E150" t="s">
        <v>1051</v>
      </c>
    </row>
    <row r="151" spans="1:5" ht="43.2" x14ac:dyDescent="0.3">
      <c r="A151" t="s">
        <v>439</v>
      </c>
      <c r="B151" s="39" t="s">
        <v>441</v>
      </c>
      <c r="C151" t="s">
        <v>1316</v>
      </c>
      <c r="D151" s="40" t="s">
        <v>1317</v>
      </c>
      <c r="E151" t="s">
        <v>1042</v>
      </c>
    </row>
    <row r="152" spans="1:5" ht="43.2" x14ac:dyDescent="0.3">
      <c r="A152" t="s">
        <v>447</v>
      </c>
      <c r="B152" s="39" t="s">
        <v>449</v>
      </c>
      <c r="C152" t="s">
        <v>1318</v>
      </c>
      <c r="D152" s="40" t="s">
        <v>1319</v>
      </c>
      <c r="E152" t="s">
        <v>1042</v>
      </c>
    </row>
    <row r="153" spans="1:5" ht="43.2" x14ac:dyDescent="0.3">
      <c r="A153" t="s">
        <v>447</v>
      </c>
      <c r="B153" s="39" t="s">
        <v>449</v>
      </c>
      <c r="C153" t="s">
        <v>1320</v>
      </c>
      <c r="D153" s="40" t="s">
        <v>1321</v>
      </c>
      <c r="E153" t="s">
        <v>1042</v>
      </c>
    </row>
    <row r="154" spans="1:5" ht="43.2" x14ac:dyDescent="0.3">
      <c r="A154" t="s">
        <v>455</v>
      </c>
      <c r="B154" s="39" t="s">
        <v>457</v>
      </c>
      <c r="C154" t="s">
        <v>1322</v>
      </c>
      <c r="D154" s="40" t="s">
        <v>1323</v>
      </c>
      <c r="E154" t="s">
        <v>1061</v>
      </c>
    </row>
    <row r="155" spans="1:5" ht="43.2" x14ac:dyDescent="0.3">
      <c r="A155" t="s">
        <v>455</v>
      </c>
      <c r="B155" s="39" t="s">
        <v>457</v>
      </c>
      <c r="C155" t="s">
        <v>1324</v>
      </c>
      <c r="D155" s="40" t="s">
        <v>1325</v>
      </c>
      <c r="E155" t="s">
        <v>1042</v>
      </c>
    </row>
    <row r="156" spans="1:5" ht="43.2" x14ac:dyDescent="0.3">
      <c r="A156" t="s">
        <v>455</v>
      </c>
      <c r="B156" s="39" t="s">
        <v>457</v>
      </c>
      <c r="C156" t="s">
        <v>1326</v>
      </c>
      <c r="D156" s="40" t="s">
        <v>1327</v>
      </c>
      <c r="E156" t="s">
        <v>1042</v>
      </c>
    </row>
    <row r="157" spans="1:5" ht="57.6" x14ac:dyDescent="0.3">
      <c r="A157" t="s">
        <v>463</v>
      </c>
      <c r="B157" s="39" t="s">
        <v>465</v>
      </c>
      <c r="C157" t="s">
        <v>1328</v>
      </c>
      <c r="D157" s="40" t="s">
        <v>1329</v>
      </c>
      <c r="E157" t="s">
        <v>1042</v>
      </c>
    </row>
    <row r="158" spans="1:5" ht="57.6" x14ac:dyDescent="0.3">
      <c r="A158" t="s">
        <v>463</v>
      </c>
      <c r="B158" s="39" t="s">
        <v>465</v>
      </c>
      <c r="C158" t="s">
        <v>1330</v>
      </c>
      <c r="D158" s="40" t="s">
        <v>1331</v>
      </c>
      <c r="E158" t="s">
        <v>1042</v>
      </c>
    </row>
    <row r="159" spans="1:5" ht="72" x14ac:dyDescent="0.3">
      <c r="A159" t="s">
        <v>471</v>
      </c>
      <c r="B159" s="39" t="s">
        <v>473</v>
      </c>
      <c r="C159" t="s">
        <v>1332</v>
      </c>
      <c r="D159" s="40" t="s">
        <v>1329</v>
      </c>
      <c r="E159" t="s">
        <v>1042</v>
      </c>
    </row>
    <row r="160" spans="1:5" ht="72" x14ac:dyDescent="0.3">
      <c r="A160" t="s">
        <v>471</v>
      </c>
      <c r="B160" s="39" t="s">
        <v>473</v>
      </c>
      <c r="C160" t="s">
        <v>1333</v>
      </c>
      <c r="D160" s="40" t="s">
        <v>1325</v>
      </c>
      <c r="E160" t="s">
        <v>1061</v>
      </c>
    </row>
    <row r="161" spans="1:5" ht="72" x14ac:dyDescent="0.3">
      <c r="A161" t="s">
        <v>471</v>
      </c>
      <c r="B161" s="39" t="s">
        <v>473</v>
      </c>
      <c r="C161" t="s">
        <v>1334</v>
      </c>
      <c r="D161" s="40" t="s">
        <v>1335</v>
      </c>
      <c r="E161" t="s">
        <v>1042</v>
      </c>
    </row>
    <row r="162" spans="1:5" ht="72" x14ac:dyDescent="0.3">
      <c r="A162" t="s">
        <v>471</v>
      </c>
      <c r="B162" s="39" t="s">
        <v>473</v>
      </c>
      <c r="C162" t="s">
        <v>1336</v>
      </c>
      <c r="D162" s="40" t="s">
        <v>1337</v>
      </c>
      <c r="E162" t="s">
        <v>1042</v>
      </c>
    </row>
    <row r="163" spans="1:5" ht="43.2" x14ac:dyDescent="0.3">
      <c r="A163" t="s">
        <v>479</v>
      </c>
      <c r="B163" s="39" t="s">
        <v>481</v>
      </c>
      <c r="C163" t="s">
        <v>1338</v>
      </c>
      <c r="D163" s="40" t="s">
        <v>1339</v>
      </c>
      <c r="E163" t="s">
        <v>1061</v>
      </c>
    </row>
    <row r="164" spans="1:5" ht="43.2" x14ac:dyDescent="0.3">
      <c r="A164" t="s">
        <v>479</v>
      </c>
      <c r="B164" s="39" t="s">
        <v>481</v>
      </c>
      <c r="C164" t="s">
        <v>1340</v>
      </c>
      <c r="D164" s="40" t="s">
        <v>1341</v>
      </c>
      <c r="E164" t="s">
        <v>1042</v>
      </c>
    </row>
    <row r="165" spans="1:5" ht="43.2" x14ac:dyDescent="0.3">
      <c r="A165" t="s">
        <v>479</v>
      </c>
      <c r="B165" s="39" t="s">
        <v>481</v>
      </c>
      <c r="C165" t="s">
        <v>1342</v>
      </c>
      <c r="D165" s="40" t="s">
        <v>1343</v>
      </c>
      <c r="E165" t="s">
        <v>1042</v>
      </c>
    </row>
    <row r="166" spans="1:5" ht="43.2" x14ac:dyDescent="0.3">
      <c r="A166" t="s">
        <v>479</v>
      </c>
      <c r="B166" s="39" t="s">
        <v>481</v>
      </c>
      <c r="C166" t="s">
        <v>1344</v>
      </c>
      <c r="D166" s="40" t="s">
        <v>1345</v>
      </c>
      <c r="E166" t="s">
        <v>1042</v>
      </c>
    </row>
    <row r="167" spans="1:5" ht="43.2" x14ac:dyDescent="0.3">
      <c r="A167" t="s">
        <v>479</v>
      </c>
      <c r="B167" s="39" t="s">
        <v>481</v>
      </c>
      <c r="C167" t="s">
        <v>1346</v>
      </c>
      <c r="D167" s="40" t="s">
        <v>1347</v>
      </c>
      <c r="E167" t="s">
        <v>1042</v>
      </c>
    </row>
    <row r="168" spans="1:5" ht="43.2" x14ac:dyDescent="0.3">
      <c r="A168" t="s">
        <v>479</v>
      </c>
      <c r="B168" s="39" t="s">
        <v>481</v>
      </c>
      <c r="C168" t="s">
        <v>1348</v>
      </c>
      <c r="D168" s="40" t="s">
        <v>1349</v>
      </c>
      <c r="E168" t="s">
        <v>1042</v>
      </c>
    </row>
    <row r="169" spans="1:5" ht="57.6" x14ac:dyDescent="0.3">
      <c r="A169" t="s">
        <v>488</v>
      </c>
      <c r="B169" s="39" t="s">
        <v>489</v>
      </c>
      <c r="C169" t="s">
        <v>1350</v>
      </c>
      <c r="D169" s="40" t="s">
        <v>1351</v>
      </c>
      <c r="E169" t="s">
        <v>1061</v>
      </c>
    </row>
    <row r="170" spans="1:5" ht="57.6" x14ac:dyDescent="0.3">
      <c r="A170" t="s">
        <v>488</v>
      </c>
      <c r="B170" s="39" t="s">
        <v>489</v>
      </c>
      <c r="C170" t="s">
        <v>1352</v>
      </c>
      <c r="D170" s="40" t="s">
        <v>1353</v>
      </c>
      <c r="E170" t="s">
        <v>1042</v>
      </c>
    </row>
    <row r="171" spans="1:5" ht="57.6" x14ac:dyDescent="0.3">
      <c r="A171" t="s">
        <v>488</v>
      </c>
      <c r="B171" s="39" t="s">
        <v>489</v>
      </c>
      <c r="C171" t="s">
        <v>1354</v>
      </c>
      <c r="D171" s="40" t="s">
        <v>1135</v>
      </c>
      <c r="E171" t="s">
        <v>1042</v>
      </c>
    </row>
    <row r="172" spans="1:5" ht="57.6" x14ac:dyDescent="0.3">
      <c r="A172" t="s">
        <v>488</v>
      </c>
      <c r="B172" s="39" t="s">
        <v>489</v>
      </c>
      <c r="C172" t="s">
        <v>1355</v>
      </c>
      <c r="D172" s="40" t="s">
        <v>1356</v>
      </c>
      <c r="E172" t="s">
        <v>1042</v>
      </c>
    </row>
    <row r="173" spans="1:5" ht="57.6" x14ac:dyDescent="0.3">
      <c r="A173" t="s">
        <v>488</v>
      </c>
      <c r="B173" s="39" t="s">
        <v>489</v>
      </c>
      <c r="C173" t="s">
        <v>1357</v>
      </c>
      <c r="D173" s="40" t="s">
        <v>1296</v>
      </c>
      <c r="E173" t="s">
        <v>1042</v>
      </c>
    </row>
    <row r="174" spans="1:5" ht="57.6" x14ac:dyDescent="0.3">
      <c r="A174" t="s">
        <v>488</v>
      </c>
      <c r="B174" s="39" t="s">
        <v>489</v>
      </c>
      <c r="C174" t="s">
        <v>1358</v>
      </c>
      <c r="D174" s="40" t="s">
        <v>1359</v>
      </c>
      <c r="E174" t="s">
        <v>1042</v>
      </c>
    </row>
    <row r="175" spans="1:5" ht="43.2" x14ac:dyDescent="0.3">
      <c r="A175" t="s">
        <v>495</v>
      </c>
      <c r="B175" s="39" t="s">
        <v>496</v>
      </c>
      <c r="C175" t="s">
        <v>1360</v>
      </c>
      <c r="D175" s="40" t="s">
        <v>1135</v>
      </c>
      <c r="E175" t="s">
        <v>1042</v>
      </c>
    </row>
    <row r="176" spans="1:5" ht="43.2" x14ac:dyDescent="0.3">
      <c r="A176" t="s">
        <v>495</v>
      </c>
      <c r="B176" s="39" t="s">
        <v>496</v>
      </c>
      <c r="C176" t="s">
        <v>1361</v>
      </c>
      <c r="D176" s="40" t="s">
        <v>1356</v>
      </c>
      <c r="E176" t="s">
        <v>1042</v>
      </c>
    </row>
    <row r="177" spans="1:5" ht="43.2" x14ac:dyDescent="0.3">
      <c r="A177" t="s">
        <v>495</v>
      </c>
      <c r="B177" s="39" t="s">
        <v>496</v>
      </c>
      <c r="C177" t="s">
        <v>1362</v>
      </c>
      <c r="D177" s="40" t="s">
        <v>1351</v>
      </c>
      <c r="E177" t="s">
        <v>1042</v>
      </c>
    </row>
    <row r="178" spans="1:5" ht="43.2" x14ac:dyDescent="0.3">
      <c r="A178" t="s">
        <v>495</v>
      </c>
      <c r="B178" s="39" t="s">
        <v>496</v>
      </c>
      <c r="C178" t="s">
        <v>1363</v>
      </c>
      <c r="D178" s="40" t="s">
        <v>1296</v>
      </c>
      <c r="E178" t="s">
        <v>1042</v>
      </c>
    </row>
    <row r="179" spans="1:5" ht="43.2" x14ac:dyDescent="0.3">
      <c r="A179" t="s">
        <v>495</v>
      </c>
      <c r="B179" s="39" t="s">
        <v>496</v>
      </c>
      <c r="C179" t="s">
        <v>1364</v>
      </c>
      <c r="D179" s="40" t="s">
        <v>1353</v>
      </c>
      <c r="E179" t="s">
        <v>1061</v>
      </c>
    </row>
    <row r="180" spans="1:5" ht="43.2" x14ac:dyDescent="0.3">
      <c r="A180" t="s">
        <v>495</v>
      </c>
      <c r="B180" s="39" t="s">
        <v>496</v>
      </c>
      <c r="C180" t="s">
        <v>1365</v>
      </c>
      <c r="D180" s="40" t="s">
        <v>1359</v>
      </c>
      <c r="E180" t="s">
        <v>1042</v>
      </c>
    </row>
    <row r="181" spans="1:5" ht="43.2" x14ac:dyDescent="0.3">
      <c r="A181" t="s">
        <v>495</v>
      </c>
      <c r="B181" s="39" t="s">
        <v>496</v>
      </c>
      <c r="C181" t="s">
        <v>1366</v>
      </c>
      <c r="D181" s="40" t="s">
        <v>1367</v>
      </c>
      <c r="E181" t="s">
        <v>1042</v>
      </c>
    </row>
    <row r="182" spans="1:5" ht="43.2" x14ac:dyDescent="0.3">
      <c r="A182" t="s">
        <v>502</v>
      </c>
      <c r="B182" s="39" t="s">
        <v>504</v>
      </c>
      <c r="C182" t="s">
        <v>1368</v>
      </c>
      <c r="D182" s="40" t="s">
        <v>1369</v>
      </c>
      <c r="E182" t="s">
        <v>1061</v>
      </c>
    </row>
    <row r="183" spans="1:5" ht="43.2" x14ac:dyDescent="0.3">
      <c r="A183" t="s">
        <v>502</v>
      </c>
      <c r="B183" s="39" t="s">
        <v>504</v>
      </c>
      <c r="C183" t="s">
        <v>1370</v>
      </c>
      <c r="D183" s="40" t="s">
        <v>1335</v>
      </c>
      <c r="E183" t="s">
        <v>1042</v>
      </c>
    </row>
    <row r="184" spans="1:5" ht="43.2" x14ac:dyDescent="0.3">
      <c r="A184" t="s">
        <v>502</v>
      </c>
      <c r="B184" s="39" t="s">
        <v>504</v>
      </c>
      <c r="C184" t="s">
        <v>1371</v>
      </c>
      <c r="D184" s="40" t="s">
        <v>1372</v>
      </c>
      <c r="E184" t="s">
        <v>1042</v>
      </c>
    </row>
    <row r="185" spans="1:5" ht="43.2" x14ac:dyDescent="0.3">
      <c r="A185" t="s">
        <v>508</v>
      </c>
      <c r="B185" s="39" t="s">
        <v>509</v>
      </c>
      <c r="C185" t="s">
        <v>1373</v>
      </c>
      <c r="D185" s="40" t="s">
        <v>1374</v>
      </c>
      <c r="E185" t="s">
        <v>1042</v>
      </c>
    </row>
    <row r="186" spans="1:5" ht="43.2" x14ac:dyDescent="0.3">
      <c r="A186" t="s">
        <v>508</v>
      </c>
      <c r="B186" s="39" t="s">
        <v>509</v>
      </c>
      <c r="C186" t="s">
        <v>1375</v>
      </c>
      <c r="D186" s="40" t="s">
        <v>1376</v>
      </c>
      <c r="E186" t="s">
        <v>1042</v>
      </c>
    </row>
    <row r="187" spans="1:5" ht="43.2" x14ac:dyDescent="0.3">
      <c r="A187" t="s">
        <v>508</v>
      </c>
      <c r="B187" s="39" t="s">
        <v>509</v>
      </c>
      <c r="C187" t="s">
        <v>1377</v>
      </c>
      <c r="D187" s="40" t="s">
        <v>1378</v>
      </c>
      <c r="E187" t="s">
        <v>1042</v>
      </c>
    </row>
    <row r="188" spans="1:5" ht="43.2" x14ac:dyDescent="0.3">
      <c r="A188" t="s">
        <v>508</v>
      </c>
      <c r="B188" s="39" t="s">
        <v>509</v>
      </c>
      <c r="C188" t="s">
        <v>1379</v>
      </c>
      <c r="D188" s="40" t="s">
        <v>1345</v>
      </c>
      <c r="E188" t="s">
        <v>1042</v>
      </c>
    </row>
    <row r="189" spans="1:5" ht="43.2" x14ac:dyDescent="0.3">
      <c r="A189" t="s">
        <v>508</v>
      </c>
      <c r="B189" s="39" t="s">
        <v>509</v>
      </c>
      <c r="C189" t="s">
        <v>1380</v>
      </c>
      <c r="D189" s="40" t="s">
        <v>1381</v>
      </c>
      <c r="E189" t="s">
        <v>1042</v>
      </c>
    </row>
    <row r="190" spans="1:5" ht="43.2" x14ac:dyDescent="0.3">
      <c r="A190" t="s">
        <v>508</v>
      </c>
      <c r="B190" s="39" t="s">
        <v>509</v>
      </c>
      <c r="C190" t="s">
        <v>1382</v>
      </c>
      <c r="D190" s="40" t="s">
        <v>1280</v>
      </c>
      <c r="E190" t="s">
        <v>1061</v>
      </c>
    </row>
    <row r="191" spans="1:5" ht="57.6" x14ac:dyDescent="0.3">
      <c r="A191" t="s">
        <v>516</v>
      </c>
      <c r="B191" s="39" t="s">
        <v>518</v>
      </c>
      <c r="C191" t="s">
        <v>1383</v>
      </c>
      <c r="D191" s="40" t="s">
        <v>1384</v>
      </c>
      <c r="E191" t="s">
        <v>1042</v>
      </c>
    </row>
    <row r="192" spans="1:5" ht="57.6" x14ac:dyDescent="0.3">
      <c r="A192" t="s">
        <v>516</v>
      </c>
      <c r="B192" s="39" t="s">
        <v>518</v>
      </c>
      <c r="C192" t="s">
        <v>1385</v>
      </c>
      <c r="D192" s="40" t="s">
        <v>1386</v>
      </c>
      <c r="E192" t="s">
        <v>1042</v>
      </c>
    </row>
    <row r="193" spans="1:5" ht="57.6" x14ac:dyDescent="0.3">
      <c r="A193" t="s">
        <v>516</v>
      </c>
      <c r="B193" s="39" t="s">
        <v>518</v>
      </c>
      <c r="C193" t="s">
        <v>1387</v>
      </c>
      <c r="D193" s="40" t="s">
        <v>1388</v>
      </c>
      <c r="E193" t="s">
        <v>1051</v>
      </c>
    </row>
    <row r="194" spans="1:5" ht="57.6" x14ac:dyDescent="0.3">
      <c r="A194" t="s">
        <v>516</v>
      </c>
      <c r="B194" s="39" t="s">
        <v>518</v>
      </c>
      <c r="C194" t="s">
        <v>1389</v>
      </c>
      <c r="D194" s="40" t="s">
        <v>1390</v>
      </c>
      <c r="E194" t="s">
        <v>1042</v>
      </c>
    </row>
    <row r="195" spans="1:5" ht="57.6" x14ac:dyDescent="0.3">
      <c r="A195" t="s">
        <v>516</v>
      </c>
      <c r="B195" s="39" t="s">
        <v>518</v>
      </c>
      <c r="C195" t="s">
        <v>1391</v>
      </c>
      <c r="D195" s="40" t="s">
        <v>1392</v>
      </c>
      <c r="E195" t="s">
        <v>1042</v>
      </c>
    </row>
    <row r="196" spans="1:5" ht="43.2" x14ac:dyDescent="0.3">
      <c r="A196" t="s">
        <v>524</v>
      </c>
      <c r="B196" s="39" t="s">
        <v>525</v>
      </c>
      <c r="C196" t="s">
        <v>1393</v>
      </c>
      <c r="D196" s="40" t="s">
        <v>1369</v>
      </c>
      <c r="E196" t="s">
        <v>1042</v>
      </c>
    </row>
    <row r="197" spans="1:5" ht="43.2" x14ac:dyDescent="0.3">
      <c r="A197" t="s">
        <v>524</v>
      </c>
      <c r="B197" s="39" t="s">
        <v>525</v>
      </c>
      <c r="C197" t="s">
        <v>1394</v>
      </c>
      <c r="D197" s="40" t="s">
        <v>1296</v>
      </c>
      <c r="E197" t="s">
        <v>1042</v>
      </c>
    </row>
    <row r="198" spans="1:5" ht="43.2" x14ac:dyDescent="0.3">
      <c r="A198" t="s">
        <v>524</v>
      </c>
      <c r="B198" s="39" t="s">
        <v>525</v>
      </c>
      <c r="C198" t="s">
        <v>1395</v>
      </c>
      <c r="D198" s="40" t="s">
        <v>1396</v>
      </c>
      <c r="E198" t="s">
        <v>1042</v>
      </c>
    </row>
    <row r="199" spans="1:5" ht="43.2" x14ac:dyDescent="0.3">
      <c r="A199" t="s">
        <v>524</v>
      </c>
      <c r="B199" s="39" t="s">
        <v>525</v>
      </c>
      <c r="C199" t="s">
        <v>1397</v>
      </c>
      <c r="D199" s="40" t="s">
        <v>1398</v>
      </c>
      <c r="E199" t="s">
        <v>1042</v>
      </c>
    </row>
    <row r="200" spans="1:5" ht="43.2" x14ac:dyDescent="0.3">
      <c r="A200" t="s">
        <v>524</v>
      </c>
      <c r="B200" s="39" t="s">
        <v>525</v>
      </c>
      <c r="C200" t="s">
        <v>1399</v>
      </c>
      <c r="D200" s="40" t="s">
        <v>1400</v>
      </c>
      <c r="E200" t="s">
        <v>1051</v>
      </c>
    </row>
    <row r="201" spans="1:5" ht="43.2" x14ac:dyDescent="0.3">
      <c r="A201" t="s">
        <v>532</v>
      </c>
      <c r="B201" s="39" t="s">
        <v>1401</v>
      </c>
      <c r="C201" t="s">
        <v>1402</v>
      </c>
      <c r="D201" s="40" t="s">
        <v>1403</v>
      </c>
      <c r="E201" t="s">
        <v>1061</v>
      </c>
    </row>
    <row r="202" spans="1:5" ht="43.2" x14ac:dyDescent="0.3">
      <c r="A202" t="s">
        <v>532</v>
      </c>
      <c r="B202" s="39" t="s">
        <v>1401</v>
      </c>
      <c r="C202" t="s">
        <v>1404</v>
      </c>
      <c r="D202" s="40" t="s">
        <v>1405</v>
      </c>
      <c r="E202" t="s">
        <v>1042</v>
      </c>
    </row>
    <row r="203" spans="1:5" ht="43.2" x14ac:dyDescent="0.3">
      <c r="A203" t="s">
        <v>532</v>
      </c>
      <c r="B203" s="39" t="s">
        <v>1401</v>
      </c>
      <c r="C203" t="s">
        <v>1406</v>
      </c>
      <c r="D203" s="40" t="s">
        <v>1407</v>
      </c>
      <c r="E203" t="s">
        <v>1042</v>
      </c>
    </row>
    <row r="204" spans="1:5" ht="43.2" x14ac:dyDescent="0.3">
      <c r="A204" t="s">
        <v>532</v>
      </c>
      <c r="B204" s="39" t="s">
        <v>1401</v>
      </c>
      <c r="C204" t="s">
        <v>1408</v>
      </c>
      <c r="D204" s="40" t="s">
        <v>1409</v>
      </c>
      <c r="E204" t="s">
        <v>1042</v>
      </c>
    </row>
    <row r="205" spans="1:5" ht="28.8" x14ac:dyDescent="0.3">
      <c r="A205" t="s">
        <v>540</v>
      </c>
      <c r="B205" s="39" t="s">
        <v>542</v>
      </c>
      <c r="C205" t="s">
        <v>1410</v>
      </c>
      <c r="D205" s="40" t="s">
        <v>1411</v>
      </c>
      <c r="E205" t="s">
        <v>1061</v>
      </c>
    </row>
    <row r="206" spans="1:5" ht="28.8" x14ac:dyDescent="0.3">
      <c r="A206" t="s">
        <v>540</v>
      </c>
      <c r="B206" s="39" t="s">
        <v>542</v>
      </c>
      <c r="C206" t="s">
        <v>1412</v>
      </c>
      <c r="D206" s="40" t="s">
        <v>1413</v>
      </c>
      <c r="E206" t="s">
        <v>1042</v>
      </c>
    </row>
    <row r="207" spans="1:5" ht="43.2" x14ac:dyDescent="0.3">
      <c r="A207" t="s">
        <v>547</v>
      </c>
      <c r="B207" s="39" t="s">
        <v>548</v>
      </c>
      <c r="C207" t="s">
        <v>1414</v>
      </c>
      <c r="D207" s="40" t="s">
        <v>1415</v>
      </c>
      <c r="E207" t="s">
        <v>1042</v>
      </c>
    </row>
    <row r="208" spans="1:5" ht="43.2" x14ac:dyDescent="0.3">
      <c r="A208" t="s">
        <v>547</v>
      </c>
      <c r="B208" s="39" t="s">
        <v>548</v>
      </c>
      <c r="C208" t="s">
        <v>1416</v>
      </c>
      <c r="D208" s="40" t="s">
        <v>1411</v>
      </c>
      <c r="E208" t="s">
        <v>1042</v>
      </c>
    </row>
    <row r="209" spans="1:5" ht="43.2" x14ac:dyDescent="0.3">
      <c r="A209" t="s">
        <v>547</v>
      </c>
      <c r="B209" s="39" t="s">
        <v>548</v>
      </c>
      <c r="C209" t="s">
        <v>1417</v>
      </c>
      <c r="D209" s="40" t="s">
        <v>1418</v>
      </c>
      <c r="E209" t="s">
        <v>1061</v>
      </c>
    </row>
    <row r="210" spans="1:5" ht="43.2" x14ac:dyDescent="0.3">
      <c r="A210" t="s">
        <v>554</v>
      </c>
      <c r="B210" s="39" t="s">
        <v>555</v>
      </c>
      <c r="C210" t="s">
        <v>1419</v>
      </c>
      <c r="D210" s="40" t="s">
        <v>1268</v>
      </c>
      <c r="E210" t="s">
        <v>1042</v>
      </c>
    </row>
    <row r="211" spans="1:5" ht="43.2" x14ac:dyDescent="0.3">
      <c r="A211" t="s">
        <v>554</v>
      </c>
      <c r="B211" s="39" t="s">
        <v>555</v>
      </c>
      <c r="C211" t="s">
        <v>1420</v>
      </c>
      <c r="D211" s="40" t="s">
        <v>1135</v>
      </c>
      <c r="E211" t="s">
        <v>1061</v>
      </c>
    </row>
    <row r="212" spans="1:5" ht="43.2" x14ac:dyDescent="0.3">
      <c r="A212" t="s">
        <v>554</v>
      </c>
      <c r="B212" s="39" t="s">
        <v>555</v>
      </c>
      <c r="C212" t="s">
        <v>1421</v>
      </c>
      <c r="D212" s="40" t="s">
        <v>1271</v>
      </c>
      <c r="E212" t="s">
        <v>1042</v>
      </c>
    </row>
    <row r="213" spans="1:5" ht="43.2" x14ac:dyDescent="0.3">
      <c r="A213" t="s">
        <v>554</v>
      </c>
      <c r="B213" s="39" t="s">
        <v>555</v>
      </c>
      <c r="C213" t="s">
        <v>1422</v>
      </c>
      <c r="D213" s="40" t="s">
        <v>1273</v>
      </c>
      <c r="E213" t="s">
        <v>1042</v>
      </c>
    </row>
    <row r="214" spans="1:5" ht="43.2" x14ac:dyDescent="0.3">
      <c r="A214" t="s">
        <v>554</v>
      </c>
      <c r="B214" s="39" t="s">
        <v>555</v>
      </c>
      <c r="C214" t="s">
        <v>1423</v>
      </c>
      <c r="D214" s="40" t="s">
        <v>1275</v>
      </c>
      <c r="E214" t="s">
        <v>1042</v>
      </c>
    </row>
    <row r="215" spans="1:5" ht="57.6" x14ac:dyDescent="0.3">
      <c r="A215" t="s">
        <v>561</v>
      </c>
      <c r="B215" s="39" t="s">
        <v>563</v>
      </c>
      <c r="C215" t="s">
        <v>1424</v>
      </c>
      <c r="D215" s="40" t="s">
        <v>1425</v>
      </c>
      <c r="E215" t="s">
        <v>1042</v>
      </c>
    </row>
    <row r="216" spans="1:5" ht="57.6" x14ac:dyDescent="0.3">
      <c r="A216" t="s">
        <v>561</v>
      </c>
      <c r="B216" s="39" t="s">
        <v>563</v>
      </c>
      <c r="C216" t="s">
        <v>1426</v>
      </c>
      <c r="D216" s="40" t="s">
        <v>1427</v>
      </c>
      <c r="E216" t="s">
        <v>1061</v>
      </c>
    </row>
    <row r="217" spans="1:5" ht="57.6" x14ac:dyDescent="0.3">
      <c r="A217" t="s">
        <v>561</v>
      </c>
      <c r="B217" s="39" t="s">
        <v>563</v>
      </c>
      <c r="C217" t="s">
        <v>1428</v>
      </c>
      <c r="D217" s="40" t="s">
        <v>1429</v>
      </c>
      <c r="E217" t="s">
        <v>1042</v>
      </c>
    </row>
    <row r="218" spans="1:5" ht="57.6" x14ac:dyDescent="0.3">
      <c r="A218" t="s">
        <v>561</v>
      </c>
      <c r="B218" s="39" t="s">
        <v>563</v>
      </c>
      <c r="C218" t="s">
        <v>1430</v>
      </c>
      <c r="D218" s="40" t="s">
        <v>1135</v>
      </c>
      <c r="E218" t="s">
        <v>1042</v>
      </c>
    </row>
    <row r="219" spans="1:5" ht="57.6" x14ac:dyDescent="0.3">
      <c r="A219" t="s">
        <v>561</v>
      </c>
      <c r="B219" s="39" t="s">
        <v>563</v>
      </c>
      <c r="C219" t="s">
        <v>1431</v>
      </c>
      <c r="D219" s="40" t="s">
        <v>1432</v>
      </c>
      <c r="E219" t="s">
        <v>1042</v>
      </c>
    </row>
    <row r="220" spans="1:5" ht="72" x14ac:dyDescent="0.3">
      <c r="A220" t="s">
        <v>569</v>
      </c>
      <c r="B220" s="39" t="s">
        <v>570</v>
      </c>
      <c r="C220" t="s">
        <v>1433</v>
      </c>
      <c r="D220" s="40" t="s">
        <v>1434</v>
      </c>
      <c r="E220" t="s">
        <v>1061</v>
      </c>
    </row>
    <row r="221" spans="1:5" ht="43.2" x14ac:dyDescent="0.3">
      <c r="A221" t="s">
        <v>577</v>
      </c>
      <c r="B221" s="39" t="s">
        <v>578</v>
      </c>
      <c r="C221" t="s">
        <v>1435</v>
      </c>
      <c r="D221" s="40" t="s">
        <v>1436</v>
      </c>
      <c r="E221" t="s">
        <v>1042</v>
      </c>
    </row>
    <row r="222" spans="1:5" ht="43.2" x14ac:dyDescent="0.3">
      <c r="A222" t="s">
        <v>577</v>
      </c>
      <c r="B222" s="39" t="s">
        <v>578</v>
      </c>
      <c r="C222" t="s">
        <v>1437</v>
      </c>
      <c r="D222" s="40" t="s">
        <v>1413</v>
      </c>
      <c r="E222" t="s">
        <v>1042</v>
      </c>
    </row>
    <row r="223" spans="1:5" ht="43.2" x14ac:dyDescent="0.3">
      <c r="A223" t="s">
        <v>577</v>
      </c>
      <c r="B223" s="39" t="s">
        <v>578</v>
      </c>
      <c r="C223" t="s">
        <v>1438</v>
      </c>
      <c r="D223" s="40" t="s">
        <v>1411</v>
      </c>
      <c r="E223" t="s">
        <v>1042</v>
      </c>
    </row>
    <row r="224" spans="1:5" ht="43.2" x14ac:dyDescent="0.3">
      <c r="A224" t="s">
        <v>577</v>
      </c>
      <c r="B224" s="39" t="s">
        <v>578</v>
      </c>
      <c r="C224" t="s">
        <v>1439</v>
      </c>
      <c r="D224" s="40" t="s">
        <v>1440</v>
      </c>
      <c r="E224" t="s">
        <v>1061</v>
      </c>
    </row>
    <row r="225" spans="1:5" ht="43.2" x14ac:dyDescent="0.3">
      <c r="A225" t="s">
        <v>584</v>
      </c>
      <c r="B225" s="39" t="s">
        <v>586</v>
      </c>
      <c r="C225" t="s">
        <v>1441</v>
      </c>
      <c r="D225" s="40" t="s">
        <v>1296</v>
      </c>
      <c r="E225" t="s">
        <v>1042</v>
      </c>
    </row>
    <row r="226" spans="1:5" ht="43.2" x14ac:dyDescent="0.3">
      <c r="A226" t="s">
        <v>584</v>
      </c>
      <c r="B226" s="39" t="s">
        <v>586</v>
      </c>
      <c r="C226" t="s">
        <v>1442</v>
      </c>
      <c r="D226" s="40" t="s">
        <v>1427</v>
      </c>
      <c r="E226" t="s">
        <v>1061</v>
      </c>
    </row>
    <row r="227" spans="1:5" ht="43.2" x14ac:dyDescent="0.3">
      <c r="A227" t="s">
        <v>584</v>
      </c>
      <c r="B227" s="39" t="s">
        <v>586</v>
      </c>
      <c r="C227" t="s">
        <v>1443</v>
      </c>
      <c r="D227" s="40" t="s">
        <v>1444</v>
      </c>
      <c r="E227" t="s">
        <v>1042</v>
      </c>
    </row>
    <row r="228" spans="1:5" ht="43.2" x14ac:dyDescent="0.3">
      <c r="A228" t="s">
        <v>584</v>
      </c>
      <c r="B228" s="39" t="s">
        <v>586</v>
      </c>
      <c r="C228" t="s">
        <v>1445</v>
      </c>
      <c r="D228" s="40" t="s">
        <v>1335</v>
      </c>
      <c r="E228" t="s">
        <v>1042</v>
      </c>
    </row>
    <row r="229" spans="1:5" ht="43.2" x14ac:dyDescent="0.3">
      <c r="A229" t="s">
        <v>584</v>
      </c>
      <c r="B229" s="39" t="s">
        <v>586</v>
      </c>
      <c r="C229" t="s">
        <v>1446</v>
      </c>
      <c r="D229" s="40" t="s">
        <v>1425</v>
      </c>
      <c r="E229" t="s">
        <v>1042</v>
      </c>
    </row>
    <row r="230" spans="1:5" ht="43.2" x14ac:dyDescent="0.3">
      <c r="A230" t="s">
        <v>592</v>
      </c>
      <c r="B230" s="39" t="s">
        <v>594</v>
      </c>
      <c r="C230" t="s">
        <v>1447</v>
      </c>
      <c r="D230" s="40" t="s">
        <v>1448</v>
      </c>
      <c r="E230" t="s">
        <v>1042</v>
      </c>
    </row>
    <row r="231" spans="1:5" ht="43.2" x14ac:dyDescent="0.3">
      <c r="A231" t="s">
        <v>592</v>
      </c>
      <c r="B231" s="39" t="s">
        <v>594</v>
      </c>
      <c r="C231" t="s">
        <v>1449</v>
      </c>
      <c r="D231" s="40" t="s">
        <v>1450</v>
      </c>
      <c r="E231" t="s">
        <v>1042</v>
      </c>
    </row>
    <row r="232" spans="1:5" ht="43.2" x14ac:dyDescent="0.3">
      <c r="A232" t="s">
        <v>592</v>
      </c>
      <c r="B232" s="39" t="s">
        <v>594</v>
      </c>
      <c r="C232" t="s">
        <v>1451</v>
      </c>
      <c r="D232" s="40" t="s">
        <v>1452</v>
      </c>
      <c r="E232" t="s">
        <v>1042</v>
      </c>
    </row>
    <row r="233" spans="1:5" ht="43.2" x14ac:dyDescent="0.3">
      <c r="A233" t="s">
        <v>592</v>
      </c>
      <c r="B233" s="39" t="s">
        <v>594</v>
      </c>
      <c r="C233" t="s">
        <v>1453</v>
      </c>
      <c r="D233" s="40" t="s">
        <v>1415</v>
      </c>
      <c r="E233" t="s">
        <v>1051</v>
      </c>
    </row>
    <row r="234" spans="1:5" ht="43.2" x14ac:dyDescent="0.3">
      <c r="A234" t="s">
        <v>592</v>
      </c>
      <c r="B234" s="39" t="s">
        <v>594</v>
      </c>
      <c r="C234" t="s">
        <v>1454</v>
      </c>
      <c r="D234" s="40" t="s">
        <v>1455</v>
      </c>
      <c r="E234" t="s">
        <v>1042</v>
      </c>
    </row>
    <row r="235" spans="1:5" ht="43.2" x14ac:dyDescent="0.3">
      <c r="A235" t="s">
        <v>600</v>
      </c>
      <c r="B235" s="39" t="s">
        <v>601</v>
      </c>
      <c r="C235" t="s">
        <v>1456</v>
      </c>
      <c r="D235" s="40" t="s">
        <v>1457</v>
      </c>
      <c r="E235" t="s">
        <v>1042</v>
      </c>
    </row>
    <row r="236" spans="1:5" ht="43.2" x14ac:dyDescent="0.3">
      <c r="A236" t="s">
        <v>600</v>
      </c>
      <c r="B236" s="39" t="s">
        <v>601</v>
      </c>
      <c r="C236" t="s">
        <v>1458</v>
      </c>
      <c r="D236" s="40" t="s">
        <v>1459</v>
      </c>
      <c r="E236" t="s">
        <v>1042</v>
      </c>
    </row>
    <row r="237" spans="1:5" ht="43.2" x14ac:dyDescent="0.3">
      <c r="A237" t="s">
        <v>600</v>
      </c>
      <c r="B237" s="39" t="s">
        <v>601</v>
      </c>
      <c r="C237" t="s">
        <v>1460</v>
      </c>
      <c r="D237" s="40" t="s">
        <v>1415</v>
      </c>
      <c r="E237" t="s">
        <v>1042</v>
      </c>
    </row>
    <row r="238" spans="1:5" ht="43.2" x14ac:dyDescent="0.3">
      <c r="A238" t="s">
        <v>607</v>
      </c>
      <c r="B238" s="39" t="s">
        <v>609</v>
      </c>
      <c r="C238" t="s">
        <v>1461</v>
      </c>
      <c r="D238" s="40" t="s">
        <v>1427</v>
      </c>
      <c r="E238" t="s">
        <v>1042</v>
      </c>
    </row>
    <row r="239" spans="1:5" ht="43.2" x14ac:dyDescent="0.3">
      <c r="A239" t="s">
        <v>607</v>
      </c>
      <c r="B239" s="39" t="s">
        <v>609</v>
      </c>
      <c r="C239" t="s">
        <v>1462</v>
      </c>
      <c r="D239" s="40" t="s">
        <v>1463</v>
      </c>
      <c r="E239" t="s">
        <v>1042</v>
      </c>
    </row>
    <row r="240" spans="1:5" ht="43.2" x14ac:dyDescent="0.3">
      <c r="A240" t="s">
        <v>607</v>
      </c>
      <c r="B240" s="39" t="s">
        <v>609</v>
      </c>
      <c r="C240" t="s">
        <v>1464</v>
      </c>
      <c r="D240" s="40" t="s">
        <v>1465</v>
      </c>
      <c r="E240" t="s">
        <v>1061</v>
      </c>
    </row>
    <row r="241" spans="1:5" ht="43.2" x14ac:dyDescent="0.3">
      <c r="A241" t="s">
        <v>607</v>
      </c>
      <c r="B241" s="39" t="s">
        <v>609</v>
      </c>
      <c r="C241" t="s">
        <v>1466</v>
      </c>
      <c r="D241" s="40" t="s">
        <v>1467</v>
      </c>
      <c r="E241" t="s">
        <v>1042</v>
      </c>
    </row>
    <row r="242" spans="1:5" ht="43.2" x14ac:dyDescent="0.3">
      <c r="A242" t="s">
        <v>607</v>
      </c>
      <c r="B242" s="39" t="s">
        <v>609</v>
      </c>
      <c r="C242" t="s">
        <v>1468</v>
      </c>
      <c r="D242" s="40" t="s">
        <v>1135</v>
      </c>
      <c r="E242" t="s">
        <v>1042</v>
      </c>
    </row>
    <row r="243" spans="1:5" ht="43.2" x14ac:dyDescent="0.3">
      <c r="A243" t="s">
        <v>607</v>
      </c>
      <c r="B243" s="39" t="s">
        <v>609</v>
      </c>
      <c r="C243" t="s">
        <v>1469</v>
      </c>
      <c r="D243" s="40" t="s">
        <v>1470</v>
      </c>
      <c r="E243" t="s">
        <v>1042</v>
      </c>
    </row>
    <row r="244" spans="1:5" ht="43.2" x14ac:dyDescent="0.3">
      <c r="A244" t="s">
        <v>607</v>
      </c>
      <c r="B244" s="39" t="s">
        <v>609</v>
      </c>
      <c r="C244" t="s">
        <v>1471</v>
      </c>
      <c r="D244" s="40" t="s">
        <v>1472</v>
      </c>
      <c r="E244" t="s">
        <v>1042</v>
      </c>
    </row>
    <row r="245" spans="1:5" ht="43.2" x14ac:dyDescent="0.3">
      <c r="A245" t="s">
        <v>607</v>
      </c>
      <c r="B245" s="39" t="s">
        <v>609</v>
      </c>
      <c r="C245" t="s">
        <v>1473</v>
      </c>
      <c r="D245" s="40" t="s">
        <v>1474</v>
      </c>
      <c r="E245" t="s">
        <v>1042</v>
      </c>
    </row>
    <row r="246" spans="1:5" ht="72" x14ac:dyDescent="0.3">
      <c r="A246" t="s">
        <v>615</v>
      </c>
      <c r="B246" s="39" t="s">
        <v>616</v>
      </c>
      <c r="C246" t="s">
        <v>1475</v>
      </c>
      <c r="D246" s="40" t="s">
        <v>1476</v>
      </c>
      <c r="E246" t="s">
        <v>1042</v>
      </c>
    </row>
    <row r="247" spans="1:5" ht="72" x14ac:dyDescent="0.3">
      <c r="A247" t="s">
        <v>615</v>
      </c>
      <c r="B247" s="39" t="s">
        <v>616</v>
      </c>
      <c r="C247" t="s">
        <v>1477</v>
      </c>
      <c r="D247" s="40" t="s">
        <v>1478</v>
      </c>
      <c r="E247" t="s">
        <v>1042</v>
      </c>
    </row>
    <row r="248" spans="1:5" ht="72" x14ac:dyDescent="0.3">
      <c r="A248" t="s">
        <v>615</v>
      </c>
      <c r="B248" s="39" t="s">
        <v>616</v>
      </c>
      <c r="C248" t="s">
        <v>1479</v>
      </c>
      <c r="D248" s="40" t="s">
        <v>1480</v>
      </c>
      <c r="E248" t="s">
        <v>1051</v>
      </c>
    </row>
    <row r="249" spans="1:5" ht="43.2" x14ac:dyDescent="0.3">
      <c r="A249" t="s">
        <v>622</v>
      </c>
      <c r="B249" s="39" t="s">
        <v>623</v>
      </c>
      <c r="C249" t="s">
        <v>1481</v>
      </c>
      <c r="D249" s="40" t="s">
        <v>1482</v>
      </c>
      <c r="E249" t="s">
        <v>1042</v>
      </c>
    </row>
    <row r="250" spans="1:5" ht="43.2" x14ac:dyDescent="0.3">
      <c r="A250" t="s">
        <v>622</v>
      </c>
      <c r="B250" s="39" t="s">
        <v>623</v>
      </c>
      <c r="C250" t="s">
        <v>1483</v>
      </c>
      <c r="D250" s="40" t="s">
        <v>1457</v>
      </c>
      <c r="E250" t="s">
        <v>1042</v>
      </c>
    </row>
    <row r="251" spans="1:5" ht="43.2" x14ac:dyDescent="0.3">
      <c r="A251" t="s">
        <v>622</v>
      </c>
      <c r="B251" s="39" t="s">
        <v>623</v>
      </c>
      <c r="C251" t="s">
        <v>1484</v>
      </c>
      <c r="D251" s="40" t="s">
        <v>1411</v>
      </c>
      <c r="E251" t="s">
        <v>1042</v>
      </c>
    </row>
    <row r="252" spans="1:5" ht="43.2" x14ac:dyDescent="0.3">
      <c r="A252" t="s">
        <v>622</v>
      </c>
      <c r="B252" s="39" t="s">
        <v>623</v>
      </c>
      <c r="C252" t="s">
        <v>1485</v>
      </c>
      <c r="D252" s="40" t="s">
        <v>1415</v>
      </c>
      <c r="E252" t="s">
        <v>1061</v>
      </c>
    </row>
    <row r="253" spans="1:5" ht="28.8" x14ac:dyDescent="0.3">
      <c r="A253" t="s">
        <v>630</v>
      </c>
      <c r="B253" s="39" t="s">
        <v>631</v>
      </c>
      <c r="C253" t="s">
        <v>1486</v>
      </c>
      <c r="D253" s="40" t="s">
        <v>1415</v>
      </c>
      <c r="E253" t="s">
        <v>1042</v>
      </c>
    </row>
    <row r="254" spans="1:5" ht="28.8" x14ac:dyDescent="0.3">
      <c r="A254" t="s">
        <v>630</v>
      </c>
      <c r="B254" s="39" t="s">
        <v>631</v>
      </c>
      <c r="C254" t="s">
        <v>1486</v>
      </c>
      <c r="D254" s="41" t="s">
        <v>1487</v>
      </c>
      <c r="E254" t="s">
        <v>1061</v>
      </c>
    </row>
    <row r="255" spans="1:5" ht="28.8" x14ac:dyDescent="0.3">
      <c r="A255" t="s">
        <v>630</v>
      </c>
      <c r="B255" s="39" t="s">
        <v>631</v>
      </c>
      <c r="C255" t="s">
        <v>1488</v>
      </c>
      <c r="D255" s="40" t="s">
        <v>1459</v>
      </c>
      <c r="E255" t="s">
        <v>1042</v>
      </c>
    </row>
    <row r="256" spans="1:5" ht="57.6" x14ac:dyDescent="0.3">
      <c r="A256" t="s">
        <v>635</v>
      </c>
      <c r="B256" s="39" t="s">
        <v>636</v>
      </c>
      <c r="C256" t="s">
        <v>1489</v>
      </c>
      <c r="D256" s="40" t="s">
        <v>1465</v>
      </c>
      <c r="E256" t="s">
        <v>1061</v>
      </c>
    </row>
    <row r="257" spans="1:5" ht="57.6" x14ac:dyDescent="0.3">
      <c r="A257" t="s">
        <v>635</v>
      </c>
      <c r="B257" s="39" t="s">
        <v>636</v>
      </c>
      <c r="C257" t="s">
        <v>1490</v>
      </c>
      <c r="D257" s="40" t="s">
        <v>1427</v>
      </c>
      <c r="E257" t="s">
        <v>1042</v>
      </c>
    </row>
    <row r="258" spans="1:5" ht="57.6" x14ac:dyDescent="0.3">
      <c r="A258" t="s">
        <v>635</v>
      </c>
      <c r="B258" s="39" t="s">
        <v>636</v>
      </c>
      <c r="C258" t="s">
        <v>1491</v>
      </c>
      <c r="D258" s="40" t="s">
        <v>1470</v>
      </c>
      <c r="E258" t="s">
        <v>1042</v>
      </c>
    </row>
    <row r="259" spans="1:5" ht="57.6" x14ac:dyDescent="0.3">
      <c r="A259" t="s">
        <v>643</v>
      </c>
      <c r="B259" s="39" t="s">
        <v>644</v>
      </c>
      <c r="C259" t="s">
        <v>1492</v>
      </c>
      <c r="D259" s="40" t="s">
        <v>1427</v>
      </c>
      <c r="E259" t="s">
        <v>1061</v>
      </c>
    </row>
    <row r="260" spans="1:5" ht="57.6" x14ac:dyDescent="0.3">
      <c r="A260" t="s">
        <v>643</v>
      </c>
      <c r="B260" s="39" t="s">
        <v>644</v>
      </c>
      <c r="C260" t="s">
        <v>1493</v>
      </c>
      <c r="D260" s="40" t="s">
        <v>1465</v>
      </c>
      <c r="E260" t="s">
        <v>1042</v>
      </c>
    </row>
    <row r="261" spans="1:5" ht="57.6" x14ac:dyDescent="0.3">
      <c r="A261" t="s">
        <v>643</v>
      </c>
      <c r="B261" s="39" t="s">
        <v>644</v>
      </c>
      <c r="C261" t="s">
        <v>1494</v>
      </c>
      <c r="D261" s="40" t="s">
        <v>1444</v>
      </c>
      <c r="E261" t="s">
        <v>1042</v>
      </c>
    </row>
    <row r="262" spans="1:5" ht="57.6" x14ac:dyDescent="0.3">
      <c r="A262" t="s">
        <v>643</v>
      </c>
      <c r="B262" s="39" t="s">
        <v>644</v>
      </c>
      <c r="C262" t="s">
        <v>1495</v>
      </c>
      <c r="D262" s="40" t="s">
        <v>1135</v>
      </c>
      <c r="E262" t="s">
        <v>1042</v>
      </c>
    </row>
    <row r="263" spans="1:5" ht="57.6" x14ac:dyDescent="0.3">
      <c r="A263" t="s">
        <v>643</v>
      </c>
      <c r="B263" s="39" t="s">
        <v>644</v>
      </c>
      <c r="C263" t="s">
        <v>1496</v>
      </c>
      <c r="D263" s="40" t="s">
        <v>1470</v>
      </c>
      <c r="E263" t="s">
        <v>1042</v>
      </c>
    </row>
    <row r="264" spans="1:5" ht="28.8" x14ac:dyDescent="0.3">
      <c r="A264" t="s">
        <v>650</v>
      </c>
      <c r="B264" s="39" t="s">
        <v>652</v>
      </c>
      <c r="C264" t="s">
        <v>1497</v>
      </c>
      <c r="D264" s="40" t="s">
        <v>1498</v>
      </c>
      <c r="E264" t="s">
        <v>1042</v>
      </c>
    </row>
    <row r="265" spans="1:5" ht="28.8" x14ac:dyDescent="0.3">
      <c r="A265" t="s">
        <v>650</v>
      </c>
      <c r="B265" s="39" t="s">
        <v>652</v>
      </c>
      <c r="C265" t="s">
        <v>1499</v>
      </c>
      <c r="D265" s="40" t="s">
        <v>1500</v>
      </c>
      <c r="E265" t="s">
        <v>1042</v>
      </c>
    </row>
    <row r="266" spans="1:5" ht="28.8" x14ac:dyDescent="0.3">
      <c r="A266" t="s">
        <v>650</v>
      </c>
      <c r="B266" s="39" t="s">
        <v>652</v>
      </c>
      <c r="C266" t="s">
        <v>1501</v>
      </c>
      <c r="D266" s="40" t="s">
        <v>1502</v>
      </c>
      <c r="E266" t="s">
        <v>1042</v>
      </c>
    </row>
    <row r="267" spans="1:5" ht="28.8" x14ac:dyDescent="0.3">
      <c r="A267" t="s">
        <v>650</v>
      </c>
      <c r="B267" s="39" t="s">
        <v>652</v>
      </c>
      <c r="C267" t="s">
        <v>1503</v>
      </c>
      <c r="D267" s="40" t="s">
        <v>1504</v>
      </c>
      <c r="E267" t="s">
        <v>1042</v>
      </c>
    </row>
    <row r="268" spans="1:5" ht="28.8" x14ac:dyDescent="0.3">
      <c r="A268" t="s">
        <v>650</v>
      </c>
      <c r="B268" s="39" t="s">
        <v>652</v>
      </c>
      <c r="C268" t="s">
        <v>1505</v>
      </c>
      <c r="D268" s="40" t="s">
        <v>1506</v>
      </c>
      <c r="E268" t="s">
        <v>1042</v>
      </c>
    </row>
    <row r="269" spans="1:5" ht="28.8" x14ac:dyDescent="0.3">
      <c r="A269" t="s">
        <v>650</v>
      </c>
      <c r="B269" s="39" t="s">
        <v>652</v>
      </c>
      <c r="C269" t="s">
        <v>1507</v>
      </c>
      <c r="D269" s="40" t="s">
        <v>1508</v>
      </c>
      <c r="E269" t="s">
        <v>1061</v>
      </c>
    </row>
    <row r="270" spans="1:5" ht="28.8" x14ac:dyDescent="0.3">
      <c r="A270" t="s">
        <v>658</v>
      </c>
      <c r="B270" s="39" t="s">
        <v>659</v>
      </c>
      <c r="C270" t="s">
        <v>1509</v>
      </c>
      <c r="D270" s="40" t="s">
        <v>1510</v>
      </c>
      <c r="E270" t="s">
        <v>1042</v>
      </c>
    </row>
    <row r="271" spans="1:5" ht="28.8" x14ac:dyDescent="0.3">
      <c r="A271" t="s">
        <v>658</v>
      </c>
      <c r="B271" s="39" t="s">
        <v>659</v>
      </c>
      <c r="C271" t="s">
        <v>1511</v>
      </c>
      <c r="D271" s="40" t="s">
        <v>1415</v>
      </c>
      <c r="E271" t="s">
        <v>1042</v>
      </c>
    </row>
    <row r="272" spans="1:5" ht="28.8" x14ac:dyDescent="0.3">
      <c r="A272" t="s">
        <v>658</v>
      </c>
      <c r="B272" s="39" t="s">
        <v>659</v>
      </c>
      <c r="C272" t="s">
        <v>1512</v>
      </c>
      <c r="D272" s="40" t="s">
        <v>1513</v>
      </c>
      <c r="E272" t="s">
        <v>1061</v>
      </c>
    </row>
    <row r="273" spans="1:5" ht="57.6" x14ac:dyDescent="0.3">
      <c r="A273" t="s">
        <v>666</v>
      </c>
      <c r="B273" s="39" t="s">
        <v>668</v>
      </c>
      <c r="C273" t="s">
        <v>1514</v>
      </c>
      <c r="D273" s="40" t="s">
        <v>1515</v>
      </c>
      <c r="E273" t="s">
        <v>1061</v>
      </c>
    </row>
    <row r="274" spans="1:5" ht="57.6" x14ac:dyDescent="0.3">
      <c r="A274" t="s">
        <v>666</v>
      </c>
      <c r="B274" s="39" t="s">
        <v>668</v>
      </c>
      <c r="C274" t="s">
        <v>1516</v>
      </c>
      <c r="D274" s="40" t="s">
        <v>1517</v>
      </c>
      <c r="E274" t="s">
        <v>1042</v>
      </c>
    </row>
    <row r="275" spans="1:5" ht="57.6" x14ac:dyDescent="0.3">
      <c r="A275" t="s">
        <v>666</v>
      </c>
      <c r="B275" s="39" t="s">
        <v>668</v>
      </c>
      <c r="C275" t="s">
        <v>1518</v>
      </c>
      <c r="D275" s="40" t="s">
        <v>1335</v>
      </c>
      <c r="E275" t="s">
        <v>1042</v>
      </c>
    </row>
    <row r="276" spans="1:5" ht="57.6" x14ac:dyDescent="0.3">
      <c r="A276" t="s">
        <v>674</v>
      </c>
      <c r="B276" s="39" t="s">
        <v>675</v>
      </c>
      <c r="C276" t="s">
        <v>1519</v>
      </c>
      <c r="D276" s="40" t="s">
        <v>1472</v>
      </c>
      <c r="E276" t="s">
        <v>1061</v>
      </c>
    </row>
    <row r="277" spans="1:5" ht="57.6" x14ac:dyDescent="0.3">
      <c r="A277" t="s">
        <v>674</v>
      </c>
      <c r="B277" s="39" t="s">
        <v>675</v>
      </c>
      <c r="C277" t="s">
        <v>1520</v>
      </c>
      <c r="D277" s="40" t="s">
        <v>1521</v>
      </c>
      <c r="E277" t="s">
        <v>1042</v>
      </c>
    </row>
    <row r="278" spans="1:5" ht="57.6" x14ac:dyDescent="0.3">
      <c r="A278" t="s">
        <v>681</v>
      </c>
      <c r="B278" s="39" t="s">
        <v>682</v>
      </c>
      <c r="C278" t="s">
        <v>1522</v>
      </c>
      <c r="D278" s="40" t="s">
        <v>1135</v>
      </c>
      <c r="E278" t="s">
        <v>1042</v>
      </c>
    </row>
    <row r="279" spans="1:5" ht="57.6" x14ac:dyDescent="0.3">
      <c r="A279" t="s">
        <v>681</v>
      </c>
      <c r="B279" s="39" t="s">
        <v>682</v>
      </c>
      <c r="C279" t="s">
        <v>1523</v>
      </c>
      <c r="D279" s="40" t="s">
        <v>1465</v>
      </c>
      <c r="E279" t="s">
        <v>1042</v>
      </c>
    </row>
    <row r="280" spans="1:5" ht="57.6" x14ac:dyDescent="0.3">
      <c r="A280" t="s">
        <v>681</v>
      </c>
      <c r="B280" s="39" t="s">
        <v>682</v>
      </c>
      <c r="C280" t="s">
        <v>1524</v>
      </c>
      <c r="D280" s="40" t="s">
        <v>1427</v>
      </c>
      <c r="E280" t="s">
        <v>1042</v>
      </c>
    </row>
    <row r="281" spans="1:5" ht="57.6" x14ac:dyDescent="0.3">
      <c r="A281" t="s">
        <v>681</v>
      </c>
      <c r="B281" s="39" t="s">
        <v>682</v>
      </c>
      <c r="C281" t="s">
        <v>1525</v>
      </c>
      <c r="D281" s="40" t="s">
        <v>1526</v>
      </c>
      <c r="E281" t="s">
        <v>1042</v>
      </c>
    </row>
    <row r="282" spans="1:5" ht="57.6" x14ac:dyDescent="0.3">
      <c r="A282" t="s">
        <v>681</v>
      </c>
      <c r="B282" s="39" t="s">
        <v>682</v>
      </c>
      <c r="C282" t="s">
        <v>1527</v>
      </c>
      <c r="D282" s="40" t="s">
        <v>1470</v>
      </c>
      <c r="E282" t="s">
        <v>1051</v>
      </c>
    </row>
    <row r="283" spans="1:5" ht="57.6" x14ac:dyDescent="0.3">
      <c r="A283" t="s">
        <v>688</v>
      </c>
      <c r="B283" s="39" t="s">
        <v>690</v>
      </c>
      <c r="C283" t="s">
        <v>1528</v>
      </c>
      <c r="D283" s="40" t="s">
        <v>1529</v>
      </c>
      <c r="E283" t="s">
        <v>1051</v>
      </c>
    </row>
    <row r="284" spans="1:5" ht="57.6" x14ac:dyDescent="0.3">
      <c r="A284" t="s">
        <v>688</v>
      </c>
      <c r="B284" s="39" t="s">
        <v>690</v>
      </c>
      <c r="C284" t="s">
        <v>1530</v>
      </c>
      <c r="D284" s="40" t="s">
        <v>1531</v>
      </c>
      <c r="E284" t="s">
        <v>1042</v>
      </c>
    </row>
    <row r="285" spans="1:5" ht="57.6" x14ac:dyDescent="0.3">
      <c r="A285" t="s">
        <v>688</v>
      </c>
      <c r="B285" s="39" t="s">
        <v>690</v>
      </c>
      <c r="C285" t="s">
        <v>1532</v>
      </c>
      <c r="D285" s="40" t="s">
        <v>1533</v>
      </c>
      <c r="E285" t="s">
        <v>1042</v>
      </c>
    </row>
    <row r="286" spans="1:5" ht="57.6" x14ac:dyDescent="0.3">
      <c r="A286" t="s">
        <v>688</v>
      </c>
      <c r="B286" s="39" t="s">
        <v>690</v>
      </c>
      <c r="C286" t="s">
        <v>1534</v>
      </c>
      <c r="D286" s="40" t="s">
        <v>1535</v>
      </c>
      <c r="E286" t="s">
        <v>1042</v>
      </c>
    </row>
    <row r="287" spans="1:5" ht="28.8" x14ac:dyDescent="0.3">
      <c r="A287" t="s">
        <v>698</v>
      </c>
      <c r="B287" s="39" t="s">
        <v>700</v>
      </c>
      <c r="C287" t="s">
        <v>1536</v>
      </c>
      <c r="D287" s="40" t="s">
        <v>1498</v>
      </c>
      <c r="E287" t="s">
        <v>1061</v>
      </c>
    </row>
    <row r="288" spans="1:5" ht="28.8" x14ac:dyDescent="0.3">
      <c r="A288" t="s">
        <v>698</v>
      </c>
      <c r="B288" s="39" t="s">
        <v>700</v>
      </c>
      <c r="C288" t="s">
        <v>1537</v>
      </c>
      <c r="D288" s="40" t="s">
        <v>1533</v>
      </c>
      <c r="E288" t="s">
        <v>1042</v>
      </c>
    </row>
    <row r="289" spans="1:5" ht="28.8" x14ac:dyDescent="0.3">
      <c r="A289" t="s">
        <v>698</v>
      </c>
      <c r="B289" s="39" t="s">
        <v>700</v>
      </c>
      <c r="C289" t="s">
        <v>1538</v>
      </c>
      <c r="D289" s="40" t="s">
        <v>1535</v>
      </c>
      <c r="E289" t="s">
        <v>1042</v>
      </c>
    </row>
    <row r="290" spans="1:5" ht="57.6" x14ac:dyDescent="0.3">
      <c r="A290" t="s">
        <v>706</v>
      </c>
      <c r="B290" s="39" t="s">
        <v>707</v>
      </c>
      <c r="C290" t="s">
        <v>1539</v>
      </c>
      <c r="D290" s="40" t="s">
        <v>1540</v>
      </c>
      <c r="E290" t="s">
        <v>1042</v>
      </c>
    </row>
    <row r="291" spans="1:5" ht="57.6" x14ac:dyDescent="0.3">
      <c r="A291" t="s">
        <v>706</v>
      </c>
      <c r="B291" s="39" t="s">
        <v>707</v>
      </c>
      <c r="C291" t="s">
        <v>1541</v>
      </c>
      <c r="D291" s="40" t="s">
        <v>1542</v>
      </c>
      <c r="E291" t="s">
        <v>1042</v>
      </c>
    </row>
    <row r="292" spans="1:5" ht="57.6" x14ac:dyDescent="0.3">
      <c r="A292" t="s">
        <v>706</v>
      </c>
      <c r="B292" s="39" t="s">
        <v>707</v>
      </c>
      <c r="C292" t="s">
        <v>1543</v>
      </c>
      <c r="D292" s="40" t="s">
        <v>1544</v>
      </c>
      <c r="E292" t="s">
        <v>1042</v>
      </c>
    </row>
    <row r="293" spans="1:5" ht="57.6" x14ac:dyDescent="0.3">
      <c r="A293" t="s">
        <v>706</v>
      </c>
      <c r="B293" s="39" t="s">
        <v>707</v>
      </c>
      <c r="C293" t="s">
        <v>1545</v>
      </c>
      <c r="D293" s="40" t="s">
        <v>1546</v>
      </c>
      <c r="E293" t="s">
        <v>1051</v>
      </c>
    </row>
    <row r="294" spans="1:5" ht="57.6" x14ac:dyDescent="0.3">
      <c r="A294" t="s">
        <v>706</v>
      </c>
      <c r="B294" s="39" t="s">
        <v>707</v>
      </c>
      <c r="C294" t="s">
        <v>1547</v>
      </c>
      <c r="D294" s="40" t="s">
        <v>1548</v>
      </c>
      <c r="E294" t="s">
        <v>1042</v>
      </c>
    </row>
    <row r="295" spans="1:5" ht="43.2" x14ac:dyDescent="0.3">
      <c r="A295" t="s">
        <v>714</v>
      </c>
      <c r="B295" s="39" t="s">
        <v>715</v>
      </c>
      <c r="C295" t="s">
        <v>1549</v>
      </c>
      <c r="D295" s="40" t="s">
        <v>1550</v>
      </c>
      <c r="E295" t="s">
        <v>1051</v>
      </c>
    </row>
    <row r="296" spans="1:5" ht="28.8" x14ac:dyDescent="0.3">
      <c r="A296" t="s">
        <v>722</v>
      </c>
      <c r="B296" s="39" t="s">
        <v>723</v>
      </c>
      <c r="C296" t="s">
        <v>1551</v>
      </c>
      <c r="D296" s="40" t="s">
        <v>1552</v>
      </c>
      <c r="E296" t="s">
        <v>1042</v>
      </c>
    </row>
    <row r="297" spans="1:5" ht="28.8" x14ac:dyDescent="0.3">
      <c r="A297" t="s">
        <v>722</v>
      </c>
      <c r="B297" s="39" t="s">
        <v>723</v>
      </c>
      <c r="C297" t="s">
        <v>1553</v>
      </c>
      <c r="D297" s="40" t="s">
        <v>1554</v>
      </c>
      <c r="E297" t="s">
        <v>1042</v>
      </c>
    </row>
    <row r="298" spans="1:5" ht="28.8" x14ac:dyDescent="0.3">
      <c r="A298" t="s">
        <v>722</v>
      </c>
      <c r="B298" s="39" t="s">
        <v>723</v>
      </c>
      <c r="C298" t="s">
        <v>1555</v>
      </c>
      <c r="D298" s="40" t="s">
        <v>1556</v>
      </c>
      <c r="E298" t="s">
        <v>1042</v>
      </c>
    </row>
    <row r="299" spans="1:5" ht="28.8" x14ac:dyDescent="0.3">
      <c r="A299" t="s">
        <v>722</v>
      </c>
      <c r="B299" s="39" t="s">
        <v>723</v>
      </c>
      <c r="C299" t="s">
        <v>1557</v>
      </c>
      <c r="D299" s="40" t="s">
        <v>1558</v>
      </c>
      <c r="E299" t="s">
        <v>1061</v>
      </c>
    </row>
    <row r="300" spans="1:5" ht="28.8" x14ac:dyDescent="0.3">
      <c r="A300" t="s">
        <v>722</v>
      </c>
      <c r="B300" s="39" t="s">
        <v>723</v>
      </c>
      <c r="C300" t="s">
        <v>1559</v>
      </c>
      <c r="D300" s="40" t="s">
        <v>1560</v>
      </c>
      <c r="E300" t="s">
        <v>1042</v>
      </c>
    </row>
    <row r="301" spans="1:5" ht="28.8" x14ac:dyDescent="0.3">
      <c r="A301" t="s">
        <v>722</v>
      </c>
      <c r="B301" s="39" t="s">
        <v>723</v>
      </c>
      <c r="C301" t="s">
        <v>1561</v>
      </c>
      <c r="D301" s="40" t="s">
        <v>1562</v>
      </c>
      <c r="E301" t="s">
        <v>1042</v>
      </c>
    </row>
    <row r="302" spans="1:5" ht="28.8" x14ac:dyDescent="0.3">
      <c r="A302" t="s">
        <v>722</v>
      </c>
      <c r="B302" s="39" t="s">
        <v>723</v>
      </c>
      <c r="C302" t="s">
        <v>1563</v>
      </c>
      <c r="D302" s="40" t="s">
        <v>1564</v>
      </c>
      <c r="E302" t="s">
        <v>1042</v>
      </c>
    </row>
    <row r="303" spans="1:5" ht="43.2" x14ac:dyDescent="0.3">
      <c r="A303" t="s">
        <v>729</v>
      </c>
      <c r="B303" s="39" t="s">
        <v>730</v>
      </c>
      <c r="C303" t="s">
        <v>1565</v>
      </c>
      <c r="D303" s="40" t="s">
        <v>1566</v>
      </c>
      <c r="E303" t="s">
        <v>1042</v>
      </c>
    </row>
    <row r="304" spans="1:5" ht="43.2" x14ac:dyDescent="0.3">
      <c r="A304" t="s">
        <v>729</v>
      </c>
      <c r="B304" s="39" t="s">
        <v>730</v>
      </c>
      <c r="C304" t="s">
        <v>1567</v>
      </c>
      <c r="D304" s="40" t="s">
        <v>1568</v>
      </c>
      <c r="E304" t="s">
        <v>1042</v>
      </c>
    </row>
    <row r="305" spans="1:5" ht="43.2" x14ac:dyDescent="0.3">
      <c r="A305" t="s">
        <v>729</v>
      </c>
      <c r="B305" s="39" t="s">
        <v>730</v>
      </c>
      <c r="C305" t="s">
        <v>1569</v>
      </c>
      <c r="D305" s="40" t="s">
        <v>1570</v>
      </c>
      <c r="E305" t="s">
        <v>1042</v>
      </c>
    </row>
    <row r="306" spans="1:5" ht="43.2" x14ac:dyDescent="0.3">
      <c r="A306" t="s">
        <v>729</v>
      </c>
      <c r="B306" s="39" t="s">
        <v>730</v>
      </c>
      <c r="C306" t="s">
        <v>1571</v>
      </c>
      <c r="D306" s="40" t="s">
        <v>1572</v>
      </c>
      <c r="E306" t="s">
        <v>1061</v>
      </c>
    </row>
    <row r="307" spans="1:5" ht="43.2" x14ac:dyDescent="0.3">
      <c r="A307" t="s">
        <v>737</v>
      </c>
      <c r="B307" s="39" t="s">
        <v>739</v>
      </c>
      <c r="C307" t="s">
        <v>1573</v>
      </c>
      <c r="D307" s="40" t="s">
        <v>1574</v>
      </c>
      <c r="E307" t="s">
        <v>1061</v>
      </c>
    </row>
    <row r="308" spans="1:5" ht="43.2" x14ac:dyDescent="0.3">
      <c r="A308" t="s">
        <v>737</v>
      </c>
      <c r="B308" s="39" t="s">
        <v>739</v>
      </c>
      <c r="C308" t="s">
        <v>1575</v>
      </c>
      <c r="D308" s="40" t="s">
        <v>1576</v>
      </c>
      <c r="E308" t="s">
        <v>1042</v>
      </c>
    </row>
    <row r="309" spans="1:5" ht="43.2" x14ac:dyDescent="0.3">
      <c r="A309" t="s">
        <v>745</v>
      </c>
      <c r="B309" s="39" t="s">
        <v>747</v>
      </c>
      <c r="C309" t="s">
        <v>1577</v>
      </c>
      <c r="D309" s="40" t="s">
        <v>1574</v>
      </c>
      <c r="E309" t="s">
        <v>1042</v>
      </c>
    </row>
    <row r="310" spans="1:5" ht="43.2" x14ac:dyDescent="0.3">
      <c r="A310" t="s">
        <v>745</v>
      </c>
      <c r="B310" s="39" t="s">
        <v>747</v>
      </c>
      <c r="C310" t="s">
        <v>1578</v>
      </c>
      <c r="D310" s="40" t="s">
        <v>1570</v>
      </c>
      <c r="E310" t="s">
        <v>1042</v>
      </c>
    </row>
    <row r="311" spans="1:5" ht="43.2" x14ac:dyDescent="0.3">
      <c r="A311" t="s">
        <v>745</v>
      </c>
      <c r="B311" s="39" t="s">
        <v>747</v>
      </c>
      <c r="C311" t="s">
        <v>1579</v>
      </c>
      <c r="D311" s="40" t="s">
        <v>1576</v>
      </c>
      <c r="E311" t="s">
        <v>1061</v>
      </c>
    </row>
    <row r="312" spans="1:5" ht="72" x14ac:dyDescent="0.3">
      <c r="A312" t="s">
        <v>753</v>
      </c>
      <c r="B312" s="39" t="s">
        <v>754</v>
      </c>
      <c r="C312" t="s">
        <v>1580</v>
      </c>
      <c r="D312" s="40" t="s">
        <v>1581</v>
      </c>
      <c r="E312" t="s">
        <v>1061</v>
      </c>
    </row>
    <row r="313" spans="1:5" ht="72" x14ac:dyDescent="0.3">
      <c r="A313" t="s">
        <v>753</v>
      </c>
      <c r="B313" s="39" t="s">
        <v>754</v>
      </c>
      <c r="C313" t="s">
        <v>1582</v>
      </c>
      <c r="D313" s="40" t="s">
        <v>1583</v>
      </c>
      <c r="E313" t="s">
        <v>1042</v>
      </c>
    </row>
    <row r="314" spans="1:5" ht="72" x14ac:dyDescent="0.3">
      <c r="A314" t="s">
        <v>753</v>
      </c>
      <c r="B314" s="39" t="s">
        <v>754</v>
      </c>
      <c r="C314" t="s">
        <v>1584</v>
      </c>
      <c r="D314" s="40" t="s">
        <v>1585</v>
      </c>
      <c r="E314" t="s">
        <v>1042</v>
      </c>
    </row>
    <row r="315" spans="1:5" ht="72" x14ac:dyDescent="0.3">
      <c r="A315" t="s">
        <v>753</v>
      </c>
      <c r="B315" s="39" t="s">
        <v>754</v>
      </c>
      <c r="C315" t="s">
        <v>1586</v>
      </c>
      <c r="D315" s="40" t="s">
        <v>1587</v>
      </c>
      <c r="E315" t="s">
        <v>1042</v>
      </c>
    </row>
    <row r="316" spans="1:5" ht="72" x14ac:dyDescent="0.3">
      <c r="A316" t="s">
        <v>753</v>
      </c>
      <c r="B316" s="39" t="s">
        <v>754</v>
      </c>
      <c r="C316" t="s">
        <v>1588</v>
      </c>
      <c r="D316" s="40" t="s">
        <v>1589</v>
      </c>
      <c r="E316" t="s">
        <v>1042</v>
      </c>
    </row>
    <row r="317" spans="1:5" ht="43.2" x14ac:dyDescent="0.3">
      <c r="A317" t="s">
        <v>760</v>
      </c>
      <c r="B317" s="39" t="s">
        <v>762</v>
      </c>
      <c r="C317" t="s">
        <v>1590</v>
      </c>
      <c r="D317" s="41" t="s">
        <v>1591</v>
      </c>
      <c r="E317" t="s">
        <v>1061</v>
      </c>
    </row>
    <row r="318" spans="1:5" ht="28.8" x14ac:dyDescent="0.3">
      <c r="A318" t="s">
        <v>770</v>
      </c>
      <c r="B318" s="39" t="s">
        <v>771</v>
      </c>
      <c r="C318" t="s">
        <v>1592</v>
      </c>
      <c r="D318" s="41" t="s">
        <v>1566</v>
      </c>
      <c r="E318" t="s">
        <v>1042</v>
      </c>
    </row>
    <row r="319" spans="1:5" ht="28.8" x14ac:dyDescent="0.3">
      <c r="A319" t="s">
        <v>770</v>
      </c>
      <c r="B319" s="39" t="s">
        <v>771</v>
      </c>
      <c r="C319" t="s">
        <v>1593</v>
      </c>
      <c r="D319" s="41" t="s">
        <v>1594</v>
      </c>
      <c r="E319" t="s">
        <v>1061</v>
      </c>
    </row>
    <row r="320" spans="1:5" ht="28.8" x14ac:dyDescent="0.3">
      <c r="A320" t="s">
        <v>770</v>
      </c>
      <c r="B320" s="39" t="s">
        <v>771</v>
      </c>
      <c r="C320" t="s">
        <v>1595</v>
      </c>
      <c r="D320" s="41" t="s">
        <v>1596</v>
      </c>
      <c r="E320" t="s">
        <v>1042</v>
      </c>
    </row>
    <row r="321" spans="1:5" ht="28.8" x14ac:dyDescent="0.3">
      <c r="A321" t="s">
        <v>778</v>
      </c>
      <c r="B321" s="39" t="s">
        <v>779</v>
      </c>
      <c r="C321" t="s">
        <v>1597</v>
      </c>
      <c r="D321" s="40" t="s">
        <v>1598</v>
      </c>
      <c r="E321" t="s">
        <v>1061</v>
      </c>
    </row>
    <row r="322" spans="1:5" ht="28.8" x14ac:dyDescent="0.3">
      <c r="A322" t="s">
        <v>785</v>
      </c>
      <c r="B322" s="39" t="s">
        <v>786</v>
      </c>
      <c r="C322" t="s">
        <v>1599</v>
      </c>
      <c r="D322" s="41" t="s">
        <v>1600</v>
      </c>
      <c r="E322" t="s">
        <v>1042</v>
      </c>
    </row>
    <row r="323" spans="1:5" ht="28.8" x14ac:dyDescent="0.3">
      <c r="A323" t="s">
        <v>785</v>
      </c>
      <c r="B323" s="39" t="s">
        <v>786</v>
      </c>
      <c r="C323" t="s">
        <v>1601</v>
      </c>
      <c r="D323" s="41" t="s">
        <v>1602</v>
      </c>
      <c r="E323" t="s">
        <v>1042</v>
      </c>
    </row>
    <row r="324" spans="1:5" ht="28.8" x14ac:dyDescent="0.3">
      <c r="A324" t="s">
        <v>785</v>
      </c>
      <c r="B324" s="39" t="s">
        <v>786</v>
      </c>
      <c r="C324" t="s">
        <v>1603</v>
      </c>
      <c r="D324" s="41" t="s">
        <v>1596</v>
      </c>
      <c r="E324" t="s">
        <v>1042</v>
      </c>
    </row>
    <row r="325" spans="1:5" ht="28.8" x14ac:dyDescent="0.3">
      <c r="A325" t="s">
        <v>785</v>
      </c>
      <c r="B325" s="39" t="s">
        <v>786</v>
      </c>
      <c r="C325" t="s">
        <v>1604</v>
      </c>
      <c r="D325" s="41" t="s">
        <v>1605</v>
      </c>
      <c r="E325" t="s">
        <v>1042</v>
      </c>
    </row>
    <row r="326" spans="1:5" ht="28.8" x14ac:dyDescent="0.3">
      <c r="A326" t="s">
        <v>785</v>
      </c>
      <c r="B326" s="39" t="s">
        <v>786</v>
      </c>
      <c r="C326" t="s">
        <v>1606</v>
      </c>
      <c r="D326" s="41" t="s">
        <v>1607</v>
      </c>
      <c r="E326" t="s">
        <v>1061</v>
      </c>
    </row>
    <row r="327" spans="1:5" ht="43.2" x14ac:dyDescent="0.3">
      <c r="A327" t="s">
        <v>792</v>
      </c>
      <c r="B327" s="39" t="s">
        <v>794</v>
      </c>
      <c r="C327" t="s">
        <v>1608</v>
      </c>
      <c r="D327" s="40" t="s">
        <v>1581</v>
      </c>
      <c r="E327" t="s">
        <v>1051</v>
      </c>
    </row>
    <row r="328" spans="1:5" ht="28.8" x14ac:dyDescent="0.3">
      <c r="A328" t="s">
        <v>800</v>
      </c>
      <c r="B328" s="39" t="s">
        <v>801</v>
      </c>
      <c r="C328" t="s">
        <v>1609</v>
      </c>
      <c r="D328" s="40" t="s">
        <v>1596</v>
      </c>
      <c r="E328" t="s">
        <v>1051</v>
      </c>
    </row>
    <row r="329" spans="1:5" ht="43.2" x14ac:dyDescent="0.3">
      <c r="A329" t="s">
        <v>808</v>
      </c>
      <c r="B329" s="39" t="s">
        <v>810</v>
      </c>
      <c r="C329" t="s">
        <v>1610</v>
      </c>
      <c r="D329" s="40" t="s">
        <v>1611</v>
      </c>
      <c r="E329" t="s">
        <v>1051</v>
      </c>
    </row>
    <row r="330" spans="1:5" ht="43.2" x14ac:dyDescent="0.3">
      <c r="A330" t="s">
        <v>808</v>
      </c>
      <c r="B330" s="39" t="s">
        <v>810</v>
      </c>
      <c r="C330" t="s">
        <v>1612</v>
      </c>
      <c r="D330" s="40" t="s">
        <v>1613</v>
      </c>
      <c r="E330" t="s">
        <v>1042</v>
      </c>
    </row>
    <row r="331" spans="1:5" ht="28.8" x14ac:dyDescent="0.3">
      <c r="A331" t="s">
        <v>816</v>
      </c>
      <c r="B331" s="39" t="s">
        <v>817</v>
      </c>
      <c r="C331" t="s">
        <v>1614</v>
      </c>
      <c r="D331" s="40" t="s">
        <v>1615</v>
      </c>
      <c r="E331" t="s">
        <v>1051</v>
      </c>
    </row>
    <row r="332" spans="1:5" ht="28.8" x14ac:dyDescent="0.3">
      <c r="A332" t="s">
        <v>816</v>
      </c>
      <c r="B332" s="39" t="s">
        <v>817</v>
      </c>
      <c r="C332" t="s">
        <v>1616</v>
      </c>
      <c r="D332" s="40" t="s">
        <v>1602</v>
      </c>
      <c r="E332" t="s">
        <v>1042</v>
      </c>
    </row>
    <row r="333" spans="1:5" ht="43.2" x14ac:dyDescent="0.3">
      <c r="A333" t="s">
        <v>824</v>
      </c>
      <c r="B333" s="39" t="s">
        <v>825</v>
      </c>
      <c r="C333" t="s">
        <v>1617</v>
      </c>
      <c r="D333" s="40" t="s">
        <v>1570</v>
      </c>
      <c r="E333" t="s">
        <v>1051</v>
      </c>
    </row>
    <row r="334" spans="1:5" ht="43.2" x14ac:dyDescent="0.3">
      <c r="A334" t="s">
        <v>832</v>
      </c>
      <c r="B334" s="39" t="s">
        <v>833</v>
      </c>
      <c r="C334" t="s">
        <v>1618</v>
      </c>
      <c r="D334" s="41" t="s">
        <v>1619</v>
      </c>
      <c r="E334" t="s">
        <v>1042</v>
      </c>
    </row>
    <row r="335" spans="1:5" ht="43.2" x14ac:dyDescent="0.3">
      <c r="A335" t="s">
        <v>832</v>
      </c>
      <c r="B335" s="39" t="s">
        <v>833</v>
      </c>
      <c r="C335" t="s">
        <v>1620</v>
      </c>
      <c r="D335" s="41" t="s">
        <v>1611</v>
      </c>
      <c r="E335" t="s">
        <v>1621</v>
      </c>
    </row>
    <row r="336" spans="1:5" ht="43.2" x14ac:dyDescent="0.3">
      <c r="A336" t="s">
        <v>832</v>
      </c>
      <c r="B336" s="39" t="s">
        <v>833</v>
      </c>
      <c r="C336" t="s">
        <v>1622</v>
      </c>
      <c r="D336" s="41" t="s">
        <v>1623</v>
      </c>
      <c r="E336" t="s">
        <v>1042</v>
      </c>
    </row>
    <row r="337" spans="1:5" ht="43.2" x14ac:dyDescent="0.3">
      <c r="A337" t="s">
        <v>832</v>
      </c>
      <c r="B337" s="39" t="s">
        <v>833</v>
      </c>
      <c r="C337" t="s">
        <v>1624</v>
      </c>
      <c r="D337" s="41" t="s">
        <v>1574</v>
      </c>
      <c r="E337" t="s">
        <v>1042</v>
      </c>
    </row>
    <row r="338" spans="1:5" ht="28.8" x14ac:dyDescent="0.3">
      <c r="A338" t="s">
        <v>839</v>
      </c>
      <c r="B338" s="39" t="s">
        <v>1625</v>
      </c>
      <c r="C338" t="s">
        <v>1626</v>
      </c>
      <c r="D338" s="40" t="s">
        <v>1627</v>
      </c>
      <c r="E338" t="s">
        <v>1061</v>
      </c>
    </row>
    <row r="339" spans="1:5" ht="28.8" x14ac:dyDescent="0.3">
      <c r="A339" t="s">
        <v>848</v>
      </c>
      <c r="B339" s="39" t="s">
        <v>849</v>
      </c>
      <c r="C339" t="s">
        <v>1628</v>
      </c>
      <c r="D339" s="40" t="s">
        <v>1629</v>
      </c>
      <c r="E339" t="s">
        <v>1051</v>
      </c>
    </row>
    <row r="340" spans="1:5" ht="28.8" x14ac:dyDescent="0.3">
      <c r="A340" t="s">
        <v>848</v>
      </c>
      <c r="B340" s="39" t="s">
        <v>849</v>
      </c>
      <c r="C340" t="s">
        <v>1630</v>
      </c>
      <c r="D340" s="40" t="s">
        <v>1570</v>
      </c>
      <c r="E340" t="s">
        <v>1042</v>
      </c>
    </row>
    <row r="341" spans="1:5" ht="28.8" x14ac:dyDescent="0.3">
      <c r="A341" t="s">
        <v>848</v>
      </c>
      <c r="B341" s="39" t="s">
        <v>849</v>
      </c>
      <c r="C341" t="s">
        <v>1631</v>
      </c>
      <c r="D341" s="40" t="s">
        <v>1632</v>
      </c>
      <c r="E341" t="s">
        <v>1042</v>
      </c>
    </row>
    <row r="342" spans="1:5" ht="57.6" x14ac:dyDescent="0.3">
      <c r="A342" t="s">
        <v>856</v>
      </c>
      <c r="B342" s="39" t="s">
        <v>857</v>
      </c>
      <c r="C342" t="s">
        <v>1633</v>
      </c>
      <c r="D342" s="40" t="s">
        <v>1634</v>
      </c>
      <c r="E342" t="s">
        <v>1061</v>
      </c>
    </row>
    <row r="343" spans="1:5" ht="72" x14ac:dyDescent="0.3">
      <c r="A343" t="s">
        <v>863</v>
      </c>
      <c r="B343" s="39" t="s">
        <v>864</v>
      </c>
      <c r="C343" t="s">
        <v>1635</v>
      </c>
      <c r="D343" s="41" t="s">
        <v>1636</v>
      </c>
      <c r="E343" t="s">
        <v>1042</v>
      </c>
    </row>
    <row r="344" spans="1:5" ht="72" x14ac:dyDescent="0.3">
      <c r="A344" t="s">
        <v>863</v>
      </c>
      <c r="B344" s="39" t="s">
        <v>864</v>
      </c>
      <c r="C344" t="s">
        <v>1637</v>
      </c>
      <c r="D344" s="41" t="s">
        <v>1596</v>
      </c>
      <c r="E344" t="s">
        <v>1042</v>
      </c>
    </row>
    <row r="345" spans="1:5" ht="72" x14ac:dyDescent="0.3">
      <c r="A345" t="s">
        <v>863</v>
      </c>
      <c r="B345" s="39" t="s">
        <v>864</v>
      </c>
      <c r="C345" t="s">
        <v>1638</v>
      </c>
      <c r="D345" s="41" t="s">
        <v>1639</v>
      </c>
      <c r="E345" t="s">
        <v>1061</v>
      </c>
    </row>
    <row r="346" spans="1:5" ht="72" x14ac:dyDescent="0.3">
      <c r="A346" t="s">
        <v>863</v>
      </c>
      <c r="B346" s="39" t="s">
        <v>864</v>
      </c>
      <c r="C346" t="s">
        <v>1640</v>
      </c>
      <c r="D346" s="41" t="s">
        <v>1641</v>
      </c>
      <c r="E346" t="s">
        <v>1042</v>
      </c>
    </row>
    <row r="347" spans="1:5" ht="28.8" x14ac:dyDescent="0.3">
      <c r="A347" t="s">
        <v>872</v>
      </c>
      <c r="B347" s="39" t="s">
        <v>873</v>
      </c>
      <c r="C347" t="s">
        <v>1642</v>
      </c>
      <c r="D347" s="41" t="s">
        <v>1643</v>
      </c>
      <c r="E347" t="s">
        <v>1042</v>
      </c>
    </row>
    <row r="348" spans="1:5" ht="28.8" x14ac:dyDescent="0.3">
      <c r="A348" t="s">
        <v>872</v>
      </c>
      <c r="B348" s="39" t="s">
        <v>873</v>
      </c>
      <c r="C348" t="s">
        <v>1644</v>
      </c>
      <c r="D348" s="41" t="s">
        <v>1596</v>
      </c>
      <c r="E348" t="s">
        <v>1061</v>
      </c>
    </row>
    <row r="349" spans="1:5" ht="28.8" x14ac:dyDescent="0.3">
      <c r="A349" t="s">
        <v>872</v>
      </c>
      <c r="B349" s="39" t="s">
        <v>873</v>
      </c>
      <c r="C349" t="s">
        <v>1645</v>
      </c>
      <c r="D349" s="41" t="s">
        <v>1639</v>
      </c>
      <c r="E349" t="s">
        <v>1042</v>
      </c>
    </row>
    <row r="350" spans="1:5" ht="28.8" x14ac:dyDescent="0.3">
      <c r="A350" t="s">
        <v>872</v>
      </c>
      <c r="B350" s="39" t="s">
        <v>873</v>
      </c>
      <c r="C350" t="s">
        <v>1646</v>
      </c>
      <c r="D350" s="41" t="s">
        <v>1647</v>
      </c>
      <c r="E350" t="s">
        <v>1042</v>
      </c>
    </row>
    <row r="351" spans="1:5" ht="28.8" x14ac:dyDescent="0.3">
      <c r="A351" t="s">
        <v>872</v>
      </c>
      <c r="B351" s="39" t="s">
        <v>873</v>
      </c>
      <c r="C351" t="s">
        <v>1648</v>
      </c>
      <c r="D351" s="41" t="s">
        <v>1649</v>
      </c>
      <c r="E351" t="s">
        <v>1042</v>
      </c>
    </row>
    <row r="352" spans="1:5" ht="28.8" x14ac:dyDescent="0.3">
      <c r="A352" t="s">
        <v>872</v>
      </c>
      <c r="B352" s="39" t="s">
        <v>873</v>
      </c>
      <c r="C352" t="s">
        <v>1650</v>
      </c>
      <c r="D352" s="41" t="s">
        <v>1651</v>
      </c>
      <c r="E352" t="s">
        <v>1042</v>
      </c>
    </row>
    <row r="353" spans="1:5" ht="86.4" x14ac:dyDescent="0.3">
      <c r="A353" t="s">
        <v>879</v>
      </c>
      <c r="B353" s="39" t="s">
        <v>880</v>
      </c>
      <c r="C353" t="s">
        <v>1652</v>
      </c>
      <c r="D353" s="41" t="s">
        <v>1653</v>
      </c>
      <c r="E353" t="s">
        <v>1061</v>
      </c>
    </row>
    <row r="354" spans="1:5" ht="86.4" x14ac:dyDescent="0.3">
      <c r="A354" t="s">
        <v>879</v>
      </c>
      <c r="B354" s="39" t="s">
        <v>880</v>
      </c>
      <c r="C354" t="s">
        <v>1654</v>
      </c>
      <c r="D354" s="41" t="s">
        <v>1655</v>
      </c>
      <c r="E354" t="s">
        <v>1042</v>
      </c>
    </row>
    <row r="355" spans="1:5" ht="86.4" x14ac:dyDescent="0.3">
      <c r="A355" t="s">
        <v>879</v>
      </c>
      <c r="B355" s="39" t="s">
        <v>880</v>
      </c>
      <c r="C355" t="s">
        <v>1656</v>
      </c>
      <c r="D355" s="41" t="s">
        <v>1596</v>
      </c>
      <c r="E355" t="s">
        <v>1042</v>
      </c>
    </row>
    <row r="356" spans="1:5" ht="86.4" x14ac:dyDescent="0.3">
      <c r="A356" t="s">
        <v>879</v>
      </c>
      <c r="B356" s="39" t="s">
        <v>880</v>
      </c>
      <c r="C356" t="s">
        <v>1657</v>
      </c>
      <c r="D356" s="41" t="s">
        <v>1658</v>
      </c>
      <c r="E356" t="s">
        <v>1042</v>
      </c>
    </row>
    <row r="357" spans="1:5" ht="86.4" x14ac:dyDescent="0.3">
      <c r="A357" t="s">
        <v>879</v>
      </c>
      <c r="B357" s="39" t="s">
        <v>880</v>
      </c>
      <c r="C357" t="s">
        <v>1659</v>
      </c>
      <c r="D357" s="41" t="s">
        <v>1660</v>
      </c>
      <c r="E357" t="s">
        <v>1042</v>
      </c>
    </row>
    <row r="358" spans="1:5" ht="43.2" x14ac:dyDescent="0.3">
      <c r="A358" s="42" t="s">
        <v>887</v>
      </c>
      <c r="B358" s="39" t="s">
        <v>888</v>
      </c>
      <c r="C358" t="s">
        <v>1661</v>
      </c>
      <c r="D358" s="41" t="s">
        <v>1662</v>
      </c>
      <c r="E358" t="s">
        <v>1061</v>
      </c>
    </row>
    <row r="359" spans="1:5" ht="43.2" x14ac:dyDescent="0.3">
      <c r="A359" s="42" t="s">
        <v>887</v>
      </c>
      <c r="B359" s="39" t="s">
        <v>888</v>
      </c>
      <c r="C359" t="s">
        <v>1663</v>
      </c>
      <c r="D359" s="41" t="s">
        <v>1664</v>
      </c>
      <c r="E359" t="s">
        <v>1042</v>
      </c>
    </row>
    <row r="360" spans="1:5" ht="43.2" x14ac:dyDescent="0.3">
      <c r="A360" s="42" t="s">
        <v>895</v>
      </c>
      <c r="B360" s="39" t="s">
        <v>896</v>
      </c>
      <c r="C360" t="s">
        <v>1665</v>
      </c>
      <c r="D360" s="41" t="s">
        <v>1666</v>
      </c>
      <c r="E360" t="s">
        <v>1667</v>
      </c>
    </row>
    <row r="361" spans="1:5" ht="43.2" x14ac:dyDescent="0.3">
      <c r="A361" s="42" t="s">
        <v>895</v>
      </c>
      <c r="B361" s="39" t="s">
        <v>896</v>
      </c>
      <c r="C361" t="s">
        <v>1668</v>
      </c>
      <c r="D361" s="41" t="s">
        <v>1669</v>
      </c>
      <c r="E361" t="s">
        <v>1042</v>
      </c>
    </row>
    <row r="362" spans="1:5" ht="43.2" x14ac:dyDescent="0.3">
      <c r="A362" s="42" t="s">
        <v>895</v>
      </c>
      <c r="B362" s="39" t="s">
        <v>896</v>
      </c>
      <c r="C362" t="s">
        <v>1670</v>
      </c>
      <c r="D362" s="41" t="s">
        <v>1671</v>
      </c>
      <c r="E362" t="s">
        <v>1042</v>
      </c>
    </row>
    <row r="363" spans="1:5" ht="43.2" x14ac:dyDescent="0.3">
      <c r="A363" s="42" t="s">
        <v>895</v>
      </c>
      <c r="B363" s="39" t="s">
        <v>896</v>
      </c>
      <c r="C363" t="s">
        <v>1672</v>
      </c>
      <c r="D363" s="41" t="s">
        <v>1673</v>
      </c>
      <c r="E363" t="s">
        <v>1042</v>
      </c>
    </row>
    <row r="364" spans="1:5" ht="43.2" x14ac:dyDescent="0.3">
      <c r="A364" s="42" t="s">
        <v>895</v>
      </c>
      <c r="B364" s="39" t="s">
        <v>896</v>
      </c>
      <c r="C364" t="s">
        <v>1674</v>
      </c>
      <c r="D364" s="41" t="s">
        <v>1675</v>
      </c>
      <c r="E364" t="s">
        <v>1042</v>
      </c>
    </row>
    <row r="365" spans="1:5" ht="43.2" x14ac:dyDescent="0.3">
      <c r="A365" s="42" t="s">
        <v>895</v>
      </c>
      <c r="B365" s="39" t="s">
        <v>896</v>
      </c>
      <c r="C365" t="s">
        <v>1676</v>
      </c>
      <c r="D365" s="41" t="s">
        <v>1677</v>
      </c>
      <c r="E365" t="s">
        <v>1042</v>
      </c>
    </row>
    <row r="366" spans="1:5" ht="43.2" x14ac:dyDescent="0.3">
      <c r="A366" s="42" t="s">
        <v>895</v>
      </c>
      <c r="B366" s="39" t="s">
        <v>896</v>
      </c>
      <c r="C366" t="s">
        <v>1678</v>
      </c>
      <c r="D366" s="41" t="s">
        <v>1629</v>
      </c>
      <c r="E366" t="s">
        <v>1042</v>
      </c>
    </row>
    <row r="367" spans="1:5" ht="28.8" x14ac:dyDescent="0.3">
      <c r="A367" s="42" t="s">
        <v>902</v>
      </c>
      <c r="B367" s="39" t="s">
        <v>903</v>
      </c>
      <c r="C367" t="s">
        <v>1679</v>
      </c>
      <c r="D367" s="41" t="s">
        <v>1680</v>
      </c>
      <c r="E367" t="s">
        <v>1667</v>
      </c>
    </row>
    <row r="368" spans="1:5" ht="28.8" x14ac:dyDescent="0.3">
      <c r="A368" t="s">
        <v>902</v>
      </c>
      <c r="B368" s="39" t="s">
        <v>903</v>
      </c>
      <c r="C368" t="s">
        <v>1681</v>
      </c>
      <c r="D368" s="41" t="s">
        <v>1682</v>
      </c>
      <c r="E368" t="s">
        <v>1042</v>
      </c>
    </row>
    <row r="369" spans="1:5" ht="43.2" x14ac:dyDescent="0.3">
      <c r="A369" t="s">
        <v>932</v>
      </c>
      <c r="B369" s="39" t="s">
        <v>933</v>
      </c>
      <c r="C369" t="s">
        <v>1683</v>
      </c>
      <c r="D369" s="28" t="s">
        <v>1684</v>
      </c>
      <c r="E369" t="s">
        <v>1061</v>
      </c>
    </row>
    <row r="370" spans="1:5" ht="43.2" x14ac:dyDescent="0.3">
      <c r="A370" t="s">
        <v>932</v>
      </c>
      <c r="B370" s="39" t="s">
        <v>933</v>
      </c>
      <c r="C370" t="s">
        <v>1685</v>
      </c>
      <c r="D370" s="28" t="s">
        <v>1686</v>
      </c>
      <c r="E370" t="s">
        <v>1042</v>
      </c>
    </row>
    <row r="371" spans="1:5" ht="28.8" x14ac:dyDescent="0.3">
      <c r="A371" s="43" t="s">
        <v>946</v>
      </c>
      <c r="B371" s="39" t="s">
        <v>947</v>
      </c>
      <c r="C371" t="s">
        <v>1687</v>
      </c>
      <c r="D371" s="43" t="s">
        <v>1596</v>
      </c>
      <c r="E371" t="s">
        <v>1042</v>
      </c>
    </row>
    <row r="372" spans="1:5" ht="28.8" x14ac:dyDescent="0.3">
      <c r="A372" t="s">
        <v>946</v>
      </c>
      <c r="B372" s="39" t="s">
        <v>947</v>
      </c>
      <c r="C372" t="s">
        <v>1688</v>
      </c>
      <c r="D372" s="28" t="s">
        <v>1689</v>
      </c>
      <c r="E372" t="s">
        <v>1042</v>
      </c>
    </row>
    <row r="373" spans="1:5" ht="28.8" x14ac:dyDescent="0.3">
      <c r="A373" t="s">
        <v>946</v>
      </c>
      <c r="B373" s="39" t="s">
        <v>947</v>
      </c>
      <c r="C373" t="s">
        <v>1690</v>
      </c>
      <c r="D373" s="28" t="s">
        <v>1691</v>
      </c>
      <c r="E373" t="s">
        <v>1061</v>
      </c>
    </row>
    <row r="374" spans="1:5" ht="43.2" x14ac:dyDescent="0.3">
      <c r="A374" t="s">
        <v>954</v>
      </c>
      <c r="B374" s="39" t="s">
        <v>956</v>
      </c>
      <c r="C374" t="s">
        <v>1692</v>
      </c>
      <c r="D374" s="28" t="s">
        <v>1691</v>
      </c>
      <c r="E374" t="s">
        <v>1061</v>
      </c>
    </row>
    <row r="375" spans="1:5" ht="43.2" x14ac:dyDescent="0.3">
      <c r="A375" t="s">
        <v>924</v>
      </c>
      <c r="B375" s="39" t="s">
        <v>925</v>
      </c>
      <c r="C375" t="s">
        <v>1693</v>
      </c>
      <c r="D375" s="28" t="s">
        <v>1694</v>
      </c>
      <c r="E375" t="s">
        <v>1061</v>
      </c>
    </row>
    <row r="376" spans="1:5" ht="43.2" x14ac:dyDescent="0.3">
      <c r="A376" t="s">
        <v>909</v>
      </c>
      <c r="B376" s="39" t="s">
        <v>910</v>
      </c>
      <c r="C376" t="s">
        <v>1695</v>
      </c>
      <c r="D376" s="28" t="s">
        <v>1696</v>
      </c>
      <c r="E376" t="s">
        <v>1061</v>
      </c>
    </row>
    <row r="377" spans="1:5" ht="28.8" x14ac:dyDescent="0.3">
      <c r="A377" t="s">
        <v>917</v>
      </c>
      <c r="B377" s="39" t="s">
        <v>918</v>
      </c>
      <c r="C377" s="28" t="s">
        <v>1697</v>
      </c>
      <c r="D377" s="28" t="s">
        <v>1684</v>
      </c>
      <c r="E377" t="s">
        <v>1042</v>
      </c>
    </row>
    <row r="378" spans="1:5" ht="28.8" x14ac:dyDescent="0.3">
      <c r="A378" t="s">
        <v>917</v>
      </c>
      <c r="B378" s="39" t="s">
        <v>918</v>
      </c>
      <c r="C378" s="28" t="s">
        <v>1698</v>
      </c>
      <c r="D378" s="28" t="s">
        <v>1596</v>
      </c>
      <c r="E378" t="s">
        <v>1042</v>
      </c>
    </row>
    <row r="379" spans="1:5" ht="28.8" x14ac:dyDescent="0.3">
      <c r="A379" t="s">
        <v>917</v>
      </c>
      <c r="B379" s="39" t="s">
        <v>918</v>
      </c>
      <c r="C379" s="28" t="s">
        <v>1699</v>
      </c>
      <c r="D379" s="28" t="s">
        <v>1682</v>
      </c>
      <c r="E379" t="s">
        <v>1042</v>
      </c>
    </row>
    <row r="380" spans="1:5" ht="28.8" x14ac:dyDescent="0.3">
      <c r="A380" t="s">
        <v>917</v>
      </c>
      <c r="B380" s="39" t="s">
        <v>918</v>
      </c>
      <c r="C380" s="28" t="s">
        <v>1700</v>
      </c>
      <c r="D380" s="28" t="s">
        <v>1686</v>
      </c>
      <c r="E380" t="s">
        <v>1061</v>
      </c>
    </row>
    <row r="381" spans="1:5" ht="57.6" x14ac:dyDescent="0.3">
      <c r="A381" t="s">
        <v>939</v>
      </c>
      <c r="B381" s="39" t="s">
        <v>940</v>
      </c>
      <c r="C381" t="s">
        <v>1701</v>
      </c>
      <c r="D381" s="28" t="s">
        <v>1686</v>
      </c>
      <c r="E381" t="s">
        <v>1061</v>
      </c>
    </row>
    <row r="382" spans="1:5" ht="28.8" x14ac:dyDescent="0.3">
      <c r="A382" s="44" t="s">
        <v>969</v>
      </c>
      <c r="B382" s="39" t="s">
        <v>971</v>
      </c>
      <c r="C382" s="44" t="s">
        <v>1702</v>
      </c>
      <c r="D382" s="28" t="s">
        <v>1703</v>
      </c>
      <c r="E382" t="s">
        <v>1061</v>
      </c>
    </row>
    <row r="383" spans="1:5" ht="28.8" x14ac:dyDescent="0.3">
      <c r="A383" t="s">
        <v>969</v>
      </c>
      <c r="B383" s="39" t="s">
        <v>971</v>
      </c>
      <c r="C383" s="44" t="s">
        <v>1704</v>
      </c>
      <c r="D383" s="28" t="s">
        <v>1705</v>
      </c>
      <c r="E383" t="s">
        <v>1042</v>
      </c>
    </row>
    <row r="384" spans="1:5" ht="28.8" x14ac:dyDescent="0.3">
      <c r="A384" t="s">
        <v>969</v>
      </c>
      <c r="B384" s="39" t="s">
        <v>971</v>
      </c>
      <c r="C384" s="44" t="s">
        <v>1706</v>
      </c>
      <c r="D384" s="28" t="s">
        <v>1707</v>
      </c>
      <c r="E384" t="s">
        <v>1042</v>
      </c>
    </row>
    <row r="385" spans="1:5" ht="72" x14ac:dyDescent="0.3">
      <c r="A385" t="s">
        <v>990</v>
      </c>
      <c r="B385" s="39" t="s">
        <v>992</v>
      </c>
      <c r="C385" t="s">
        <v>1708</v>
      </c>
      <c r="D385" s="28" t="s">
        <v>1709</v>
      </c>
      <c r="E385" t="s">
        <v>1061</v>
      </c>
    </row>
    <row r="386" spans="1:5" ht="28.8" x14ac:dyDescent="0.3">
      <c r="A386" t="s">
        <v>999</v>
      </c>
      <c r="B386" s="39" t="s">
        <v>1000</v>
      </c>
      <c r="C386" t="s">
        <v>1710</v>
      </c>
      <c r="D386" s="28" t="s">
        <v>1711</v>
      </c>
      <c r="E386" t="s">
        <v>1061</v>
      </c>
    </row>
    <row r="387" spans="1:5" ht="28.8" x14ac:dyDescent="0.3">
      <c r="A387" s="39" t="s">
        <v>977</v>
      </c>
      <c r="B387" s="39" t="s">
        <v>978</v>
      </c>
      <c r="C387" s="39" t="s">
        <v>1712</v>
      </c>
      <c r="D387" s="28" t="s">
        <v>1713</v>
      </c>
      <c r="E387" s="39" t="s">
        <v>1061</v>
      </c>
    </row>
    <row r="388" spans="1:5" ht="28.8" x14ac:dyDescent="0.3">
      <c r="A388" s="39" t="s">
        <v>977</v>
      </c>
      <c r="B388" s="39" t="s">
        <v>978</v>
      </c>
      <c r="C388" s="39" t="s">
        <v>1714</v>
      </c>
      <c r="D388" s="28" t="s">
        <v>1715</v>
      </c>
      <c r="E388" t="s">
        <v>1042</v>
      </c>
    </row>
    <row r="389" spans="1:5" ht="43.2" x14ac:dyDescent="0.3">
      <c r="A389" s="39" t="s">
        <v>983</v>
      </c>
      <c r="B389" s="39" t="s">
        <v>984</v>
      </c>
      <c r="C389" s="39" t="s">
        <v>1716</v>
      </c>
      <c r="D389" s="28" t="s">
        <v>1717</v>
      </c>
      <c r="E389" s="39" t="s">
        <v>1042</v>
      </c>
    </row>
    <row r="390" spans="1:5" ht="43.2" x14ac:dyDescent="0.3">
      <c r="A390" s="39" t="s">
        <v>983</v>
      </c>
      <c r="B390" s="39" t="s">
        <v>984</v>
      </c>
      <c r="C390" s="39" t="s">
        <v>1718</v>
      </c>
      <c r="D390" s="28" t="s">
        <v>1719</v>
      </c>
      <c r="E390" s="39" t="s">
        <v>1042</v>
      </c>
    </row>
    <row r="391" spans="1:5" ht="43.2" x14ac:dyDescent="0.3">
      <c r="A391" s="39" t="s">
        <v>983</v>
      </c>
      <c r="B391" s="39" t="s">
        <v>984</v>
      </c>
      <c r="C391" s="39" t="s">
        <v>1720</v>
      </c>
      <c r="D391" s="28" t="s">
        <v>1721</v>
      </c>
      <c r="E391" s="39" t="s">
        <v>1042</v>
      </c>
    </row>
    <row r="392" spans="1:5" ht="43.2" x14ac:dyDescent="0.3">
      <c r="A392" s="39" t="s">
        <v>983</v>
      </c>
      <c r="B392" s="39" t="s">
        <v>984</v>
      </c>
      <c r="C392" s="39" t="s">
        <v>1722</v>
      </c>
      <c r="D392" s="28" t="s">
        <v>1715</v>
      </c>
      <c r="E392" s="39" t="s">
        <v>1061</v>
      </c>
    </row>
    <row r="393" spans="1:5" ht="57.6" x14ac:dyDescent="0.3">
      <c r="A393" s="45" t="s">
        <v>962</v>
      </c>
      <c r="B393" s="39" t="s">
        <v>963</v>
      </c>
      <c r="C393" s="39" t="s">
        <v>1723</v>
      </c>
      <c r="D393" s="28" t="s">
        <v>1715</v>
      </c>
      <c r="E393" s="39" t="s">
        <v>1061</v>
      </c>
    </row>
    <row r="394" spans="1:5" ht="57.6" x14ac:dyDescent="0.3">
      <c r="A394" s="45" t="s">
        <v>962</v>
      </c>
      <c r="B394" s="39" t="s">
        <v>963</v>
      </c>
      <c r="C394" s="39" t="s">
        <v>1723</v>
      </c>
      <c r="D394" s="28" t="s">
        <v>1707</v>
      </c>
      <c r="E394" s="39" t="s">
        <v>1042</v>
      </c>
    </row>
    <row r="395" spans="1:5" ht="43.2" x14ac:dyDescent="0.3">
      <c r="A395" s="39" t="s">
        <v>1007</v>
      </c>
      <c r="B395" s="39" t="s">
        <v>1009</v>
      </c>
      <c r="C395" t="s">
        <v>1724</v>
      </c>
      <c r="D395" s="28" t="s">
        <v>1725</v>
      </c>
      <c r="E395" t="s">
        <v>1061</v>
      </c>
    </row>
    <row r="396" spans="1:5" ht="43.2" x14ac:dyDescent="0.3">
      <c r="A396" t="s">
        <v>1017</v>
      </c>
      <c r="B396" s="39" t="s">
        <v>1018</v>
      </c>
      <c r="C396" t="s">
        <v>1726</v>
      </c>
      <c r="D396" s="28" t="s">
        <v>1727</v>
      </c>
      <c r="E396" t="s">
        <v>1061</v>
      </c>
    </row>
    <row r="397" spans="1:5" ht="43.2" x14ac:dyDescent="0.3">
      <c r="A397" t="s">
        <v>1017</v>
      </c>
      <c r="B397" s="39" t="s">
        <v>1018</v>
      </c>
      <c r="C397" t="s">
        <v>1728</v>
      </c>
      <c r="D397" s="28" t="s">
        <v>1594</v>
      </c>
      <c r="E397" t="s">
        <v>1042</v>
      </c>
    </row>
    <row r="398" spans="1:5" ht="43.2" x14ac:dyDescent="0.3">
      <c r="A398" t="s">
        <v>1026</v>
      </c>
      <c r="B398" s="39" t="s">
        <v>1027</v>
      </c>
      <c r="C398" t="s">
        <v>1729</v>
      </c>
      <c r="D398" s="28" t="s">
        <v>1730</v>
      </c>
      <c r="E398" t="s">
        <v>1061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1731</v>
      </c>
    </row>
    <row r="4" spans="1:1" x14ac:dyDescent="0.3">
      <c r="A4" t="s">
        <v>1738</v>
      </c>
    </row>
    <row r="5" spans="1:1" x14ac:dyDescent="0.3">
      <c r="A5" t="s">
        <v>1741</v>
      </c>
    </row>
    <row r="6" spans="1:1" x14ac:dyDescent="0.3">
      <c r="A6" t="s">
        <v>1742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D185D-4316-48AF-BD8E-255CDB7079DD}">
  <dimension ref="A1:I22"/>
  <sheetViews>
    <sheetView tabSelected="1" workbookViewId="0">
      <selection activeCell="E3" sqref="E3"/>
    </sheetView>
  </sheetViews>
  <sheetFormatPr baseColWidth="10" defaultRowHeight="14.4" x14ac:dyDescent="0.3"/>
  <cols>
    <col min="2" max="2" width="0" hidden="1" customWidth="1"/>
    <col min="3" max="3" width="17.109375" bestFit="1" customWidth="1"/>
    <col min="4" max="5" width="45.6640625" customWidth="1"/>
    <col min="6" max="6" width="21.109375" customWidth="1"/>
    <col min="7" max="7" width="28.21875" customWidth="1"/>
    <col min="8" max="8" width="17.21875" bestFit="1" customWidth="1"/>
    <col min="9" max="9" width="27" customWidth="1"/>
  </cols>
  <sheetData>
    <row r="1" spans="1:9" x14ac:dyDescent="0.3">
      <c r="A1" t="s">
        <v>1953</v>
      </c>
      <c r="B1" t="s">
        <v>1743</v>
      </c>
      <c r="C1" t="s">
        <v>1746</v>
      </c>
      <c r="D1" s="86" t="s">
        <v>1908</v>
      </c>
      <c r="E1" s="86" t="s">
        <v>1963</v>
      </c>
      <c r="F1" s="87" t="s">
        <v>1909</v>
      </c>
      <c r="G1" s="87" t="s">
        <v>1910</v>
      </c>
      <c r="H1" s="86" t="s">
        <v>1911</v>
      </c>
      <c r="I1" s="86" t="s">
        <v>1912</v>
      </c>
    </row>
    <row r="2" spans="1:9" x14ac:dyDescent="0.3">
      <c r="A2" s="83">
        <f>MAX($B$2:$B$128)</f>
        <v>44</v>
      </c>
      <c r="B2" s="75" cm="1">
        <f t="array" ref="B2">IFERROR(MAX(--_xlfn.TEXTSPLIT(C2,";")),0)</f>
        <v>3</v>
      </c>
      <c r="C2" t="s">
        <v>1954</v>
      </c>
      <c r="D2" s="39" t="s">
        <v>1913</v>
      </c>
      <c r="E2" s="39" t="s">
        <v>37</v>
      </c>
      <c r="F2" s="76" t="s">
        <v>1914</v>
      </c>
      <c r="G2" s="77" t="s">
        <v>1915</v>
      </c>
      <c r="H2" s="78">
        <v>811000000</v>
      </c>
    </row>
    <row r="3" spans="1:9" x14ac:dyDescent="0.3">
      <c r="A3" s="84">
        <f t="shared" ref="A3:A22" si="0">MAX($B$2:$B$128)</f>
        <v>44</v>
      </c>
      <c r="B3" s="85" cm="1">
        <f t="array" ref="B3">IFERROR(MAX(--_xlfn.TEXTSPLIT(C3,";")),0)</f>
        <v>22</v>
      </c>
      <c r="C3" t="s">
        <v>1955</v>
      </c>
      <c r="D3" s="39" t="s">
        <v>1916</v>
      </c>
      <c r="E3" s="39"/>
      <c r="F3" s="76" t="s">
        <v>1914</v>
      </c>
      <c r="G3" s="77" t="s">
        <v>1915</v>
      </c>
      <c r="H3" s="79">
        <v>160000000</v>
      </c>
    </row>
    <row r="4" spans="1:9" x14ac:dyDescent="0.3">
      <c r="A4" s="83">
        <f t="shared" si="0"/>
        <v>44</v>
      </c>
      <c r="B4" s="75" cm="1">
        <f t="array" ref="B4">IFERROR(MAX(--_xlfn.TEXTSPLIT(C4,";")),0)</f>
        <v>24</v>
      </c>
      <c r="C4" t="s">
        <v>1956</v>
      </c>
      <c r="D4" s="39" t="s">
        <v>1917</v>
      </c>
      <c r="E4" s="39"/>
      <c r="F4" s="76" t="s">
        <v>1914</v>
      </c>
      <c r="G4" s="77" t="s">
        <v>1915</v>
      </c>
      <c r="H4" s="79">
        <v>40000000</v>
      </c>
    </row>
    <row r="5" spans="1:9" x14ac:dyDescent="0.3">
      <c r="A5" s="84">
        <f t="shared" si="0"/>
        <v>44</v>
      </c>
      <c r="B5" s="85" cm="1">
        <f t="array" ref="B5">IFERROR(MAX(--_xlfn.TEXTSPLIT(C5,";")),0)</f>
        <v>26</v>
      </c>
      <c r="C5" t="s">
        <v>1957</v>
      </c>
      <c r="D5" s="39" t="s">
        <v>1918</v>
      </c>
      <c r="E5" s="39"/>
      <c r="F5" s="76" t="s">
        <v>1914</v>
      </c>
      <c r="G5" s="77" t="s">
        <v>1915</v>
      </c>
      <c r="H5" s="79">
        <v>3000000</v>
      </c>
    </row>
    <row r="6" spans="1:9" x14ac:dyDescent="0.3">
      <c r="A6" s="83">
        <f t="shared" si="0"/>
        <v>44</v>
      </c>
      <c r="B6" s="75" cm="1">
        <f t="array" ref="B6">IFERROR(MAX(--_xlfn.TEXTSPLIT(C6,";")),0)</f>
        <v>29</v>
      </c>
      <c r="C6" t="s">
        <v>1958</v>
      </c>
      <c r="D6" s="39" t="s">
        <v>1919</v>
      </c>
      <c r="E6" s="39"/>
      <c r="F6" s="76" t="s">
        <v>1914</v>
      </c>
      <c r="G6" s="77" t="s">
        <v>1915</v>
      </c>
      <c r="H6" s="79">
        <v>950000000</v>
      </c>
    </row>
    <row r="7" spans="1:9" x14ac:dyDescent="0.3">
      <c r="A7" s="84">
        <f t="shared" si="0"/>
        <v>44</v>
      </c>
      <c r="B7" s="85" cm="1">
        <f t="array" ref="B7">IFERROR(MAX(--_xlfn.TEXTSPLIT(C7,";")),0)</f>
        <v>34</v>
      </c>
      <c r="C7" t="s">
        <v>1959</v>
      </c>
      <c r="D7" s="39" t="s">
        <v>1920</v>
      </c>
      <c r="E7" s="39"/>
      <c r="F7" s="76" t="s">
        <v>1914</v>
      </c>
      <c r="G7" s="77" t="s">
        <v>1915</v>
      </c>
      <c r="H7" s="79">
        <v>1877000000</v>
      </c>
    </row>
    <row r="8" spans="1:9" x14ac:dyDescent="0.3">
      <c r="A8" s="83">
        <f t="shared" si="0"/>
        <v>44</v>
      </c>
      <c r="B8" s="75" cm="1">
        <f t="array" ref="B8">IFERROR(MAX(--_xlfn.TEXTSPLIT(C8,";")),0)</f>
        <v>35</v>
      </c>
      <c r="C8">
        <v>35</v>
      </c>
      <c r="D8" s="39" t="s">
        <v>1921</v>
      </c>
      <c r="E8" s="39"/>
      <c r="F8" s="76" t="s">
        <v>1914</v>
      </c>
      <c r="G8" s="77" t="s">
        <v>1915</v>
      </c>
      <c r="H8" t="s">
        <v>1922</v>
      </c>
    </row>
    <row r="9" spans="1:9" x14ac:dyDescent="0.3">
      <c r="A9" s="84">
        <f t="shared" si="0"/>
        <v>44</v>
      </c>
      <c r="B9" s="85" cm="1">
        <f t="array" ref="B9">IFERROR(MAX(--_xlfn.TEXTSPLIT(C9,";")),0)</f>
        <v>41</v>
      </c>
      <c r="C9">
        <v>41</v>
      </c>
      <c r="D9" s="39" t="s">
        <v>1923</v>
      </c>
      <c r="E9" s="39"/>
      <c r="F9" s="76" t="s">
        <v>1914</v>
      </c>
      <c r="G9" s="77" t="s">
        <v>1915</v>
      </c>
      <c r="H9" s="79">
        <v>79000000</v>
      </c>
      <c r="I9" s="80" t="s">
        <v>1924</v>
      </c>
    </row>
    <row r="10" spans="1:9" x14ac:dyDescent="0.3">
      <c r="A10" s="83">
        <f t="shared" si="0"/>
        <v>44</v>
      </c>
      <c r="B10" s="75" cm="1">
        <f t="array" ref="B10">IFERROR(MAX(--_xlfn.TEXTSPLIT(C10,";")),0)</f>
        <v>0</v>
      </c>
      <c r="D10" s="39" t="s">
        <v>1925</v>
      </c>
      <c r="E10" s="39"/>
      <c r="F10" s="76" t="s">
        <v>1914</v>
      </c>
      <c r="G10" s="77" t="s">
        <v>1915</v>
      </c>
      <c r="H10" s="79">
        <v>8000000</v>
      </c>
      <c r="I10" s="81" t="s">
        <v>1926</v>
      </c>
    </row>
    <row r="11" spans="1:9" x14ac:dyDescent="0.3">
      <c r="A11" s="84">
        <f t="shared" si="0"/>
        <v>44</v>
      </c>
      <c r="B11" s="85" cm="1">
        <f t="array" ref="B11">IFERROR(MAX(--_xlfn.TEXTSPLIT(C11,";")),0)</f>
        <v>0</v>
      </c>
      <c r="D11" s="39" t="s">
        <v>1927</v>
      </c>
      <c r="E11" s="39"/>
      <c r="F11" s="76" t="s">
        <v>1914</v>
      </c>
      <c r="G11" s="77" t="s">
        <v>1915</v>
      </c>
      <c r="H11" s="79">
        <v>880000000</v>
      </c>
      <c r="I11" s="80" t="s">
        <v>1928</v>
      </c>
    </row>
    <row r="12" spans="1:9" x14ac:dyDescent="0.3">
      <c r="A12" s="83">
        <f t="shared" si="0"/>
        <v>44</v>
      </c>
      <c r="B12" s="75" cm="1">
        <f t="array" ref="B12">IFERROR(MAX(--_xlfn.TEXTSPLIT(C12,";")),0)</f>
        <v>42</v>
      </c>
      <c r="C12">
        <v>42</v>
      </c>
      <c r="D12" s="39" t="s">
        <v>1929</v>
      </c>
      <c r="E12" s="39"/>
      <c r="F12" s="76" t="s">
        <v>1914</v>
      </c>
      <c r="G12" s="77" t="s">
        <v>1915</v>
      </c>
      <c r="H12" s="79">
        <v>22600000</v>
      </c>
      <c r="I12" s="80" t="s">
        <v>1930</v>
      </c>
    </row>
    <row r="13" spans="1:9" ht="28.8" x14ac:dyDescent="0.3">
      <c r="A13" s="84">
        <f t="shared" si="0"/>
        <v>44</v>
      </c>
      <c r="B13" s="85" cm="1">
        <f t="array" ref="B13">IFERROR(MAX(--_xlfn.TEXTSPLIT(C13,";")),0)</f>
        <v>0</v>
      </c>
      <c r="D13" s="39" t="s">
        <v>1931</v>
      </c>
      <c r="E13" s="39"/>
      <c r="F13" s="76" t="s">
        <v>1914</v>
      </c>
      <c r="G13" s="77" t="s">
        <v>1915</v>
      </c>
      <c r="H13" s="79">
        <v>17600000</v>
      </c>
      <c r="I13" s="80" t="s">
        <v>1932</v>
      </c>
    </row>
    <row r="14" spans="1:9" x14ac:dyDescent="0.3">
      <c r="A14" s="83">
        <f t="shared" si="0"/>
        <v>44</v>
      </c>
      <c r="B14" s="75" cm="1">
        <f t="array" ref="B14">IFERROR(MAX(--_xlfn.TEXTSPLIT(C14,";")),0)</f>
        <v>37</v>
      </c>
      <c r="C14" t="s">
        <v>1960</v>
      </c>
      <c r="D14" s="39" t="s">
        <v>1933</v>
      </c>
      <c r="E14" s="39"/>
      <c r="F14" s="76" t="s">
        <v>1914</v>
      </c>
      <c r="G14" s="77" t="s">
        <v>1915</v>
      </c>
      <c r="H14" s="79">
        <v>155000000</v>
      </c>
      <c r="I14" s="81" t="s">
        <v>1934</v>
      </c>
    </row>
    <row r="15" spans="1:9" x14ac:dyDescent="0.3">
      <c r="A15" s="84">
        <f t="shared" si="0"/>
        <v>44</v>
      </c>
      <c r="B15" s="85" cm="1">
        <f t="array" ref="B15">IFERROR(MAX(--_xlfn.TEXTSPLIT(C15,";")),0)</f>
        <v>44</v>
      </c>
      <c r="C15" t="s">
        <v>1962</v>
      </c>
      <c r="D15" s="39" t="s">
        <v>1935</v>
      </c>
      <c r="E15" s="39"/>
      <c r="F15" s="76" t="s">
        <v>1914</v>
      </c>
      <c r="G15" s="77" t="s">
        <v>1915</v>
      </c>
      <c r="H15" s="79">
        <v>700000</v>
      </c>
      <c r="I15" s="80" t="s">
        <v>1936</v>
      </c>
    </row>
    <row r="16" spans="1:9" x14ac:dyDescent="0.3">
      <c r="A16" s="83">
        <f t="shared" si="0"/>
        <v>44</v>
      </c>
      <c r="B16" s="75" cm="1">
        <f t="array" ref="B16">IFERROR(MAX(--_xlfn.TEXTSPLIT(C16,";")),0)</f>
        <v>0</v>
      </c>
      <c r="D16" s="39" t="s">
        <v>1937</v>
      </c>
      <c r="E16" s="39"/>
      <c r="F16" s="76" t="s">
        <v>1914</v>
      </c>
      <c r="G16" s="77" t="s">
        <v>1915</v>
      </c>
      <c r="H16" s="82" t="s">
        <v>1938</v>
      </c>
      <c r="I16" s="80" t="s">
        <v>1939</v>
      </c>
    </row>
    <row r="17" spans="1:9" x14ac:dyDescent="0.3">
      <c r="A17" s="84">
        <f t="shared" si="0"/>
        <v>44</v>
      </c>
      <c r="B17" s="85" cm="1">
        <f t="array" ref="B17">IFERROR(MAX(--_xlfn.TEXTSPLIT(C17,";")),0)</f>
        <v>0</v>
      </c>
      <c r="D17" s="39" t="s">
        <v>1940</v>
      </c>
      <c r="E17" s="39"/>
      <c r="F17" s="76" t="s">
        <v>1914</v>
      </c>
      <c r="G17" s="77" t="s">
        <v>1915</v>
      </c>
      <c r="H17" s="79">
        <v>276000000</v>
      </c>
      <c r="I17" s="80" t="s">
        <v>1941</v>
      </c>
    </row>
    <row r="18" spans="1:9" ht="28.8" x14ac:dyDescent="0.3">
      <c r="A18" s="83">
        <f t="shared" si="0"/>
        <v>44</v>
      </c>
      <c r="B18" s="75" cm="1">
        <f t="array" ref="B18">IFERROR(MAX(--_xlfn.TEXTSPLIT(C18,";")),0)</f>
        <v>0</v>
      </c>
      <c r="D18" s="39" t="s">
        <v>1942</v>
      </c>
      <c r="E18" s="39"/>
      <c r="F18" s="76" t="s">
        <v>1914</v>
      </c>
      <c r="G18" s="77" t="s">
        <v>1915</v>
      </c>
      <c r="H18" s="79">
        <v>12000000</v>
      </c>
      <c r="I18" s="80" t="s">
        <v>1943</v>
      </c>
    </row>
    <row r="19" spans="1:9" ht="28.8" x14ac:dyDescent="0.3">
      <c r="A19" s="84">
        <f t="shared" si="0"/>
        <v>44</v>
      </c>
      <c r="B19" s="85" cm="1">
        <f t="array" ref="B19">IFERROR(MAX(--_xlfn.TEXTSPLIT(C19,";")),0)</f>
        <v>0</v>
      </c>
      <c r="D19" s="39" t="s">
        <v>1944</v>
      </c>
      <c r="E19" s="39"/>
      <c r="F19" s="76" t="s">
        <v>1914</v>
      </c>
      <c r="G19" s="77" t="s">
        <v>1915</v>
      </c>
      <c r="H19" s="79">
        <v>35000000</v>
      </c>
      <c r="I19" s="80" t="s">
        <v>1945</v>
      </c>
    </row>
    <row r="20" spans="1:9" ht="28.8" x14ac:dyDescent="0.3">
      <c r="A20" s="83">
        <f t="shared" si="0"/>
        <v>44</v>
      </c>
      <c r="B20" s="85" cm="1">
        <f t="array" ref="B20">IFERROR(MAX(--_xlfn.TEXTSPLIT(C20,";")),0)</f>
        <v>0</v>
      </c>
      <c r="D20" s="39" t="s">
        <v>1946</v>
      </c>
      <c r="E20" s="39"/>
      <c r="F20" s="76" t="s">
        <v>1914</v>
      </c>
      <c r="G20" s="77" t="s">
        <v>1915</v>
      </c>
      <c r="H20" s="79">
        <v>32000000</v>
      </c>
      <c r="I20" s="80" t="s">
        <v>1947</v>
      </c>
    </row>
    <row r="21" spans="1:9" x14ac:dyDescent="0.3">
      <c r="A21" s="84">
        <f t="shared" si="0"/>
        <v>44</v>
      </c>
      <c r="B21" s="85" cm="1">
        <f t="array" ref="B21">IFERROR(MAX(--_xlfn.TEXTSPLIT(C21,";")),0)</f>
        <v>40</v>
      </c>
      <c r="C21" t="s">
        <v>1961</v>
      </c>
      <c r="D21" s="39" t="s">
        <v>1948</v>
      </c>
      <c r="E21" s="39"/>
      <c r="F21" s="76" t="s">
        <v>1914</v>
      </c>
      <c r="G21" s="77" t="s">
        <v>1915</v>
      </c>
      <c r="H21" s="79">
        <v>212000000</v>
      </c>
      <c r="I21" s="80" t="s">
        <v>1949</v>
      </c>
    </row>
    <row r="22" spans="1:9" ht="28.8" x14ac:dyDescent="0.3">
      <c r="A22" s="83">
        <f t="shared" si="0"/>
        <v>44</v>
      </c>
      <c r="B22" s="75" cm="1">
        <f t="array" ref="B22">IFERROR(MAX(--_xlfn.TEXTSPLIT(C22,";")),0)</f>
        <v>38</v>
      </c>
      <c r="C22">
        <v>38</v>
      </c>
      <c r="D22" s="39" t="s">
        <v>1950</v>
      </c>
      <c r="E22" s="39"/>
      <c r="F22" s="76" t="s">
        <v>1914</v>
      </c>
      <c r="G22" s="77" t="s">
        <v>1915</v>
      </c>
      <c r="H22" s="82" t="s">
        <v>1951</v>
      </c>
      <c r="I22" s="80" t="s">
        <v>1952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TD BD</vt:lpstr>
      <vt:lpstr>BD</vt:lpstr>
      <vt:lpstr>OF</vt:lpstr>
      <vt:lpstr>Consideraciones</vt:lpstr>
      <vt:lpstr>EFE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2026-08-01T03:24:57Z</dcterms:modified>
</cp:coreProperties>
</file>